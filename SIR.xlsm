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9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ominika\Desktop\SIR_epidemic_model\"/>
    </mc:Choice>
  </mc:AlternateContent>
  <xr:revisionPtr revIDLastSave="0" documentId="13_ncr:1_{2B3D4E49-C933-463C-A0FB-737A276EA95B}" xr6:coauthVersionLast="47" xr6:coauthVersionMax="47" xr10:uidLastSave="{00000000-0000-0000-0000-000000000000}"/>
  <bookViews>
    <workbookView xWindow="28680" yWindow="-9615" windowWidth="29040" windowHeight="15720" xr2:uid="{2BDF1C15-8B01-4F43-B857-100E7597DEED}"/>
  </bookViews>
  <sheets>
    <sheet name="Introduction" sheetId="8" r:id="rId1"/>
    <sheet name="The Runge-Kutta method" sheetId="1" r:id="rId2"/>
    <sheet name="Ralston's method" sheetId="2" r:id="rId3"/>
    <sheet name="Comparison of methods" sheetId="5" r:id="rId4"/>
    <sheet name="Phase plot R" sheetId="6" r:id="rId5"/>
    <sheet name="Phase plot K" sheetId="7" r:id="rId6"/>
    <sheet name="R0" sheetId="4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5" l="1"/>
  <c r="B6" i="7"/>
  <c r="B11" i="7" s="1"/>
  <c r="AO6" i="6"/>
  <c r="AO11" i="6" s="1"/>
  <c r="B9" i="2"/>
  <c r="B22" i="4"/>
  <c r="AO6" i="7"/>
  <c r="AO11" i="7" s="1"/>
  <c r="BJ4" i="7"/>
  <c r="BD4" i="7"/>
  <c r="BC4" i="7"/>
  <c r="BB4" i="7"/>
  <c r="W4" i="7"/>
  <c r="Q4" i="7"/>
  <c r="P4" i="7"/>
  <c r="O4" i="7"/>
  <c r="BI3" i="7"/>
  <c r="BH3" i="7"/>
  <c r="BG3" i="7"/>
  <c r="BF3" i="7"/>
  <c r="BE3" i="7"/>
  <c r="V3" i="7"/>
  <c r="U3" i="7"/>
  <c r="T3" i="7"/>
  <c r="S3" i="7"/>
  <c r="R3" i="7"/>
  <c r="BJ4" i="6"/>
  <c r="BD4" i="6"/>
  <c r="BC4" i="6"/>
  <c r="BB4" i="6"/>
  <c r="BI3" i="6"/>
  <c r="BH3" i="6"/>
  <c r="BG3" i="6"/>
  <c r="BF3" i="6"/>
  <c r="BE3" i="6"/>
  <c r="V3" i="6"/>
  <c r="U3" i="6"/>
  <c r="W4" i="6"/>
  <c r="S3" i="6"/>
  <c r="T3" i="6"/>
  <c r="R3" i="6"/>
  <c r="P4" i="6"/>
  <c r="Q4" i="6"/>
  <c r="O4" i="6"/>
  <c r="AC15" i="5"/>
  <c r="AC9" i="5"/>
  <c r="B9" i="5"/>
  <c r="AC13" i="5"/>
  <c r="B6" i="6"/>
  <c r="B11" i="6" s="1"/>
  <c r="AK9" i="5" a="1"/>
  <c r="AB8" i="7" a="1"/>
  <c r="AH8" i="7" a="1"/>
  <c r="Y8" i="7" a="1"/>
  <c r="BF8" i="7" a="1"/>
  <c r="BO8" i="6" a="1"/>
  <c r="BI8" i="6" a="1"/>
  <c r="S8" i="6" a="1"/>
  <c r="AB8" i="6" a="1"/>
  <c r="P8" i="7" a="1"/>
  <c r="BX8" i="6" a="1"/>
  <c r="AZ8" i="7" a="1"/>
  <c r="BR8" i="7" a="1"/>
  <c r="BO8" i="7" a="1"/>
  <c r="AE8" i="7" a="1"/>
  <c r="BU8" i="7" a="1"/>
  <c r="BX8" i="7" a="1"/>
  <c r="BL8" i="6" a="1"/>
  <c r="BF8" i="6" a="1"/>
  <c r="AK8" i="6" a="1"/>
  <c r="V8" i="6" a="1"/>
  <c r="BU8" i="6" a="1"/>
  <c r="AZ8" i="6" a="1"/>
  <c r="Y8" i="6" a="1"/>
  <c r="AK8" i="7" a="1"/>
  <c r="V8" i="7" a="1"/>
  <c r="AE8" i="6" a="1"/>
  <c r="AF9" i="5" a="1"/>
  <c r="S8" i="7" a="1"/>
  <c r="BC8" i="7" a="1"/>
  <c r="BL8" i="7" a="1"/>
  <c r="M8" i="7" a="1"/>
  <c r="BR8" i="6" a="1"/>
  <c r="M8" i="6" a="1"/>
  <c r="AH8" i="6" a="1"/>
  <c r="BI8" i="7" a="1"/>
  <c r="BC8" i="6" a="1"/>
  <c r="P8" i="6" a="1"/>
  <c r="BX8" i="7" l="1"/>
  <c r="BU8" i="7"/>
  <c r="BR8" i="7"/>
  <c r="BO8" i="7"/>
  <c r="BL8" i="7"/>
  <c r="BI8" i="7"/>
  <c r="BF8" i="7"/>
  <c r="BC8" i="7"/>
  <c r="AZ8" i="7"/>
  <c r="AK8" i="7"/>
  <c r="AH8" i="7"/>
  <c r="AE8" i="7"/>
  <c r="AB8" i="7"/>
  <c r="Y8" i="7"/>
  <c r="V8" i="7"/>
  <c r="S8" i="7"/>
  <c r="P8" i="7"/>
  <c r="M8" i="7"/>
  <c r="AZ8" i="6"/>
  <c r="BF8" i="6"/>
  <c r="BL8" i="6"/>
  <c r="BR8" i="6"/>
  <c r="BX8" i="6"/>
  <c r="BC8" i="6"/>
  <c r="BI8" i="6"/>
  <c r="BO8" i="6"/>
  <c r="BU8" i="6"/>
  <c r="AK8" i="6"/>
  <c r="AH8" i="6"/>
  <c r="AE8" i="6"/>
  <c r="AB8" i="6"/>
  <c r="Y8" i="6"/>
  <c r="V8" i="6"/>
  <c r="S8" i="6"/>
  <c r="P8" i="6"/>
  <c r="M8" i="6"/>
  <c r="AK9" i="5"/>
  <c r="AF9" i="5"/>
  <c r="B9" i="1"/>
  <c r="E12" i="1" a="1"/>
  <c r="E12" i="2" a="1"/>
  <c r="J9" i="5" a="1"/>
  <c r="E9" i="5" a="1"/>
  <c r="E9" i="5" l="1"/>
  <c r="B13" i="5"/>
  <c r="J9" i="5"/>
  <c r="E12" i="2"/>
  <c r="E12" i="1"/>
  <c r="B19" i="4" l="1"/>
  <c r="B18" i="4" s="1"/>
  <c r="B21" i="4"/>
  <c r="B20" i="4"/>
  <c r="F16" i="4" a="1"/>
  <c r="G10" i="4" l="1"/>
  <c r="L11" i="4" s="1"/>
  <c r="F16" i="4"/>
  <c r="K11" i="4" l="1"/>
  <c r="J11" i="4"/>
  <c r="AA14" i="4" a="1"/>
  <c r="AA14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<sst xmlns="http://schemas.openxmlformats.org/spreadsheetml/2006/main" count="238" uniqueCount="26">
  <si>
    <t>a</t>
  </si>
  <si>
    <t>b</t>
  </si>
  <si>
    <t>M</t>
  </si>
  <si>
    <t>t</t>
  </si>
  <si>
    <t>S(t)</t>
  </si>
  <si>
    <t>R(t)</t>
  </si>
  <si>
    <t>I(t)</t>
  </si>
  <si>
    <t>R0</t>
  </si>
  <si>
    <t>S(a)</t>
  </si>
  <si>
    <t>R(a)</t>
  </si>
  <si>
    <t>I(a)</t>
  </si>
  <si>
    <t>µ</t>
  </si>
  <si>
    <t>𝜈</t>
  </si>
  <si>
    <t>𝛽</t>
  </si>
  <si>
    <t>𝛾</t>
  </si>
  <si>
    <t>N</t>
  </si>
  <si>
    <t>h</t>
  </si>
  <si>
    <t>S</t>
  </si>
  <si>
    <t>I</t>
  </si>
  <si>
    <t>R</t>
  </si>
  <si>
    <t>Parametrs</t>
  </si>
  <si>
    <t>Values</t>
  </si>
  <si>
    <t>The Runge-Kutta method</t>
  </si>
  <si>
    <t>Ralston's method</t>
  </si>
  <si>
    <t>The limits of S, I, and R as t approaches infinity</t>
  </si>
  <si>
    <t>Interactive selection of parameters 𝛽, 𝛾, and 𝜈 from the interval (0,1)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</si>
</sst>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38"/>
      <scheme val="minor"/>
    </font>
    <font>
      <sz val="11"/>
      <color rgb="FF333333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color rgb="FF00000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4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0" xfId="0" applyFill="1"/>
    <xf numFmtId="0" fontId="2" fillId="2" borderId="6" xfId="0" applyFont="1" applyFill="1" applyBorder="1"/>
    <xf numFmtId="0" fontId="2" fillId="2" borderId="7" xfId="0" applyFont="1" applyFill="1" applyBorder="1"/>
    <xf numFmtId="0" fontId="0" fillId="3" borderId="6" xfId="0" applyFill="1" applyBorder="1"/>
    <xf numFmtId="0" fontId="0" fillId="2" borderId="8" xfId="0" applyFill="1" applyBorder="1"/>
    <xf numFmtId="0" fontId="0" fillId="5" borderId="6" xfId="0" applyFill="1" applyBorder="1"/>
    <xf numFmtId="0" fontId="0" fillId="4" borderId="9" xfId="0" applyFill="1" applyBorder="1"/>
    <xf numFmtId="0" fontId="1" fillId="4" borderId="6" xfId="0" applyFont="1" applyFill="1" applyBorder="1"/>
    <xf numFmtId="0" fontId="0" fillId="4" borderId="6" xfId="0" applyFill="1" applyBorder="1"/>
    <xf numFmtId="0" fontId="0" fillId="3" borderId="10" xfId="0" applyFill="1" applyBorder="1"/>
    <xf numFmtId="0" fontId="0" fillId="3" borderId="11" xfId="0" applyFill="1" applyBorder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C5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1" i="0" baseline="0">
                <a:effectLst/>
                <a:latin typeface="Al Tarikh" pitchFamily="2" charset="-78"/>
                <a:cs typeface="Al Tarikh" pitchFamily="2" charset="-78"/>
              </a:rPr>
              <a:t>Solution using the third-order Runge–Kutta method</a:t>
            </a:r>
            <a:endParaRPr lang="pl-PL">
              <a:effectLst/>
              <a:latin typeface="Al Tarikh" pitchFamily="2" charset="-78"/>
              <a:cs typeface="Al Tarikh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'The Runge-Kutta method'!$F$11</c:f>
              <c:strCache>
                <c:ptCount val="1"/>
                <c:pt idx="0">
                  <c:v>S(t)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'The Runge-Kutta method'!$E$21:$E$102</c:f>
              <c:numCache>
                <c:formatCode>General</c:formatCode>
                <c:ptCount val="82"/>
                <c:pt idx="0">
                  <c:v>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24</c:v>
                </c:pt>
                <c:pt idx="16">
                  <c:v>25</c:v>
                </c:pt>
                <c:pt idx="17">
                  <c:v>26</c:v>
                </c:pt>
                <c:pt idx="18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30</c:v>
                </c:pt>
                <c:pt idx="22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34</c:v>
                </c:pt>
                <c:pt idx="26">
                  <c:v>35</c:v>
                </c:pt>
                <c:pt idx="27">
                  <c:v>36</c:v>
                </c:pt>
                <c:pt idx="28">
                  <c:v>37</c:v>
                </c:pt>
                <c:pt idx="29">
                  <c:v>38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42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49</c:v>
                </c:pt>
                <c:pt idx="41">
                  <c:v>50</c:v>
                </c:pt>
                <c:pt idx="42">
                  <c:v>51</c:v>
                </c:pt>
                <c:pt idx="43">
                  <c:v>52</c:v>
                </c:pt>
                <c:pt idx="44">
                  <c:v>53</c:v>
                </c:pt>
                <c:pt idx="45">
                  <c:v>54</c:v>
                </c:pt>
                <c:pt idx="46">
                  <c:v>55</c:v>
                </c:pt>
                <c:pt idx="47">
                  <c:v>56</c:v>
                </c:pt>
                <c:pt idx="48">
                  <c:v>57</c:v>
                </c:pt>
                <c:pt idx="49">
                  <c:v>58</c:v>
                </c:pt>
                <c:pt idx="50">
                  <c:v>59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64</c:v>
                </c:pt>
                <c:pt idx="56">
                  <c:v>65</c:v>
                </c:pt>
                <c:pt idx="57">
                  <c:v>66</c:v>
                </c:pt>
                <c:pt idx="58">
                  <c:v>67</c:v>
                </c:pt>
                <c:pt idx="59">
                  <c:v>68</c:v>
                </c:pt>
                <c:pt idx="60">
                  <c:v>69</c:v>
                </c:pt>
                <c:pt idx="61">
                  <c:v>70</c:v>
                </c:pt>
                <c:pt idx="62">
                  <c:v>71</c:v>
                </c:pt>
                <c:pt idx="63">
                  <c:v>72</c:v>
                </c:pt>
                <c:pt idx="64">
                  <c:v>73</c:v>
                </c:pt>
                <c:pt idx="65">
                  <c:v>74</c:v>
                </c:pt>
                <c:pt idx="66">
                  <c:v>75</c:v>
                </c:pt>
                <c:pt idx="67">
                  <c:v>76</c:v>
                </c:pt>
                <c:pt idx="68">
                  <c:v>77</c:v>
                </c:pt>
                <c:pt idx="69">
                  <c:v>78</c:v>
                </c:pt>
                <c:pt idx="70">
                  <c:v>79</c:v>
                </c:pt>
                <c:pt idx="71">
                  <c:v>80</c:v>
                </c:pt>
                <c:pt idx="72">
                  <c:v>81</c:v>
                </c:pt>
                <c:pt idx="73">
                  <c:v>82</c:v>
                </c:pt>
                <c:pt idx="74">
                  <c:v>83</c:v>
                </c:pt>
                <c:pt idx="75">
                  <c:v>84</c:v>
                </c:pt>
                <c:pt idx="76">
                  <c:v>85</c:v>
                </c:pt>
                <c:pt idx="77">
                  <c:v>86</c:v>
                </c:pt>
                <c:pt idx="78">
                  <c:v>87</c:v>
                </c:pt>
                <c:pt idx="79">
                  <c:v>88</c:v>
                </c:pt>
                <c:pt idx="80">
                  <c:v>89</c:v>
                </c:pt>
                <c:pt idx="81">
                  <c:v>90</c:v>
                </c:pt>
              </c:numCache>
            </c:numRef>
          </c:xVal>
          <c:yVal>
            <c:numRef>
              <c:f>'The Runge-Kutta method'!$F$21:$F$102</c:f>
              <c:numCache>
                <c:formatCode>General</c:formatCode>
                <c:ptCount val="82"/>
                <c:pt idx="0">
                  <c:v>13759818.221375031</c:v>
                </c:pt>
                <c:pt idx="1">
                  <c:v>14340446.23758688</c:v>
                </c:pt>
                <c:pt idx="2">
                  <c:v>15276879.363880552</c:v>
                </c:pt>
                <c:pt idx="3">
                  <c:v>16137668.314834334</c:v>
                </c:pt>
                <c:pt idx="4">
                  <c:v>16740056.803378016</c:v>
                </c:pt>
                <c:pt idx="5">
                  <c:v>17049149.824540973</c:v>
                </c:pt>
                <c:pt idx="6">
                  <c:v>17118350.423410598</c:v>
                </c:pt>
                <c:pt idx="7">
                  <c:v>17041181.293835457</c:v>
                </c:pt>
                <c:pt idx="8">
                  <c:v>16909844.085659772</c:v>
                </c:pt>
                <c:pt idx="9">
                  <c:v>16788853.074634906</c:v>
                </c:pt>
                <c:pt idx="10">
                  <c:v>16708339.541662252</c:v>
                </c:pt>
                <c:pt idx="11">
                  <c:v>16671619.231939459</c:v>
                </c:pt>
                <c:pt idx="12">
                  <c:v>16667577.709038813</c:v>
                </c:pt>
                <c:pt idx="13">
                  <c:v>16681196.2951209</c:v>
                </c:pt>
                <c:pt idx="14">
                  <c:v>16699850.053584797</c:v>
                </c:pt>
                <c:pt idx="15">
                  <c:v>16715720.02033074</c:v>
                </c:pt>
                <c:pt idx="16">
                  <c:v>16725636.14115672</c:v>
                </c:pt>
                <c:pt idx="17">
                  <c:v>16729688.51533699</c:v>
                </c:pt>
                <c:pt idx="18">
                  <c:v>16729600.378275437</c:v>
                </c:pt>
                <c:pt idx="19">
                  <c:v>16727433.996958368</c:v>
                </c:pt>
                <c:pt idx="20">
                  <c:v>16724833.331447044</c:v>
                </c:pt>
                <c:pt idx="21">
                  <c:v>16722757.987121586</c:v>
                </c:pt>
                <c:pt idx="22">
                  <c:v>16721544.475921176</c:v>
                </c:pt>
                <c:pt idx="23">
                  <c:v>16721116.409874422</c:v>
                </c:pt>
                <c:pt idx="24">
                  <c:v>16721209.775262561</c:v>
                </c:pt>
                <c:pt idx="25">
                  <c:v>16721541.063719278</c:v>
                </c:pt>
                <c:pt idx="26">
                  <c:v>16721898.15697002</c:v>
                </c:pt>
                <c:pt idx="27">
                  <c:v>16722165.977999046</c:v>
                </c:pt>
                <c:pt idx="28">
                  <c:v>16722311.697732601</c:v>
                </c:pt>
                <c:pt idx="29">
                  <c:v>16722353.653123125</c:v>
                </c:pt>
                <c:pt idx="30">
                  <c:v>16722330.90134404</c:v>
                </c:pt>
                <c:pt idx="31">
                  <c:v>16722281.822138159</c:v>
                </c:pt>
                <c:pt idx="32">
                  <c:v>16722233.448045125</c:v>
                </c:pt>
                <c:pt idx="33">
                  <c:v>16722199.300599707</c:v>
                </c:pt>
                <c:pt idx="34">
                  <c:v>16722182.165519862</c:v>
                </c:pt>
                <c:pt idx="35">
                  <c:v>16722178.579630731</c:v>
                </c:pt>
                <c:pt idx="36">
                  <c:v>16722182.900295215</c:v>
                </c:pt>
                <c:pt idx="37">
                  <c:v>16722189.996159174</c:v>
                </c:pt>
                <c:pt idx="38">
                  <c:v>16722196.466561086</c:v>
                </c:pt>
                <c:pt idx="39">
                  <c:v>16722200.764406033</c:v>
                </c:pt>
                <c:pt idx="40">
                  <c:v>16722202.727140592</c:v>
                </c:pt>
                <c:pt idx="41">
                  <c:v>16722202.941704599</c:v>
                </c:pt>
                <c:pt idx="42">
                  <c:v>16722202.20726091</c:v>
                </c:pt>
                <c:pt idx="43">
                  <c:v>16722201.201595953</c:v>
                </c:pt>
                <c:pt idx="44">
                  <c:v>16722200.346559113</c:v>
                </c:pt>
                <c:pt idx="45">
                  <c:v>16722199.813126212</c:v>
                </c:pt>
                <c:pt idx="46">
                  <c:v>16722199.59589429</c:v>
                </c:pt>
                <c:pt idx="47">
                  <c:v>16722199.601467246</c:v>
                </c:pt>
                <c:pt idx="48">
                  <c:v>16722199.718553726</c:v>
                </c:pt>
                <c:pt idx="49">
                  <c:v>16722199.858684149</c:v>
                </c:pt>
                <c:pt idx="50">
                  <c:v>16722199.970338622</c:v>
                </c:pt>
                <c:pt idx="51">
                  <c:v>16722200.035525966</c:v>
                </c:pt>
                <c:pt idx="52">
                  <c:v>16722200.058434492</c:v>
                </c:pt>
                <c:pt idx="53">
                  <c:v>16722200.05331159</c:v>
                </c:pt>
                <c:pt idx="54">
                  <c:v>16722200.035426695</c:v>
                </c:pt>
                <c:pt idx="55">
                  <c:v>16722200.016190428</c:v>
                </c:pt>
                <c:pt idx="56">
                  <c:v>16722200.001783051</c:v>
                </c:pt>
                <c:pt idx="57">
                  <c:v>16722199.99395767</c:v>
                </c:pt>
                <c:pt idx="58">
                  <c:v>16722199.991717268</c:v>
                </c:pt>
                <c:pt idx="59">
                  <c:v>16722199.9929545</c:v>
                </c:pt>
                <c:pt idx="60">
                  <c:v>16722199.995602513</c:v>
                </c:pt>
                <c:pt idx="61">
                  <c:v>16722199.998207565</c:v>
                </c:pt>
                <c:pt idx="62">
                  <c:v>16722200.000043953</c:v>
                </c:pt>
                <c:pt idx="63">
                  <c:v>16722200.00096363</c:v>
                </c:pt>
                <c:pt idx="64">
                  <c:v>16722200.001154255</c:v>
                </c:pt>
                <c:pt idx="65">
                  <c:v>16722200.000920111</c:v>
                </c:pt>
                <c:pt idx="66">
                  <c:v>16722200.000537451</c:v>
                </c:pt>
                <c:pt idx="67">
                  <c:v>16722200.000189103</c:v>
                </c:pt>
                <c:pt idx="68">
                  <c:v>16722199.999958042</c:v>
                </c:pt>
                <c:pt idx="69">
                  <c:v>16722199.999852769</c:v>
                </c:pt>
                <c:pt idx="70">
                  <c:v>16722199.999841535</c:v>
                </c:pt>
                <c:pt idx="71">
                  <c:v>16722199.999881264</c:v>
                </c:pt>
                <c:pt idx="72">
                  <c:v>16722199.999935474</c:v>
                </c:pt>
                <c:pt idx="73">
                  <c:v>16722199.999981495</c:v>
                </c:pt>
                <c:pt idx="74">
                  <c:v>16722200.000010163</c:v>
                </c:pt>
                <c:pt idx="75">
                  <c:v>16722200.000021804</c:v>
                </c:pt>
                <c:pt idx="76">
                  <c:v>16722200.000021463</c:v>
                </c:pt>
                <c:pt idx="77">
                  <c:v>16722200.000015136</c:v>
                </c:pt>
                <c:pt idx="78">
                  <c:v>16722200.000007585</c:v>
                </c:pt>
                <c:pt idx="79">
                  <c:v>16722200.000001578</c:v>
                </c:pt>
                <c:pt idx="80">
                  <c:v>16722199.999998076</c:v>
                </c:pt>
                <c:pt idx="81">
                  <c:v>16722199.999996848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A1-42EE-8A62-70B5DD17BF4D}"/>
            </c:ext>
          </c:extLst>
        </c:ser>
        <c:ser>
          <c:idx val="1"/>
          <c:order val="1"/>
          <c:tx>
            <c:strRef>
              <c:f>'The Runge-Kutta method'!$G$11</c:f>
              <c:strCache>
                <c:ptCount val="1"/>
                <c:pt idx="0">
                  <c:v>R(t)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'The Runge-Kutta method'!$E$21:$E$102</c:f>
              <c:numCache>
                <c:formatCode>General</c:formatCode>
                <c:ptCount val="82"/>
                <c:pt idx="0">
                  <c:v>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24</c:v>
                </c:pt>
                <c:pt idx="16">
                  <c:v>25</c:v>
                </c:pt>
                <c:pt idx="17">
                  <c:v>26</c:v>
                </c:pt>
                <c:pt idx="18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30</c:v>
                </c:pt>
                <c:pt idx="22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34</c:v>
                </c:pt>
                <c:pt idx="26">
                  <c:v>35</c:v>
                </c:pt>
                <c:pt idx="27">
                  <c:v>36</c:v>
                </c:pt>
                <c:pt idx="28">
                  <c:v>37</c:v>
                </c:pt>
                <c:pt idx="29">
                  <c:v>38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42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49</c:v>
                </c:pt>
                <c:pt idx="41">
                  <c:v>50</c:v>
                </c:pt>
                <c:pt idx="42">
                  <c:v>51</c:v>
                </c:pt>
                <c:pt idx="43">
                  <c:v>52</c:v>
                </c:pt>
                <c:pt idx="44">
                  <c:v>53</c:v>
                </c:pt>
                <c:pt idx="45">
                  <c:v>54</c:v>
                </c:pt>
                <c:pt idx="46">
                  <c:v>55</c:v>
                </c:pt>
                <c:pt idx="47">
                  <c:v>56</c:v>
                </c:pt>
                <c:pt idx="48">
                  <c:v>57</c:v>
                </c:pt>
                <c:pt idx="49">
                  <c:v>58</c:v>
                </c:pt>
                <c:pt idx="50">
                  <c:v>59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64</c:v>
                </c:pt>
                <c:pt idx="56">
                  <c:v>65</c:v>
                </c:pt>
                <c:pt idx="57">
                  <c:v>66</c:v>
                </c:pt>
                <c:pt idx="58">
                  <c:v>67</c:v>
                </c:pt>
                <c:pt idx="59">
                  <c:v>68</c:v>
                </c:pt>
                <c:pt idx="60">
                  <c:v>69</c:v>
                </c:pt>
                <c:pt idx="61">
                  <c:v>70</c:v>
                </c:pt>
                <c:pt idx="62">
                  <c:v>71</c:v>
                </c:pt>
                <c:pt idx="63">
                  <c:v>72</c:v>
                </c:pt>
                <c:pt idx="64">
                  <c:v>73</c:v>
                </c:pt>
                <c:pt idx="65">
                  <c:v>74</c:v>
                </c:pt>
                <c:pt idx="66">
                  <c:v>75</c:v>
                </c:pt>
                <c:pt idx="67">
                  <c:v>76</c:v>
                </c:pt>
                <c:pt idx="68">
                  <c:v>77</c:v>
                </c:pt>
                <c:pt idx="69">
                  <c:v>78</c:v>
                </c:pt>
                <c:pt idx="70">
                  <c:v>79</c:v>
                </c:pt>
                <c:pt idx="71">
                  <c:v>80</c:v>
                </c:pt>
                <c:pt idx="72">
                  <c:v>81</c:v>
                </c:pt>
                <c:pt idx="73">
                  <c:v>82</c:v>
                </c:pt>
                <c:pt idx="74">
                  <c:v>83</c:v>
                </c:pt>
                <c:pt idx="75">
                  <c:v>84</c:v>
                </c:pt>
                <c:pt idx="76">
                  <c:v>85</c:v>
                </c:pt>
                <c:pt idx="77">
                  <c:v>86</c:v>
                </c:pt>
                <c:pt idx="78">
                  <c:v>87</c:v>
                </c:pt>
                <c:pt idx="79">
                  <c:v>88</c:v>
                </c:pt>
                <c:pt idx="80">
                  <c:v>89</c:v>
                </c:pt>
                <c:pt idx="81">
                  <c:v>90</c:v>
                </c:pt>
              </c:numCache>
            </c:numRef>
          </c:xVal>
          <c:yVal>
            <c:numRef>
              <c:f>'The Runge-Kutta method'!$G$21:$G$102</c:f>
              <c:numCache>
                <c:formatCode>General</c:formatCode>
                <c:ptCount val="82"/>
                <c:pt idx="0">
                  <c:v>16386893.813729636</c:v>
                </c:pt>
                <c:pt idx="1">
                  <c:v>17070940.489069752</c:v>
                </c:pt>
                <c:pt idx="2">
                  <c:v>16900370.170634355</c:v>
                </c:pt>
                <c:pt idx="3">
                  <c:v>16401919.175253412</c:v>
                </c:pt>
                <c:pt idx="4">
                  <c:v>15888765.328643201</c:v>
                </c:pt>
                <c:pt idx="5">
                  <c:v>15509893.83359855</c:v>
                </c:pt>
                <c:pt idx="6">
                  <c:v>15304825.15254667</c:v>
                </c:pt>
                <c:pt idx="7">
                  <c:v>15247749.981845399</c:v>
                </c:pt>
                <c:pt idx="8">
                  <c:v>15283990.46467359</c:v>
                </c:pt>
                <c:pt idx="9">
                  <c:v>15358115.044506853</c:v>
                </c:pt>
                <c:pt idx="10">
                  <c:v>15430313.725488078</c:v>
                </c:pt>
                <c:pt idx="11">
                  <c:v>15480718.870293913</c:v>
                </c:pt>
                <c:pt idx="12">
                  <c:v>15505567.604422297</c:v>
                </c:pt>
                <c:pt idx="13">
                  <c:v>15510347.301043967</c:v>
                </c:pt>
                <c:pt idx="14">
                  <c:v>15503602.253858671</c:v>
                </c:pt>
                <c:pt idx="15">
                  <c:v>15492953.704328321</c:v>
                </c:pt>
                <c:pt idx="16">
                  <c:v>15483376.4700062</c:v>
                </c:pt>
                <c:pt idx="17">
                  <c:v>15477086.678928746</c:v>
                </c:pt>
                <c:pt idx="18">
                  <c:v>15474268.637736984</c:v>
                </c:pt>
                <c:pt idx="19">
                  <c:v>15474021.690066626</c:v>
                </c:pt>
                <c:pt idx="20">
                  <c:v>15475151.402653763</c:v>
                </c:pt>
                <c:pt idx="21">
                  <c:v>15476656.313183749</c:v>
                </c:pt>
                <c:pt idx="22">
                  <c:v>15477920.230036255</c:v>
                </c:pt>
                <c:pt idx="23">
                  <c:v>15478699.40552095</c:v>
                </c:pt>
                <c:pt idx="24">
                  <c:v>15479009.105056975</c:v>
                </c:pt>
                <c:pt idx="25">
                  <c:v>15478991.690999238</c:v>
                </c:pt>
                <c:pt idx="26">
                  <c:v>15478813.213925833</c:v>
                </c:pt>
                <c:pt idx="27">
                  <c:v>15478604.141023897</c:v>
                </c:pt>
                <c:pt idx="28">
                  <c:v>15478439.474975634</c:v>
                </c:pt>
                <c:pt idx="29">
                  <c:v>15478344.561222509</c:v>
                </c:pt>
                <c:pt idx="30">
                  <c:v>15478312.269937702</c:v>
                </c:pt>
                <c:pt idx="31">
                  <c:v>15478321.028204549</c:v>
                </c:pt>
                <c:pt idx="32">
                  <c:v>15478348.11529682</c:v>
                </c:pt>
                <c:pt idx="33">
                  <c:v>15478376.741678037</c:v>
                </c:pt>
                <c:pt idx="34">
                  <c:v>15478397.942459149</c:v>
                </c:pt>
                <c:pt idx="35">
                  <c:v>15478409.295326505</c:v>
                </c:pt>
                <c:pt idx="36">
                  <c:v>15478412.393902648</c:v>
                </c:pt>
                <c:pt idx="37">
                  <c:v>15478410.413685817</c:v>
                </c:pt>
                <c:pt idx="38">
                  <c:v>15478406.422840565</c:v>
                </c:pt>
                <c:pt idx="39">
                  <c:v>15478402.555415116</c:v>
                </c:pt>
                <c:pt idx="40">
                  <c:v>15478399.859416489</c:v>
                </c:pt>
                <c:pt idx="41">
                  <c:v>15478398.531044262</c:v>
                </c:pt>
                <c:pt idx="42">
                  <c:v>15478398.277811857</c:v>
                </c:pt>
                <c:pt idx="43">
                  <c:v>15478398.642995771</c:v>
                </c:pt>
                <c:pt idx="44">
                  <c:v>15478399.217434574</c:v>
                </c:pt>
                <c:pt idx="45">
                  <c:v>15478399.73341712</c:v>
                </c:pt>
                <c:pt idx="46">
                  <c:v>15478400.071793692</c:v>
                </c:pt>
                <c:pt idx="47">
                  <c:v>15478400.222994315</c:v>
                </c:pt>
                <c:pt idx="48">
                  <c:v>15478400.235822968</c:v>
                </c:pt>
                <c:pt idx="49">
                  <c:v>15478400.174726471</c:v>
                </c:pt>
                <c:pt idx="50">
                  <c:v>15478400.093616471</c:v>
                </c:pt>
                <c:pt idx="51">
                  <c:v>15478400.025600035</c:v>
                </c:pt>
                <c:pt idx="52">
                  <c:v>15478399.983730761</c:v>
                </c:pt>
                <c:pt idx="53">
                  <c:v>15478399.967139309</c:v>
                </c:pt>
                <c:pt idx="54">
                  <c:v>15478399.968137322</c:v>
                </c:pt>
                <c:pt idx="55">
                  <c:v>15478399.977778846</c:v>
                </c:pt>
                <c:pt idx="56">
                  <c:v>15478399.989044243</c:v>
                </c:pt>
                <c:pt idx="57">
                  <c:v>15478399.997904301</c:v>
                </c:pt>
                <c:pt idx="58">
                  <c:v>15478400.003003109</c:v>
                </c:pt>
                <c:pt idx="59">
                  <c:v>15478400.004730644</c:v>
                </c:pt>
                <c:pt idx="60">
                  <c:v>15478400.004251409</c:v>
                </c:pt>
                <c:pt idx="61">
                  <c:v>15478400.002789261</c:v>
                </c:pt>
                <c:pt idx="62">
                  <c:v>15478400.001247305</c:v>
                </c:pt>
                <c:pt idx="63">
                  <c:v>15478400.000106905</c:v>
                </c:pt>
                <c:pt idx="64">
                  <c:v>15478399.999497309</c:v>
                </c:pt>
                <c:pt idx="65">
                  <c:v>15478399.999331955</c:v>
                </c:pt>
                <c:pt idx="66">
                  <c:v>15478399.999439534</c:v>
                </c:pt>
                <c:pt idx="67">
                  <c:v>15478399.999654831</c:v>
                </c:pt>
                <c:pt idx="68">
                  <c:v>15478399.99986309</c:v>
                </c:pt>
                <c:pt idx="69">
                  <c:v>15478400.000008067</c:v>
                </c:pt>
                <c:pt idx="70">
                  <c:v>15478400.000079354</c:v>
                </c:pt>
                <c:pt idx="71">
                  <c:v>15478400.000092795</c:v>
                </c:pt>
                <c:pt idx="72">
                  <c:v>15478400.000073014</c:v>
                </c:pt>
                <c:pt idx="73">
                  <c:v>15478400.00004204</c:v>
                </c:pt>
                <c:pt idx="74">
                  <c:v>15478400.000014262</c:v>
                </c:pt>
                <c:pt idx="75">
                  <c:v>15478399.999996072</c:v>
                </c:pt>
                <c:pt idx="76">
                  <c:v>15478399.999987964</c:v>
                </c:pt>
                <c:pt idx="77">
                  <c:v>15478399.999987299</c:v>
                </c:pt>
                <c:pt idx="78">
                  <c:v>15478399.999990603</c:v>
                </c:pt>
                <c:pt idx="79">
                  <c:v>15478399.999994975</c:v>
                </c:pt>
                <c:pt idx="80">
                  <c:v>15478399.999998635</c:v>
                </c:pt>
                <c:pt idx="81">
                  <c:v>15478400.000000885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A1-42EE-8A62-70B5DD17BF4D}"/>
            </c:ext>
          </c:extLst>
        </c:ser>
        <c:ser>
          <c:idx val="2"/>
          <c:order val="2"/>
          <c:tx>
            <c:strRef>
              <c:f>'The Runge-Kutta method'!$H$11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'The Runge-Kutta method'!$E$21:$E$102</c:f>
              <c:numCache>
                <c:formatCode>General</c:formatCode>
                <c:ptCount val="82"/>
                <c:pt idx="0">
                  <c:v>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24</c:v>
                </c:pt>
                <c:pt idx="16">
                  <c:v>25</c:v>
                </c:pt>
                <c:pt idx="17">
                  <c:v>26</c:v>
                </c:pt>
                <c:pt idx="18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30</c:v>
                </c:pt>
                <c:pt idx="22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34</c:v>
                </c:pt>
                <c:pt idx="26">
                  <c:v>35</c:v>
                </c:pt>
                <c:pt idx="27">
                  <c:v>36</c:v>
                </c:pt>
                <c:pt idx="28">
                  <c:v>37</c:v>
                </c:pt>
                <c:pt idx="29">
                  <c:v>38</c:v>
                </c:pt>
                <c:pt idx="30">
                  <c:v>39</c:v>
                </c:pt>
                <c:pt idx="31">
                  <c:v>40</c:v>
                </c:pt>
                <c:pt idx="32">
                  <c:v>41</c:v>
                </c:pt>
                <c:pt idx="33">
                  <c:v>42</c:v>
                </c:pt>
                <c:pt idx="34">
                  <c:v>43</c:v>
                </c:pt>
                <c:pt idx="35">
                  <c:v>44</c:v>
                </c:pt>
                <c:pt idx="36">
                  <c:v>45</c:v>
                </c:pt>
                <c:pt idx="37">
                  <c:v>46</c:v>
                </c:pt>
                <c:pt idx="38">
                  <c:v>47</c:v>
                </c:pt>
                <c:pt idx="39">
                  <c:v>48</c:v>
                </c:pt>
                <c:pt idx="40">
                  <c:v>49</c:v>
                </c:pt>
                <c:pt idx="41">
                  <c:v>50</c:v>
                </c:pt>
                <c:pt idx="42">
                  <c:v>51</c:v>
                </c:pt>
                <c:pt idx="43">
                  <c:v>52</c:v>
                </c:pt>
                <c:pt idx="44">
                  <c:v>53</c:v>
                </c:pt>
                <c:pt idx="45">
                  <c:v>54</c:v>
                </c:pt>
                <c:pt idx="46">
                  <c:v>55</c:v>
                </c:pt>
                <c:pt idx="47">
                  <c:v>56</c:v>
                </c:pt>
                <c:pt idx="48">
                  <c:v>57</c:v>
                </c:pt>
                <c:pt idx="49">
                  <c:v>58</c:v>
                </c:pt>
                <c:pt idx="50">
                  <c:v>59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64</c:v>
                </c:pt>
                <c:pt idx="56">
                  <c:v>65</c:v>
                </c:pt>
                <c:pt idx="57">
                  <c:v>66</c:v>
                </c:pt>
                <c:pt idx="58">
                  <c:v>67</c:v>
                </c:pt>
                <c:pt idx="59">
                  <c:v>68</c:v>
                </c:pt>
                <c:pt idx="60">
                  <c:v>69</c:v>
                </c:pt>
                <c:pt idx="61">
                  <c:v>70</c:v>
                </c:pt>
                <c:pt idx="62">
                  <c:v>71</c:v>
                </c:pt>
                <c:pt idx="63">
                  <c:v>72</c:v>
                </c:pt>
                <c:pt idx="64">
                  <c:v>73</c:v>
                </c:pt>
                <c:pt idx="65">
                  <c:v>74</c:v>
                </c:pt>
                <c:pt idx="66">
                  <c:v>75</c:v>
                </c:pt>
                <c:pt idx="67">
                  <c:v>76</c:v>
                </c:pt>
                <c:pt idx="68">
                  <c:v>77</c:v>
                </c:pt>
                <c:pt idx="69">
                  <c:v>78</c:v>
                </c:pt>
                <c:pt idx="70">
                  <c:v>79</c:v>
                </c:pt>
                <c:pt idx="71">
                  <c:v>80</c:v>
                </c:pt>
                <c:pt idx="72">
                  <c:v>81</c:v>
                </c:pt>
                <c:pt idx="73">
                  <c:v>82</c:v>
                </c:pt>
                <c:pt idx="74">
                  <c:v>83</c:v>
                </c:pt>
                <c:pt idx="75">
                  <c:v>84</c:v>
                </c:pt>
                <c:pt idx="76">
                  <c:v>85</c:v>
                </c:pt>
                <c:pt idx="77">
                  <c:v>86</c:v>
                </c:pt>
                <c:pt idx="78">
                  <c:v>87</c:v>
                </c:pt>
                <c:pt idx="79">
                  <c:v>88</c:v>
                </c:pt>
                <c:pt idx="80">
                  <c:v>89</c:v>
                </c:pt>
                <c:pt idx="81">
                  <c:v>90</c:v>
                </c:pt>
              </c:numCache>
            </c:numRef>
          </c:xVal>
          <c:yVal>
            <c:numRef>
              <c:f>'The Runge-Kutta method'!$H$21:$H$102</c:f>
              <c:numCache>
                <c:formatCode>General</c:formatCode>
                <c:ptCount val="82"/>
                <c:pt idx="0">
                  <c:v>7858287.9648953313</c:v>
                </c:pt>
                <c:pt idx="1">
                  <c:v>6593613.2733433647</c:v>
                </c:pt>
                <c:pt idx="2">
                  <c:v>5827750.4654850913</c:v>
                </c:pt>
                <c:pt idx="3">
                  <c:v>5465412.5099122534</c:v>
                </c:pt>
                <c:pt idx="4">
                  <c:v>5376177.8679787824</c:v>
                </c:pt>
                <c:pt idx="5">
                  <c:v>5445956.341860475</c:v>
                </c:pt>
                <c:pt idx="6">
                  <c:v>5581824.4240427315</c:v>
                </c:pt>
                <c:pt idx="7">
                  <c:v>5716068.7243191414</c:v>
                </c:pt>
                <c:pt idx="8">
                  <c:v>5811165.449666637</c:v>
                </c:pt>
                <c:pt idx="9">
                  <c:v>5858031.8808582406</c:v>
                </c:pt>
                <c:pt idx="10">
                  <c:v>5866346.7328496715</c:v>
                </c:pt>
                <c:pt idx="11">
                  <c:v>5852661.8977666274</c:v>
                </c:pt>
                <c:pt idx="12">
                  <c:v>5831854.68653889</c:v>
                </c:pt>
                <c:pt idx="13">
                  <c:v>5813456.4038351336</c:v>
                </c:pt>
                <c:pt idx="14">
                  <c:v>5801547.692556533</c:v>
                </c:pt>
                <c:pt idx="15">
                  <c:v>5796326.2753409399</c:v>
                </c:pt>
                <c:pt idx="16">
                  <c:v>5795987.3888370814</c:v>
                </c:pt>
                <c:pt idx="17">
                  <c:v>5798224.8057342647</c:v>
                </c:pt>
                <c:pt idx="18">
                  <c:v>5801130.9839875791</c:v>
                </c:pt>
                <c:pt idx="19">
                  <c:v>5803544.3129750052</c:v>
                </c:pt>
                <c:pt idx="20">
                  <c:v>5805015.2658991935</c:v>
                </c:pt>
                <c:pt idx="21">
                  <c:v>5805585.6996946661</c:v>
                </c:pt>
                <c:pt idx="22">
                  <c:v>5805535.2940425687</c:v>
                </c:pt>
                <c:pt idx="23">
                  <c:v>5805184.1846046271</c:v>
                </c:pt>
                <c:pt idx="24">
                  <c:v>5804781.1196804643</c:v>
                </c:pt>
                <c:pt idx="25">
                  <c:v>5804467.245281483</c:v>
                </c:pt>
                <c:pt idx="26">
                  <c:v>5804288.6291041458</c:v>
                </c:pt>
                <c:pt idx="27">
                  <c:v>5804229.880977056</c:v>
                </c:pt>
                <c:pt idx="28">
                  <c:v>5804248.8272917634</c:v>
                </c:pt>
                <c:pt idx="29">
                  <c:v>5804301.7856543651</c:v>
                </c:pt>
                <c:pt idx="30">
                  <c:v>5804356.8287182571</c:v>
                </c:pt>
                <c:pt idx="31">
                  <c:v>5804397.1496572914</c:v>
                </c:pt>
                <c:pt idx="32">
                  <c:v>5804418.4366580537</c:v>
                </c:pt>
                <c:pt idx="33">
                  <c:v>5804423.957722255</c:v>
                </c:pt>
                <c:pt idx="34">
                  <c:v>5804419.8920209873</c:v>
                </c:pt>
                <c:pt idx="35">
                  <c:v>5804412.1250427626</c:v>
                </c:pt>
                <c:pt idx="36">
                  <c:v>5804404.7058021352</c:v>
                </c:pt>
                <c:pt idx="37">
                  <c:v>5804399.5901550073</c:v>
                </c:pt>
                <c:pt idx="38">
                  <c:v>5804397.1105983471</c:v>
                </c:pt>
                <c:pt idx="39">
                  <c:v>5804396.6801788518</c:v>
                </c:pt>
                <c:pt idx="40">
                  <c:v>5804397.413442919</c:v>
                </c:pt>
                <c:pt idx="41">
                  <c:v>5804398.5272511384</c:v>
                </c:pt>
                <c:pt idx="42">
                  <c:v>5804399.5149272308</c:v>
                </c:pt>
                <c:pt idx="43">
                  <c:v>5804400.1554082753</c:v>
                </c:pt>
                <c:pt idx="44">
                  <c:v>5804400.4360063141</c:v>
                </c:pt>
                <c:pt idx="45">
                  <c:v>5804400.4534566691</c:v>
                </c:pt>
                <c:pt idx="46">
                  <c:v>5804400.3323120186</c:v>
                </c:pt>
                <c:pt idx="47">
                  <c:v>5804400.1755384412</c:v>
                </c:pt>
                <c:pt idx="48">
                  <c:v>5804400.045623308</c:v>
                </c:pt>
                <c:pt idx="49">
                  <c:v>5804399.966589381</c:v>
                </c:pt>
                <c:pt idx="50">
                  <c:v>5804399.9360449081</c:v>
                </c:pt>
                <c:pt idx="51">
                  <c:v>5804399.9388739979</c:v>
                </c:pt>
                <c:pt idx="52">
                  <c:v>5804399.9578347458</c:v>
                </c:pt>
                <c:pt idx="53">
                  <c:v>5804399.9795490997</c:v>
                </c:pt>
                <c:pt idx="54">
                  <c:v>5804399.9964359831</c:v>
                </c:pt>
                <c:pt idx="55">
                  <c:v>5804400.0060307253</c:v>
                </c:pt>
                <c:pt idx="56">
                  <c:v>5804400.0091727069</c:v>
                </c:pt>
                <c:pt idx="57">
                  <c:v>5804400.008138028</c:v>
                </c:pt>
                <c:pt idx="58">
                  <c:v>5804400.005279623</c:v>
                </c:pt>
                <c:pt idx="59">
                  <c:v>5804400.0023148572</c:v>
                </c:pt>
                <c:pt idx="60">
                  <c:v>5804400.0001460779</c:v>
                </c:pt>
                <c:pt idx="61">
                  <c:v>5804399.9990031747</c:v>
                </c:pt>
                <c:pt idx="62">
                  <c:v>5804399.9987087417</c:v>
                </c:pt>
                <c:pt idx="63">
                  <c:v>5804399.9989294643</c:v>
                </c:pt>
                <c:pt idx="64">
                  <c:v>5804399.9993484346</c:v>
                </c:pt>
                <c:pt idx="65">
                  <c:v>5804399.9997479338</c:v>
                </c:pt>
                <c:pt idx="66">
                  <c:v>5804400.000023013</c:v>
                </c:pt>
                <c:pt idx="67">
                  <c:v>5804400.0001560645</c:v>
                </c:pt>
                <c:pt idx="68">
                  <c:v>5804400.000178868</c:v>
                </c:pt>
                <c:pt idx="69">
                  <c:v>5804400.0001391638</c:v>
                </c:pt>
                <c:pt idx="70">
                  <c:v>5804400.0000791093</c:v>
                </c:pt>
                <c:pt idx="71">
                  <c:v>5804400.0000259411</c:v>
                </c:pt>
                <c:pt idx="72">
                  <c:v>5804399.9999915119</c:v>
                </c:pt>
                <c:pt idx="73">
                  <c:v>5804399.9999764664</c:v>
                </c:pt>
                <c:pt idx="74">
                  <c:v>5804399.9999755751</c:v>
                </c:pt>
                <c:pt idx="75">
                  <c:v>5804399.9999821251</c:v>
                </c:pt>
                <c:pt idx="76">
                  <c:v>5804399.999990575</c:v>
                </c:pt>
                <c:pt idx="77">
                  <c:v>5804399.9999975665</c:v>
                </c:pt>
                <c:pt idx="78">
                  <c:v>5804400.0000018133</c:v>
                </c:pt>
                <c:pt idx="79">
                  <c:v>5804400.0000034496</c:v>
                </c:pt>
                <c:pt idx="80">
                  <c:v>5804400.0000032913</c:v>
                </c:pt>
                <c:pt idx="81">
                  <c:v>5804400.0000022668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A1-42EE-8A62-70B5DD17B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574671"/>
        <c:axId val="428576335"/>
      </c:scatterChart>
      <c:valAx>
        <c:axId val="428574671"/>
        <c:scaling>
          <c:orientation val="minMax"/>
          <c:max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28576335"/>
        <c:crosses val="autoZero"/>
        <c:crossBetween val="midCat"/>
      </c:valAx>
      <c:valAx>
        <c:axId val="428576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28574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1" i="0" baseline="0">
                <a:effectLst/>
                <a:latin typeface="Al Tarikh" pitchFamily="2" charset="-78"/>
                <a:cs typeface="Al Tarikh" pitchFamily="2" charset="-78"/>
              </a:rPr>
              <a:t>Solving using Ralston's method</a:t>
            </a:r>
            <a:endParaRPr lang="pl-PL">
              <a:effectLst/>
              <a:latin typeface="Al Tarikh" pitchFamily="2" charset="-78"/>
              <a:cs typeface="Al Tarikh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'Ralston''s method'!$F$11</c:f>
              <c:strCache>
                <c:ptCount val="1"/>
                <c:pt idx="0">
                  <c:v>S(t)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'Ralston''s method'!$E$12:$E$102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'Ralston''s method'!$F$12:$F$102</c:f>
              <c:numCache>
                <c:formatCode>General</c:formatCode>
                <c:ptCount val="91"/>
                <c:pt idx="0">
                  <c:v>38000000</c:v>
                </c:pt>
                <c:pt idx="1">
                  <c:v>37981908.311779886</c:v>
                </c:pt>
                <c:pt idx="2">
                  <c:v>37922450.835976191</c:v>
                </c:pt>
                <c:pt idx="3">
                  <c:v>37723963.567373455</c:v>
                </c:pt>
                <c:pt idx="4">
                  <c:v>37068650.921475992</c:v>
                </c:pt>
                <c:pt idx="5">
                  <c:v>35012985.840415299</c:v>
                </c:pt>
                <c:pt idx="6">
                  <c:v>29563668.401233587</c:v>
                </c:pt>
                <c:pt idx="7">
                  <c:v>20694434.744907208</c:v>
                </c:pt>
                <c:pt idx="8">
                  <c:v>15290972.391467094</c:v>
                </c:pt>
                <c:pt idx="9">
                  <c:v>14232656.803634752</c:v>
                </c:pt>
                <c:pt idx="10">
                  <c:v>14713971.891808165</c:v>
                </c:pt>
                <c:pt idx="11">
                  <c:v>15527384.150916051</c:v>
                </c:pt>
                <c:pt idx="12">
                  <c:v>16240276.356022878</c:v>
                </c:pt>
                <c:pt idx="13">
                  <c:v>16710091.663868578</c:v>
                </c:pt>
                <c:pt idx="14">
                  <c:v>16931283.671952654</c:v>
                </c:pt>
                <c:pt idx="15">
                  <c:v>16968024.273932192</c:v>
                </c:pt>
                <c:pt idx="16">
                  <c:v>16906403.673746496</c:v>
                </c:pt>
                <c:pt idx="17">
                  <c:v>16818978.798852477</c:v>
                </c:pt>
                <c:pt idx="18">
                  <c:v>16748166.383906962</c:v>
                </c:pt>
                <c:pt idx="19">
                  <c:v>16707876.800501386</c:v>
                </c:pt>
                <c:pt idx="20">
                  <c:v>16694353.738800488</c:v>
                </c:pt>
                <c:pt idx="21">
                  <c:v>16697211.311374681</c:v>
                </c:pt>
                <c:pt idx="22">
                  <c:v>16706518.245009605</c:v>
                </c:pt>
                <c:pt idx="23">
                  <c:v>16715747.483496467</c:v>
                </c:pt>
                <c:pt idx="24">
                  <c:v>16721984.316660065</c:v>
                </c:pt>
                <c:pt idx="25">
                  <c:v>16724870.569611369</c:v>
                </c:pt>
                <c:pt idx="26">
                  <c:v>16725317.44431355</c:v>
                </c:pt>
                <c:pt idx="27">
                  <c:v>16724518.883654794</c:v>
                </c:pt>
                <c:pt idx="28">
                  <c:v>16723414.051346598</c:v>
                </c:pt>
                <c:pt idx="29">
                  <c:v>16722525.522344332</c:v>
                </c:pt>
                <c:pt idx="30">
                  <c:v>16722019.854564955</c:v>
                </c:pt>
                <c:pt idx="31">
                  <c:v>16721849.349759365</c:v>
                </c:pt>
                <c:pt idx="32">
                  <c:v>16721884.89474917</c:v>
                </c:pt>
                <c:pt idx="33">
                  <c:v>16722002.067249</c:v>
                </c:pt>
                <c:pt idx="34">
                  <c:v>16722118.494390776</c:v>
                </c:pt>
                <c:pt idx="35">
                  <c:v>16722197.22210395</c:v>
                </c:pt>
                <c:pt idx="36">
                  <c:v>16722233.662274921</c:v>
                </c:pt>
                <c:pt idx="37">
                  <c:v>16722239.313665828</c:v>
                </c:pt>
                <c:pt idx="38">
                  <c:v>16722229.249029925</c:v>
                </c:pt>
                <c:pt idx="39">
                  <c:v>16722215.317905987</c:v>
                </c:pt>
                <c:pt idx="40">
                  <c:v>16722204.111672366</c:v>
                </c:pt>
                <c:pt idx="41">
                  <c:v>16722197.7321219</c:v>
                </c:pt>
                <c:pt idx="42">
                  <c:v>16722195.579317475</c:v>
                </c:pt>
                <c:pt idx="43">
                  <c:v>16722196.025922528</c:v>
                </c:pt>
                <c:pt idx="44">
                  <c:v>16722197.502935337</c:v>
                </c:pt>
                <c:pt idx="45">
                  <c:v>16722198.971216079</c:v>
                </c:pt>
                <c:pt idx="46">
                  <c:v>16722199.964356085</c:v>
                </c:pt>
                <c:pt idx="47">
                  <c:v>16722200.424235357</c:v>
                </c:pt>
                <c:pt idx="48">
                  <c:v>16722200.495743508</c:v>
                </c:pt>
                <c:pt idx="49">
                  <c:v>16722200.368939053</c:v>
                </c:pt>
                <c:pt idx="50">
                  <c:v>16722200.19328277</c:v>
                </c:pt>
                <c:pt idx="51">
                  <c:v>16722200.051939325</c:v>
                </c:pt>
                <c:pt idx="52">
                  <c:v>16722199.971449113</c:v>
                </c:pt>
                <c:pt idx="53">
                  <c:v>16722199.944267221</c:v>
                </c:pt>
                <c:pt idx="54">
                  <c:v>16722199.949879227</c:v>
                </c:pt>
                <c:pt idx="55">
                  <c:v>16722199.968497928</c:v>
                </c:pt>
                <c:pt idx="56">
                  <c:v>16722199.987014567</c:v>
                </c:pt>
                <c:pt idx="57">
                  <c:v>16722199.999542795</c:v>
                </c:pt>
                <c:pt idx="58">
                  <c:v>16722200.005346492</c:v>
                </c:pt>
                <c:pt idx="59">
                  <c:v>16722200.006251296</c:v>
                </c:pt>
                <c:pt idx="60">
                  <c:v>16722200.004653694</c:v>
                </c:pt>
                <c:pt idx="61">
                  <c:v>16722200.002438862</c:v>
                </c:pt>
                <c:pt idx="62">
                  <c:v>16722200.000656106</c:v>
                </c:pt>
                <c:pt idx="63">
                  <c:v>16722199.999640567</c:v>
                </c:pt>
                <c:pt idx="64">
                  <c:v>16722199.999297362</c:v>
                </c:pt>
                <c:pt idx="65">
                  <c:v>16722199.999367882</c:v>
                </c:pt>
                <c:pt idx="66">
                  <c:v>16722199.999602584</c:v>
                </c:pt>
                <c:pt idx="67">
                  <c:v>16722199.999836098</c:v>
                </c:pt>
                <c:pt idx="68">
                  <c:v>16722199.999994138</c:v>
                </c:pt>
                <c:pt idx="69">
                  <c:v>16722200.000067381</c:v>
                </c:pt>
                <c:pt idx="70">
                  <c:v>16722200.000078829</c:v>
                </c:pt>
                <c:pt idx="71">
                  <c:v>16722200.000058701</c:v>
                </c:pt>
                <c:pt idx="72">
                  <c:v>16722200.000030775</c:v>
                </c:pt>
                <c:pt idx="73">
                  <c:v>16722200.000008289</c:v>
                </c:pt>
                <c:pt idx="74">
                  <c:v>16722199.999995476</c:v>
                </c:pt>
                <c:pt idx="75">
                  <c:v>16722199.999991141</c:v>
                </c:pt>
                <c:pt idx="76">
                  <c:v>16722199.999992028</c:v>
                </c:pt>
                <c:pt idx="77">
                  <c:v>16722199.999994986</c:v>
                </c:pt>
                <c:pt idx="78">
                  <c:v>16722199.999997931</c:v>
                </c:pt>
                <c:pt idx="79">
                  <c:v>16722199.999999925</c:v>
                </c:pt>
                <c:pt idx="80">
                  <c:v>16722200.000000851</c:v>
                </c:pt>
                <c:pt idx="81">
                  <c:v>16722200.000000997</c:v>
                </c:pt>
                <c:pt idx="82">
                  <c:v>16722200.000000743</c:v>
                </c:pt>
                <c:pt idx="83">
                  <c:v>16722200.000000389</c:v>
                </c:pt>
                <c:pt idx="84">
                  <c:v>16722200.000000104</c:v>
                </c:pt>
                <c:pt idx="85">
                  <c:v>16722199.999999942</c:v>
                </c:pt>
                <c:pt idx="86">
                  <c:v>16722199.999999888</c:v>
                </c:pt>
                <c:pt idx="87">
                  <c:v>16722199.999999899</c:v>
                </c:pt>
                <c:pt idx="88">
                  <c:v>16722199.999999937</c:v>
                </c:pt>
                <c:pt idx="89">
                  <c:v>16722199.999999976</c:v>
                </c:pt>
                <c:pt idx="90">
                  <c:v>16722200.000000002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D-4A34-8118-50F24155A863}"/>
            </c:ext>
          </c:extLst>
        </c:ser>
        <c:ser>
          <c:idx val="1"/>
          <c:order val="1"/>
          <c:tx>
            <c:strRef>
              <c:f>'Ralston''s method'!$G$11</c:f>
              <c:strCache>
                <c:ptCount val="1"/>
                <c:pt idx="0">
                  <c:v>R(t)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'Ralston''s method'!$E$12:$E$102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'Ralston''s method'!$G$12:$G$102</c:f>
              <c:numCache>
                <c:formatCode>General</c:formatCode>
                <c:ptCount val="91"/>
                <c:pt idx="0">
                  <c:v>0</c:v>
                </c:pt>
                <c:pt idx="1">
                  <c:v>6199.3421918168669</c:v>
                </c:pt>
                <c:pt idx="2">
                  <c:v>25554.755285113068</c:v>
                </c:pt>
                <c:pt idx="3">
                  <c:v>89587.564212369471</c:v>
                </c:pt>
                <c:pt idx="4">
                  <c:v>302723.62089671218</c:v>
                </c:pt>
                <c:pt idx="5">
                  <c:v>995613.70295831107</c:v>
                </c:pt>
                <c:pt idx="6">
                  <c:v>3060098.4437950929</c:v>
                </c:pt>
                <c:pt idx="7">
                  <c:v>7757270.9445326366</c:v>
                </c:pt>
                <c:pt idx="8">
                  <c:v>13273905.276891176</c:v>
                </c:pt>
                <c:pt idx="9">
                  <c:v>15952837.717208838</c:v>
                </c:pt>
                <c:pt idx="10">
                  <c:v>16689905.836867124</c:v>
                </c:pt>
                <c:pt idx="11">
                  <c:v>16573932.0656971</c:v>
                </c:pt>
                <c:pt idx="12">
                  <c:v>16176482.073728165</c:v>
                </c:pt>
                <c:pt idx="13">
                  <c:v>15780621.532918883</c:v>
                </c:pt>
                <c:pt idx="14">
                  <c:v>15504521.224684866</c:v>
                </c:pt>
                <c:pt idx="15">
                  <c:v>15368559.78709802</c:v>
                </c:pt>
                <c:pt idx="16">
                  <c:v>15340764.3775205</c:v>
                </c:pt>
                <c:pt idx="17">
                  <c:v>15372102.403803967</c:v>
                </c:pt>
                <c:pt idx="18">
                  <c:v>15420486.074417727</c:v>
                </c:pt>
                <c:pt idx="19">
                  <c:v>15460966.056487473</c:v>
                </c:pt>
                <c:pt idx="20">
                  <c:v>15484807.057606902</c:v>
                </c:pt>
                <c:pt idx="21">
                  <c:v>15493483.32432829</c:v>
                </c:pt>
                <c:pt idx="22">
                  <c:v>15492549.75720221</c:v>
                </c:pt>
                <c:pt idx="23">
                  <c:v>15487587.663802112</c:v>
                </c:pt>
                <c:pt idx="24">
                  <c:v>15482399.898497025</c:v>
                </c:pt>
                <c:pt idx="25">
                  <c:v>15478773.738821099</c:v>
                </c:pt>
                <c:pt idx="26">
                  <c:v>15477015.960580805</c:v>
                </c:pt>
                <c:pt idx="27">
                  <c:v>15476666.151886052</c:v>
                </c:pt>
                <c:pt idx="28">
                  <c:v>15477064.580067629</c:v>
                </c:pt>
                <c:pt idx="29">
                  <c:v>15477673.065416889</c:v>
                </c:pt>
                <c:pt idx="30">
                  <c:v>15478181.113636011</c:v>
                </c:pt>
                <c:pt idx="31">
                  <c:v>15478480.756269755</c:v>
                </c:pt>
                <c:pt idx="32">
                  <c:v>15478590.134976078</c:v>
                </c:pt>
                <c:pt idx="33">
                  <c:v>15478578.504142281</c:v>
                </c:pt>
                <c:pt idx="34">
                  <c:v>15478515.967209499</c:v>
                </c:pt>
                <c:pt idx="35">
                  <c:v>15478450.513627388</c:v>
                </c:pt>
                <c:pt idx="36">
                  <c:v>15478404.748098096</c:v>
                </c:pt>
                <c:pt idx="37">
                  <c:v>15478382.559392851</c:v>
                </c:pt>
                <c:pt idx="38">
                  <c:v>15478378.137314109</c:v>
                </c:pt>
                <c:pt idx="39">
                  <c:v>15478383.156703955</c:v>
                </c:pt>
                <c:pt idx="40">
                  <c:v>15478390.828472307</c:v>
                </c:pt>
                <c:pt idx="41">
                  <c:v>15478397.235878546</c:v>
                </c:pt>
                <c:pt idx="42">
                  <c:v>15478401.016122079</c:v>
                </c:pt>
                <c:pt idx="43">
                  <c:v>15478402.396952873</c:v>
                </c:pt>
                <c:pt idx="44">
                  <c:v>15478402.251224441</c:v>
                </c:pt>
                <c:pt idx="45">
                  <c:v>15478401.46296367</c:v>
                </c:pt>
                <c:pt idx="46">
                  <c:v>15478400.637542358</c:v>
                </c:pt>
                <c:pt idx="47">
                  <c:v>15478400.060234319</c:v>
                </c:pt>
                <c:pt idx="48">
                  <c:v>15478399.780227493</c:v>
                </c:pt>
                <c:pt idx="49">
                  <c:v>15478399.724322753</c:v>
                </c:pt>
                <c:pt idx="50">
                  <c:v>15478399.787549477</c:v>
                </c:pt>
                <c:pt idx="51">
                  <c:v>15478399.884277983</c:v>
                </c:pt>
                <c:pt idx="52">
                  <c:v>15478399.965091879</c:v>
                </c:pt>
                <c:pt idx="53">
                  <c:v>15478400.012785075</c:v>
                </c:pt>
                <c:pt idx="54">
                  <c:v>15478400.030217404</c:v>
                </c:pt>
                <c:pt idx="55">
                  <c:v>15478400.028391449</c:v>
                </c:pt>
                <c:pt idx="56">
                  <c:v>15478400.018455628</c:v>
                </c:pt>
                <c:pt idx="57">
                  <c:v>15478400.00804648</c:v>
                </c:pt>
                <c:pt idx="58">
                  <c:v>15478400.000764092</c:v>
                </c:pt>
                <c:pt idx="59">
                  <c:v>15478399.997230606</c:v>
                </c:pt>
                <c:pt idx="60">
                  <c:v>15478399.996523852</c:v>
                </c:pt>
                <c:pt idx="61">
                  <c:v>15478399.997320283</c:v>
                </c:pt>
                <c:pt idx="62">
                  <c:v>15478399.998539872</c:v>
                </c:pt>
                <c:pt idx="63">
                  <c:v>15478399.999559144</c:v>
                </c:pt>
                <c:pt idx="64">
                  <c:v>15478400.000160862</c:v>
                </c:pt>
                <c:pt idx="65">
                  <c:v>15478400.000380937</c:v>
                </c:pt>
                <c:pt idx="66">
                  <c:v>15478400.00035806</c:v>
                </c:pt>
                <c:pt idx="67">
                  <c:v>15478400.000232821</c:v>
                </c:pt>
                <c:pt idx="68">
                  <c:v>15478400.000101555</c:v>
                </c:pt>
                <c:pt idx="69">
                  <c:v>15478400.000009693</c:v>
                </c:pt>
                <c:pt idx="70">
                  <c:v>15478399.999965103</c:v>
                </c:pt>
                <c:pt idx="71">
                  <c:v>15478399.999956168</c:v>
                </c:pt>
                <c:pt idx="72">
                  <c:v>15478399.9999662</c:v>
                </c:pt>
                <c:pt idx="73">
                  <c:v>15478399.999981578</c:v>
                </c:pt>
                <c:pt idx="74">
                  <c:v>15478399.999994434</c:v>
                </c:pt>
                <c:pt idx="75">
                  <c:v>15478400.000002027</c:v>
                </c:pt>
                <c:pt idx="76">
                  <c:v>15478400.000004804</c:v>
                </c:pt>
                <c:pt idx="77">
                  <c:v>15478400.000004517</c:v>
                </c:pt>
                <c:pt idx="78">
                  <c:v>15478400.000002939</c:v>
                </c:pt>
                <c:pt idx="79">
                  <c:v>15478400.000001283</c:v>
                </c:pt>
                <c:pt idx="80">
                  <c:v>15478400.000000123</c:v>
                </c:pt>
                <c:pt idx="81">
                  <c:v>15478399.99999956</c:v>
                </c:pt>
                <c:pt idx="82">
                  <c:v>15478399.999999447</c:v>
                </c:pt>
                <c:pt idx="83">
                  <c:v>15478399.999999573</c:v>
                </c:pt>
                <c:pt idx="84">
                  <c:v>15478399.999999767</c:v>
                </c:pt>
                <c:pt idx="85">
                  <c:v>15478399.999999929</c:v>
                </c:pt>
                <c:pt idx="86">
                  <c:v>15478400.000000024</c:v>
                </c:pt>
                <c:pt idx="87">
                  <c:v>15478400.00000006</c:v>
                </c:pt>
                <c:pt idx="88">
                  <c:v>15478400.000000056</c:v>
                </c:pt>
                <c:pt idx="89">
                  <c:v>15478400.000000035</c:v>
                </c:pt>
                <c:pt idx="90">
                  <c:v>15478400.000000015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DD-4A34-8118-50F24155A863}"/>
            </c:ext>
          </c:extLst>
        </c:ser>
        <c:ser>
          <c:idx val="2"/>
          <c:order val="2"/>
          <c:tx>
            <c:strRef>
              <c:f>'Ralston''s method'!$H$11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'Ralston''s method'!$E$12:$E$102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'Ralston''s method'!$H$12:$H$102</c:f>
              <c:numCache>
                <c:formatCode>General</c:formatCode>
                <c:ptCount val="91"/>
                <c:pt idx="0">
                  <c:v>5000</c:v>
                </c:pt>
                <c:pt idx="1">
                  <c:v>16892.34602829241</c:v>
                </c:pt>
                <c:pt idx="2">
                  <c:v>56994.408738695754</c:v>
                </c:pt>
                <c:pt idx="3">
                  <c:v>191448.86841417695</c:v>
                </c:pt>
                <c:pt idx="4">
                  <c:v>633625.45762729691</c:v>
                </c:pt>
                <c:pt idx="5">
                  <c:v>1996400.4566263929</c:v>
                </c:pt>
                <c:pt idx="6">
                  <c:v>5381233.154971322</c:v>
                </c:pt>
                <c:pt idx="7">
                  <c:v>9553294.3105601594</c:v>
                </c:pt>
                <c:pt idx="8">
                  <c:v>9440122.3316417318</c:v>
                </c:pt>
                <c:pt idx="9">
                  <c:v>7819505.4791564131</c:v>
                </c:pt>
                <c:pt idx="10">
                  <c:v>6601122.2713247128</c:v>
                </c:pt>
                <c:pt idx="11">
                  <c:v>5903683.7833868507</c:v>
                </c:pt>
                <c:pt idx="12">
                  <c:v>5588241.5702489596</c:v>
                </c:pt>
                <c:pt idx="13">
                  <c:v>5514286.8032125412</c:v>
                </c:pt>
                <c:pt idx="14">
                  <c:v>5569195.1033624811</c:v>
                </c:pt>
                <c:pt idx="15">
                  <c:v>5668415.9389697872</c:v>
                </c:pt>
                <c:pt idx="16">
                  <c:v>5757831.9487330047</c:v>
                </c:pt>
                <c:pt idx="17">
                  <c:v>5813918.7973435568</c:v>
                </c:pt>
                <c:pt idx="18">
                  <c:v>5836347.5416753115</c:v>
                </c:pt>
                <c:pt idx="19">
                  <c:v>5836157.1430111425</c:v>
                </c:pt>
                <c:pt idx="20">
                  <c:v>5825839.2035926115</c:v>
                </c:pt>
                <c:pt idx="21">
                  <c:v>5814305.3642970305</c:v>
                </c:pt>
                <c:pt idx="22">
                  <c:v>5805931.997788188</c:v>
                </c:pt>
                <c:pt idx="23">
                  <c:v>5801664.8527014246</c:v>
                </c:pt>
                <c:pt idx="24">
                  <c:v>5800615.7848429121</c:v>
                </c:pt>
                <c:pt idx="25">
                  <c:v>5801355.6915675355</c:v>
                </c:pt>
                <c:pt idx="26">
                  <c:v>5802666.5951056471</c:v>
                </c:pt>
                <c:pt idx="27">
                  <c:v>5803814.9644591566</c:v>
                </c:pt>
                <c:pt idx="28">
                  <c:v>5804521.3685857747</c:v>
                </c:pt>
                <c:pt idx="29">
                  <c:v>5804801.4122387804</c:v>
                </c:pt>
                <c:pt idx="30">
                  <c:v>5804799.0317990351</c:v>
                </c:pt>
                <c:pt idx="31">
                  <c:v>5804669.8939708816</c:v>
                </c:pt>
                <c:pt idx="32">
                  <c:v>5804524.9702747529</c:v>
                </c:pt>
                <c:pt idx="33">
                  <c:v>5804419.4286087193</c:v>
                </c:pt>
                <c:pt idx="34">
                  <c:v>5804365.5383997252</c:v>
                </c:pt>
                <c:pt idx="35">
                  <c:v>5804352.2642686637</c:v>
                </c:pt>
                <c:pt idx="36">
                  <c:v>5804361.5896269828</c:v>
                </c:pt>
                <c:pt idx="37">
                  <c:v>5804378.1269413214</c:v>
                </c:pt>
                <c:pt idx="38">
                  <c:v>5804392.6136559667</c:v>
                </c:pt>
                <c:pt idx="39">
                  <c:v>5804401.5253900588</c:v>
                </c:pt>
                <c:pt idx="40">
                  <c:v>5804405.0598553289</c:v>
                </c:pt>
                <c:pt idx="41">
                  <c:v>5804405.0319995563</c:v>
                </c:pt>
                <c:pt idx="42">
                  <c:v>5804403.4045604486</c:v>
                </c:pt>
                <c:pt idx="43">
                  <c:v>5804401.5771246031</c:v>
                </c:pt>
                <c:pt idx="44">
                  <c:v>5804400.2458402235</c:v>
                </c:pt>
                <c:pt idx="45">
                  <c:v>5804399.5658202544</c:v>
                </c:pt>
                <c:pt idx="46">
                  <c:v>5804399.3981015598</c:v>
                </c:pt>
                <c:pt idx="47">
                  <c:v>5804399.5155303255</c:v>
                </c:pt>
                <c:pt idx="48">
                  <c:v>5804399.7240290008</c:v>
                </c:pt>
                <c:pt idx="49">
                  <c:v>5804399.9067381937</c:v>
                </c:pt>
                <c:pt idx="50">
                  <c:v>5804400.0191677529</c:v>
                </c:pt>
                <c:pt idx="51">
                  <c:v>5804400.063782692</c:v>
                </c:pt>
                <c:pt idx="52">
                  <c:v>5804400.063459008</c:v>
                </c:pt>
                <c:pt idx="53">
                  <c:v>5804400.0429477021</c:v>
                </c:pt>
                <c:pt idx="54">
                  <c:v>5804400.0199033692</c:v>
                </c:pt>
                <c:pt idx="55">
                  <c:v>5804400.0031106239</c:v>
                </c:pt>
                <c:pt idx="56">
                  <c:v>5804399.9945298051</c:v>
                </c:pt>
                <c:pt idx="57">
                  <c:v>5804399.992410725</c:v>
                </c:pt>
                <c:pt idx="58">
                  <c:v>5804399.9938894156</c:v>
                </c:pt>
                <c:pt idx="59">
                  <c:v>5804399.9965180978</c:v>
                </c:pt>
                <c:pt idx="60">
                  <c:v>5804399.9988224534</c:v>
                </c:pt>
                <c:pt idx="61">
                  <c:v>5804400.000240854</c:v>
                </c:pt>
                <c:pt idx="62">
                  <c:v>5804400.0008040201</c:v>
                </c:pt>
                <c:pt idx="63">
                  <c:v>5804400.0008002864</c:v>
                </c:pt>
                <c:pt idx="64">
                  <c:v>5804400.0005417736</c:v>
                </c:pt>
                <c:pt idx="65">
                  <c:v>5804400.0002511796</c:v>
                </c:pt>
                <c:pt idx="66">
                  <c:v>5804400.0000393568</c:v>
                </c:pt>
                <c:pt idx="67">
                  <c:v>5804399.9999310812</c:v>
                </c:pt>
                <c:pt idx="68">
                  <c:v>5804399.9999043075</c:v>
                </c:pt>
                <c:pt idx="69">
                  <c:v>5804399.9999229275</c:v>
                </c:pt>
                <c:pt idx="70">
                  <c:v>5804399.9999560686</c:v>
                </c:pt>
                <c:pt idx="71">
                  <c:v>5804399.9999851324</c:v>
                </c:pt>
                <c:pt idx="72">
                  <c:v>5804400.0000030268</c:v>
                </c:pt>
                <c:pt idx="73">
                  <c:v>5804400.0000101356</c:v>
                </c:pt>
                <c:pt idx="74">
                  <c:v>5804400.0000100927</c:v>
                </c:pt>
                <c:pt idx="75">
                  <c:v>5804400.000006834</c:v>
                </c:pt>
                <c:pt idx="76">
                  <c:v>5804400.0000031702</c:v>
                </c:pt>
                <c:pt idx="77">
                  <c:v>5804400.0000004983</c:v>
                </c:pt>
                <c:pt idx="78">
                  <c:v>5804399.9999991311</c:v>
                </c:pt>
                <c:pt idx="79">
                  <c:v>5804399.9999987921</c:v>
                </c:pt>
                <c:pt idx="80">
                  <c:v>5804399.9999990268</c:v>
                </c:pt>
                <c:pt idx="81">
                  <c:v>5804399.9999994449</c:v>
                </c:pt>
                <c:pt idx="82">
                  <c:v>5804399.9999998119</c:v>
                </c:pt>
                <c:pt idx="83">
                  <c:v>5804400.0000000382</c:v>
                </c:pt>
                <c:pt idx="84">
                  <c:v>5804400.0000001276</c:v>
                </c:pt>
                <c:pt idx="85">
                  <c:v>5804400.0000001276</c:v>
                </c:pt>
                <c:pt idx="86">
                  <c:v>5804400.0000000866</c:v>
                </c:pt>
                <c:pt idx="87">
                  <c:v>5804400.00000004</c:v>
                </c:pt>
                <c:pt idx="88">
                  <c:v>5804400.0000000056</c:v>
                </c:pt>
                <c:pt idx="89">
                  <c:v>5804399.9999999879</c:v>
                </c:pt>
                <c:pt idx="90">
                  <c:v>5804399.9999999832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DD-4A34-8118-50F24155A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429167"/>
        <c:axId val="269425839"/>
      </c:scatterChart>
      <c:valAx>
        <c:axId val="269429167"/>
        <c:scaling>
          <c:orientation val="minMax"/>
          <c:max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69425839"/>
        <c:crosses val="autoZero"/>
        <c:crossBetween val="midCat"/>
      </c:valAx>
      <c:valAx>
        <c:axId val="26942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69429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7508030479413856E-2"/>
          <c:y val="0.10531149905006024"/>
          <c:w val="0.86792111515989134"/>
          <c:h val="0.79140135731131733"/>
        </c:manualLayout>
      </c:layout>
      <c:scatterChart>
        <c:scatterStyle val="smoothMarker"/>
        <c:varyColors val="0"/>
        <c:ser>
          <c:idx val="0"/>
          <c:order val="0"/>
          <c:tx>
            <c:v>Runge–Kutte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methods'!$E$9:$E$59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'Comparison of methods'!$F$9:$F$59</c:f>
              <c:numCache>
                <c:formatCode>General</c:formatCode>
                <c:ptCount val="51"/>
                <c:pt idx="0">
                  <c:v>38000000</c:v>
                </c:pt>
                <c:pt idx="1">
                  <c:v>37886411.939525791</c:v>
                </c:pt>
                <c:pt idx="2">
                  <c:v>36145644.610754535</c:v>
                </c:pt>
                <c:pt idx="3">
                  <c:v>23400296.057414167</c:v>
                </c:pt>
                <c:pt idx="4">
                  <c:v>17925031.462774593</c:v>
                </c:pt>
                <c:pt idx="5">
                  <c:v>16902040.283510599</c:v>
                </c:pt>
                <c:pt idx="6">
                  <c:v>16576437.262246357</c:v>
                </c:pt>
                <c:pt idx="7">
                  <c:v>16613935.241067443</c:v>
                </c:pt>
                <c:pt idx="8">
                  <c:v>16687009.272526376</c:v>
                </c:pt>
                <c:pt idx="9">
                  <c:v>16720778.700953329</c:v>
                </c:pt>
                <c:pt idx="10">
                  <c:v>16727071.928311229</c:v>
                </c:pt>
                <c:pt idx="11">
                  <c:v>16725018.341558527</c:v>
                </c:pt>
                <c:pt idx="12">
                  <c:v>16722923.603403412</c:v>
                </c:pt>
                <c:pt idx="13">
                  <c:v>16722136.17268366</c:v>
                </c:pt>
                <c:pt idx="14">
                  <c:v>16722050.723962296</c:v>
                </c:pt>
                <c:pt idx="15">
                  <c:v>16722130.702567041</c:v>
                </c:pt>
                <c:pt idx="16">
                  <c:v>16722186.896965547</c:v>
                </c:pt>
                <c:pt idx="17">
                  <c:v>16722204.067346333</c:v>
                </c:pt>
                <c:pt idx="18">
                  <c:v>16722204.253228739</c:v>
                </c:pt>
                <c:pt idx="19">
                  <c:v>16722201.616053879</c:v>
                </c:pt>
                <c:pt idx="20">
                  <c:v>16722200.182543</c:v>
                </c:pt>
                <c:pt idx="21">
                  <c:v>16722199.839655703</c:v>
                </c:pt>
                <c:pt idx="22">
                  <c:v>16722199.885552734</c:v>
                </c:pt>
                <c:pt idx="23">
                  <c:v>16722199.964625459</c:v>
                </c:pt>
                <c:pt idx="24">
                  <c:v>16722199.999405812</c:v>
                </c:pt>
                <c:pt idx="25">
                  <c:v>16722200.005320672</c:v>
                </c:pt>
                <c:pt idx="26">
                  <c:v>16722200.002927126</c:v>
                </c:pt>
                <c:pt idx="27">
                  <c:v>16722200.000710391</c:v>
                </c:pt>
                <c:pt idx="28">
                  <c:v>16722199.999911733</c:v>
                </c:pt>
                <c:pt idx="29">
                  <c:v>16722199.999839809</c:v>
                </c:pt>
                <c:pt idx="30">
                  <c:v>16722199.999928789</c:v>
                </c:pt>
                <c:pt idx="31">
                  <c:v>16722199.999987619</c:v>
                </c:pt>
                <c:pt idx="32">
                  <c:v>16722200.000004757</c:v>
                </c:pt>
                <c:pt idx="33">
                  <c:v>16722200.000004506</c:v>
                </c:pt>
                <c:pt idx="34">
                  <c:v>16722200.000001641</c:v>
                </c:pt>
                <c:pt idx="35">
                  <c:v>16722200.000000156</c:v>
                </c:pt>
                <c:pt idx="36">
                  <c:v>16722199.999999821</c:v>
                </c:pt>
                <c:pt idx="37">
                  <c:v>16722199.999999881</c:v>
                </c:pt>
                <c:pt idx="38">
                  <c:v>16722199.999999965</c:v>
                </c:pt>
                <c:pt idx="39">
                  <c:v>16722200</c:v>
                </c:pt>
                <c:pt idx="40">
                  <c:v>16722200.000000006</c:v>
                </c:pt>
                <c:pt idx="41">
                  <c:v>16722200.000000004</c:v>
                </c:pt>
                <c:pt idx="42">
                  <c:v>16722200.000000002</c:v>
                </c:pt>
                <c:pt idx="43">
                  <c:v>16722200</c:v>
                </c:pt>
                <c:pt idx="44">
                  <c:v>16722200</c:v>
                </c:pt>
                <c:pt idx="45">
                  <c:v>16722200</c:v>
                </c:pt>
                <c:pt idx="46">
                  <c:v>16722200</c:v>
                </c:pt>
                <c:pt idx="47">
                  <c:v>16722200</c:v>
                </c:pt>
                <c:pt idx="48">
                  <c:v>16722200</c:v>
                </c:pt>
                <c:pt idx="49">
                  <c:v>16722200</c:v>
                </c:pt>
                <c:pt idx="50">
                  <c:v>16722200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90-4803-B63D-4EB5EE1FB630}"/>
            </c:ext>
          </c:extLst>
        </c:ser>
        <c:ser>
          <c:idx val="1"/>
          <c:order val="1"/>
          <c:tx>
            <c:v>Ralston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methods'!$J$9:$J$59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'Comparison of methods'!$K$9:$K$59</c:f>
              <c:numCache>
                <c:formatCode>General</c:formatCode>
                <c:ptCount val="51"/>
                <c:pt idx="0">
                  <c:v>38000000</c:v>
                </c:pt>
                <c:pt idx="1">
                  <c:v>37932761.661307611</c:v>
                </c:pt>
                <c:pt idx="2">
                  <c:v>37276917.938619502</c:v>
                </c:pt>
                <c:pt idx="3">
                  <c:v>31353425.685907323</c:v>
                </c:pt>
                <c:pt idx="4">
                  <c:v>11461132.257788729</c:v>
                </c:pt>
                <c:pt idx="5">
                  <c:v>19349614.124951005</c:v>
                </c:pt>
                <c:pt idx="6">
                  <c:v>15655041.373994771</c:v>
                </c:pt>
                <c:pt idx="7">
                  <c:v>17051827.975633778</c:v>
                </c:pt>
                <c:pt idx="8">
                  <c:v>16695363.851503234</c:v>
                </c:pt>
                <c:pt idx="9">
                  <c:v>16685592.288961967</c:v>
                </c:pt>
                <c:pt idx="10">
                  <c:v>16755116.557363769</c:v>
                </c:pt>
                <c:pt idx="11">
                  <c:v>16705687.054608859</c:v>
                </c:pt>
                <c:pt idx="12">
                  <c:v>16727922.796092549</c:v>
                </c:pt>
                <c:pt idx="13">
                  <c:v>16721175.704716275</c:v>
                </c:pt>
                <c:pt idx="14">
                  <c:v>16721869.173781492</c:v>
                </c:pt>
                <c:pt idx="15">
                  <c:v>16722628.258006038</c:v>
                </c:pt>
                <c:pt idx="16">
                  <c:v>16721954.745907003</c:v>
                </c:pt>
                <c:pt idx="17">
                  <c:v>16722296.014959374</c:v>
                </c:pt>
                <c:pt idx="18">
                  <c:v>16722176.866943251</c:v>
                </c:pt>
                <c:pt idx="19">
                  <c:v>16722198.695768964</c:v>
                </c:pt>
                <c:pt idx="20">
                  <c:v>16722205.243742827</c:v>
                </c:pt>
                <c:pt idx="21">
                  <c:v>16722196.484650901</c:v>
                </c:pt>
                <c:pt idx="22">
                  <c:v>16722201.542793969</c:v>
                </c:pt>
                <c:pt idx="23">
                  <c:v>16722199.549037965</c:v>
                </c:pt>
                <c:pt idx="24">
                  <c:v>16722200.035843702</c:v>
                </c:pt>
                <c:pt idx="25">
                  <c:v>16722200.058309007</c:v>
                </c:pt>
                <c:pt idx="26">
                  <c:v>16722199.951532271</c:v>
                </c:pt>
                <c:pt idx="27">
                  <c:v>16722200.023876835</c:v>
                </c:pt>
                <c:pt idx="28">
                  <c:v>16722199.991914872</c:v>
                </c:pt>
                <c:pt idx="29">
                  <c:v>16722200.001347339</c:v>
                </c:pt>
                <c:pt idx="30">
                  <c:v>16722200.00054032</c:v>
                </c:pt>
                <c:pt idx="31">
                  <c:v>16722199.99936178</c:v>
                </c:pt>
                <c:pt idx="32">
                  <c:v>16722200.000356784</c:v>
                </c:pt>
                <c:pt idx="33">
                  <c:v>16722199.999863164</c:v>
                </c:pt>
                <c:pt idx="34">
                  <c:v>16722200.000031618</c:v>
                </c:pt>
                <c:pt idx="35">
                  <c:v>16722200.000002826</c:v>
                </c:pt>
                <c:pt idx="36">
                  <c:v>16722199.999992086</c:v>
                </c:pt>
                <c:pt idx="37">
                  <c:v>16722200.000005148</c:v>
                </c:pt>
                <c:pt idx="38">
                  <c:v>16722199.999997783</c:v>
                </c:pt>
                <c:pt idx="39">
                  <c:v>16722200.00000063</c:v>
                </c:pt>
                <c:pt idx="40">
                  <c:v>16722199.999999965</c:v>
                </c:pt>
                <c:pt idx="41">
                  <c:v>16722199.999999907</c:v>
                </c:pt>
                <c:pt idx="42">
                  <c:v>16722200.000000073</c:v>
                </c:pt>
                <c:pt idx="43">
                  <c:v>16722199.999999966</c:v>
                </c:pt>
                <c:pt idx="44">
                  <c:v>16722200.000000013</c:v>
                </c:pt>
                <c:pt idx="45">
                  <c:v>16722199.999999998</c:v>
                </c:pt>
                <c:pt idx="46">
                  <c:v>16722200</c:v>
                </c:pt>
                <c:pt idx="47">
                  <c:v>16722200</c:v>
                </c:pt>
                <c:pt idx="48">
                  <c:v>16722200</c:v>
                </c:pt>
                <c:pt idx="49">
                  <c:v>16722200</c:v>
                </c:pt>
                <c:pt idx="50">
                  <c:v>16722200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90-4803-B63D-4EB5EE1F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218224"/>
        <c:axId val="925209072"/>
      </c:scatterChart>
      <c:valAx>
        <c:axId val="925218224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25209072"/>
        <c:crosses val="autoZero"/>
        <c:crossBetween val="midCat"/>
      </c:valAx>
      <c:valAx>
        <c:axId val="92520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2521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Runge-Kutte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methods'!$E$9:$E$59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'Comparison of methods'!$H$9:$H$59</c:f>
              <c:numCache>
                <c:formatCode>General</c:formatCode>
                <c:ptCount val="51"/>
                <c:pt idx="0">
                  <c:v>5000</c:v>
                </c:pt>
                <c:pt idx="1">
                  <c:v>81323.21293708797</c:v>
                </c:pt>
                <c:pt idx="2">
                  <c:v>1243781.4221818543</c:v>
                </c:pt>
                <c:pt idx="3">
                  <c:v>6967821.1866301652</c:v>
                </c:pt>
                <c:pt idx="4">
                  <c:v>7066147.6841165312</c:v>
                </c:pt>
                <c:pt idx="5">
                  <c:v>6144866.1125158509</c:v>
                </c:pt>
                <c:pt idx="6">
                  <c:v>5973313.4130418673</c:v>
                </c:pt>
                <c:pt idx="7">
                  <c:v>5848114.1756152594</c:v>
                </c:pt>
                <c:pt idx="8">
                  <c:v>5801906.7789417161</c:v>
                </c:pt>
                <c:pt idx="9">
                  <c:v>5796032.2883505514</c:v>
                </c:pt>
                <c:pt idx="10">
                  <c:v>5800329.7879707878</c:v>
                </c:pt>
                <c:pt idx="11">
                  <c:v>5803570.8263852419</c:v>
                </c:pt>
                <c:pt idx="12">
                  <c:v>5804607.6753777415</c:v>
                </c:pt>
                <c:pt idx="13">
                  <c:v>5804642.6095743198</c:v>
                </c:pt>
                <c:pt idx="14">
                  <c:v>5804496.0570986774</c:v>
                </c:pt>
                <c:pt idx="15">
                  <c:v>5804412.4787369063</c:v>
                </c:pt>
                <c:pt idx="16">
                  <c:v>5804391.3363115275</c:v>
                </c:pt>
                <c:pt idx="17">
                  <c:v>5804393.3993530339</c:v>
                </c:pt>
                <c:pt idx="18">
                  <c:v>5804397.866741525</c:v>
                </c:pt>
                <c:pt idx="19">
                  <c:v>5804399.9161913712</c:v>
                </c:pt>
                <c:pt idx="20">
                  <c:v>5804400.2953225272</c:v>
                </c:pt>
                <c:pt idx="21">
                  <c:v>5804400.1705689989</c:v>
                </c:pt>
                <c:pt idx="22">
                  <c:v>5804400.0437417952</c:v>
                </c:pt>
                <c:pt idx="23">
                  <c:v>5804399.9961053897</c:v>
                </c:pt>
                <c:pt idx="24">
                  <c:v>5804399.9909563977</c:v>
                </c:pt>
                <c:pt idx="25">
                  <c:v>5804399.9958062787</c:v>
                </c:pt>
                <c:pt idx="26">
                  <c:v>5804399.9992085965</c:v>
                </c:pt>
                <c:pt idx="27">
                  <c:v>5804400.0002469737</c:v>
                </c:pt>
                <c:pt idx="28">
                  <c:v>5804400.0002575871</c:v>
                </c:pt>
                <c:pt idx="29">
                  <c:v>5804400.0000977693</c:v>
                </c:pt>
                <c:pt idx="30">
                  <c:v>5804400.0000109999</c:v>
                </c:pt>
                <c:pt idx="31">
                  <c:v>5804399.9999902761</c:v>
                </c:pt>
                <c:pt idx="32">
                  <c:v>5804399.99999307</c:v>
                </c:pt>
                <c:pt idx="33">
                  <c:v>5804399.9999978598</c:v>
                </c:pt>
                <c:pt idx="34">
                  <c:v>5804399.9999999646</c:v>
                </c:pt>
                <c:pt idx="35">
                  <c:v>5804400.0000003222</c:v>
                </c:pt>
                <c:pt idx="36">
                  <c:v>5804400.000000177</c:v>
                </c:pt>
                <c:pt idx="37">
                  <c:v>5804400.0000000428</c:v>
                </c:pt>
                <c:pt idx="38">
                  <c:v>5804399.9999999944</c:v>
                </c:pt>
                <c:pt idx="39">
                  <c:v>5804399.9999999898</c:v>
                </c:pt>
                <c:pt idx="40">
                  <c:v>5804399.9999999953</c:v>
                </c:pt>
                <c:pt idx="41">
                  <c:v>5804399.9999999991</c:v>
                </c:pt>
                <c:pt idx="42">
                  <c:v>5804400</c:v>
                </c:pt>
                <c:pt idx="43">
                  <c:v>5804400</c:v>
                </c:pt>
                <c:pt idx="44">
                  <c:v>5804400</c:v>
                </c:pt>
                <c:pt idx="45">
                  <c:v>5804400</c:v>
                </c:pt>
                <c:pt idx="46">
                  <c:v>5804400</c:v>
                </c:pt>
                <c:pt idx="47">
                  <c:v>5804400</c:v>
                </c:pt>
                <c:pt idx="48">
                  <c:v>5804400</c:v>
                </c:pt>
                <c:pt idx="49">
                  <c:v>5804400</c:v>
                </c:pt>
                <c:pt idx="50">
                  <c:v>5804400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AA-2B45-9323-B87AE7D940B8}"/>
            </c:ext>
          </c:extLst>
        </c:ser>
        <c:ser>
          <c:idx val="1"/>
          <c:order val="1"/>
          <c:tx>
            <c:v>Ralston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methods'!$J$9:$J$59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'Comparison of methods'!$M$9:$M$59</c:f>
              <c:numCache>
                <c:formatCode>General</c:formatCode>
                <c:ptCount val="51"/>
                <c:pt idx="0">
                  <c:v>5000</c:v>
                </c:pt>
                <c:pt idx="1">
                  <c:v>49970.127667521519</c:v>
                </c:pt>
                <c:pt idx="2">
                  <c:v>494035.19679848826</c:v>
                </c:pt>
                <c:pt idx="3">
                  <c:v>4379261.3601414505</c:v>
                </c:pt>
                <c:pt idx="4">
                  <c:v>10226414.392148543</c:v>
                </c:pt>
                <c:pt idx="5">
                  <c:v>5444953.2433736669</c:v>
                </c:pt>
                <c:pt idx="6">
                  <c:v>6367909.385911298</c:v>
                </c:pt>
                <c:pt idx="7">
                  <c:v>5540693.764717103</c:v>
                </c:pt>
                <c:pt idx="8">
                  <c:v>5914020.9053711584</c:v>
                </c:pt>
                <c:pt idx="9">
                  <c:v>5774996.943943033</c:v>
                </c:pt>
                <c:pt idx="10">
                  <c:v>5804061.9136319626</c:v>
                </c:pt>
                <c:pt idx="11">
                  <c:v>5809939.3893722529</c:v>
                </c:pt>
                <c:pt idx="12">
                  <c:v>5800493.9123696173</c:v>
                </c:pt>
                <c:pt idx="13">
                  <c:v>5806172.6571297674</c:v>
                </c:pt>
                <c:pt idx="14">
                  <c:v>5803857.4589070808</c:v>
                </c:pt>
                <c:pt idx="15">
                  <c:v>5804458.5004637083</c:v>
                </c:pt>
                <c:pt idx="16">
                  <c:v>5804459.0826318609</c:v>
                </c:pt>
                <c:pt idx="17">
                  <c:v>5804346.7551020719</c:v>
                </c:pt>
                <c:pt idx="18">
                  <c:v>5804427.1575466469</c:v>
                </c:pt>
                <c:pt idx="19">
                  <c:v>5804390.453498208</c:v>
                </c:pt>
                <c:pt idx="20">
                  <c:v>5804401.7836254481</c:v>
                </c:pt>
                <c:pt idx="21">
                  <c:v>5804400.499817471</c:v>
                </c:pt>
                <c:pt idx="22">
                  <c:v>5804399.3095404962</c:v>
                </c:pt>
                <c:pt idx="23">
                  <c:v>5804400.4017676981</c:v>
                </c:pt>
                <c:pt idx="24">
                  <c:v>5804399.8406539941</c:v>
                </c:pt>
                <c:pt idx="25">
                  <c:v>5804400.0393708935</c:v>
                </c:pt>
                <c:pt idx="26">
                  <c:v>5804400.0014628153</c:v>
                </c:pt>
                <c:pt idx="27">
                  <c:v>5804399.9916181099</c:v>
                </c:pt>
                <c:pt idx="28">
                  <c:v>5804400.0057349997</c:v>
                </c:pt>
                <c:pt idx="29">
                  <c:v>5804399.9974508677</c:v>
                </c:pt>
                <c:pt idx="30">
                  <c:v>5804400.0007587792</c:v>
                </c:pt>
                <c:pt idx="31">
                  <c:v>5804399.9999309825</c:v>
                </c:pt>
                <c:pt idx="32">
                  <c:v>5804399.9999081306</c:v>
                </c:pt>
                <c:pt idx="33">
                  <c:v>5804400.0000787005</c:v>
                </c:pt>
                <c:pt idx="34">
                  <c:v>5804399.9999607056</c:v>
                </c:pt>
                <c:pt idx="35">
                  <c:v>5804400.0000135051</c:v>
                </c:pt>
                <c:pt idx="36">
                  <c:v>5804399.9999976391</c:v>
                </c:pt>
                <c:pt idx="37">
                  <c:v>5804399.9999991758</c:v>
                </c:pt>
                <c:pt idx="38">
                  <c:v>5804400.000001031</c:v>
                </c:pt>
                <c:pt idx="39">
                  <c:v>5804399.9999994142</c:v>
                </c:pt>
                <c:pt idx="40">
                  <c:v>5804400.0000002272</c:v>
                </c:pt>
                <c:pt idx="41">
                  <c:v>5804399.999999946</c:v>
                </c:pt>
                <c:pt idx="42">
                  <c:v>5804399.9999999953</c:v>
                </c:pt>
                <c:pt idx="43">
                  <c:v>5804400.0000000121</c:v>
                </c:pt>
                <c:pt idx="44">
                  <c:v>5804399.9999999907</c:v>
                </c:pt>
                <c:pt idx="45">
                  <c:v>5804400.0000000037</c:v>
                </c:pt>
                <c:pt idx="46">
                  <c:v>5804399.9999999991</c:v>
                </c:pt>
                <c:pt idx="47">
                  <c:v>5804400.0000000009</c:v>
                </c:pt>
                <c:pt idx="48">
                  <c:v>5804399.9999999991</c:v>
                </c:pt>
                <c:pt idx="49">
                  <c:v>5804400.0000000009</c:v>
                </c:pt>
                <c:pt idx="50">
                  <c:v>5804399.9999999991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AA-2B45-9323-B87AE7D9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399712"/>
        <c:axId val="1901425024"/>
      </c:scatterChart>
      <c:valAx>
        <c:axId val="1901399712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1425024"/>
        <c:crosses val="autoZero"/>
        <c:crossBetween val="midCat"/>
      </c:valAx>
      <c:valAx>
        <c:axId val="190142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1399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Runge-Kutte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methods'!$E$9:$E$59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'Comparison of methods'!$G$9:$G$59</c:f>
              <c:numCache>
                <c:formatCode>General</c:formatCode>
                <c:ptCount val="51"/>
                <c:pt idx="0">
                  <c:v>0</c:v>
                </c:pt>
                <c:pt idx="1">
                  <c:v>37264.847537120739</c:v>
                </c:pt>
                <c:pt idx="2">
                  <c:v>615573.96706360858</c:v>
                </c:pt>
                <c:pt idx="3">
                  <c:v>7636882.7559556654</c:v>
                </c:pt>
                <c:pt idx="4">
                  <c:v>13013820.853108872</c:v>
                </c:pt>
                <c:pt idx="5">
                  <c:v>14958093.603973551</c:v>
                </c:pt>
                <c:pt idx="6">
                  <c:v>15455249.324711775</c:v>
                </c:pt>
                <c:pt idx="7">
                  <c:v>15542950.583317298</c:v>
                </c:pt>
                <c:pt idx="8">
                  <c:v>15516083.948531909</c:v>
                </c:pt>
                <c:pt idx="9">
                  <c:v>15488189.010696121</c:v>
                </c:pt>
                <c:pt idx="10">
                  <c:v>15477598.283717982</c:v>
                </c:pt>
                <c:pt idx="11">
                  <c:v>15476410.832056232</c:v>
                </c:pt>
                <c:pt idx="12">
                  <c:v>15477468.721218847</c:v>
                </c:pt>
                <c:pt idx="13">
                  <c:v>15478221.21774202</c:v>
                </c:pt>
                <c:pt idx="14">
                  <c:v>15478453.218939027</c:v>
                </c:pt>
                <c:pt idx="15">
                  <c:v>15478456.818696054</c:v>
                </c:pt>
                <c:pt idx="16">
                  <c:v>15478421.766722927</c:v>
                </c:pt>
                <c:pt idx="17">
                  <c:v>15478402.533300634</c:v>
                </c:pt>
                <c:pt idx="18">
                  <c:v>15478397.880029736</c:v>
                </c:pt>
                <c:pt idx="19">
                  <c:v>15478398.46775475</c:v>
                </c:pt>
                <c:pt idx="20">
                  <c:v>15478399.522134472</c:v>
                </c:pt>
                <c:pt idx="21">
                  <c:v>15478399.989775298</c:v>
                </c:pt>
                <c:pt idx="22">
                  <c:v>15478400.070705472</c:v>
                </c:pt>
                <c:pt idx="23">
                  <c:v>15478400.039269153</c:v>
                </c:pt>
                <c:pt idx="24">
                  <c:v>15478400.00963779</c:v>
                </c:pt>
                <c:pt idx="25">
                  <c:v>15478399.998873049</c:v>
                </c:pt>
                <c:pt idx="26">
                  <c:v>15478399.997864276</c:v>
                </c:pt>
                <c:pt idx="27">
                  <c:v>15478399.999042636</c:v>
                </c:pt>
                <c:pt idx="28">
                  <c:v>15478399.99983068</c:v>
                </c:pt>
                <c:pt idx="29">
                  <c:v>15478400.000062421</c:v>
                </c:pt>
                <c:pt idx="30">
                  <c:v>15478400.00006021</c:v>
                </c:pt>
                <c:pt idx="31">
                  <c:v>15478400.000022106</c:v>
                </c:pt>
                <c:pt idx="32">
                  <c:v>15478400.000002174</c:v>
                </c:pt>
                <c:pt idx="33">
                  <c:v>15478399.999997634</c:v>
                </c:pt>
                <c:pt idx="34">
                  <c:v>15478399.999998394</c:v>
                </c:pt>
                <c:pt idx="35">
                  <c:v>15478399.999999521</c:v>
                </c:pt>
                <c:pt idx="36">
                  <c:v>15478400.000000002</c:v>
                </c:pt>
                <c:pt idx="37">
                  <c:v>15478400.000000076</c:v>
                </c:pt>
                <c:pt idx="38">
                  <c:v>15478400.000000041</c:v>
                </c:pt>
                <c:pt idx="39">
                  <c:v>15478400.000000009</c:v>
                </c:pt>
                <c:pt idx="40">
                  <c:v>15478399.999999998</c:v>
                </c:pt>
                <c:pt idx="41">
                  <c:v>15478399.999999998</c:v>
                </c:pt>
                <c:pt idx="42">
                  <c:v>15478400</c:v>
                </c:pt>
                <c:pt idx="43">
                  <c:v>15478400</c:v>
                </c:pt>
                <c:pt idx="44">
                  <c:v>15478400</c:v>
                </c:pt>
                <c:pt idx="45">
                  <c:v>15478400</c:v>
                </c:pt>
                <c:pt idx="46">
                  <c:v>15478400</c:v>
                </c:pt>
                <c:pt idx="47">
                  <c:v>15478400</c:v>
                </c:pt>
                <c:pt idx="48">
                  <c:v>15478400</c:v>
                </c:pt>
                <c:pt idx="49">
                  <c:v>15478400</c:v>
                </c:pt>
                <c:pt idx="50">
                  <c:v>15478400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AA-074A-B344-DCE4A39C2257}"/>
            </c:ext>
          </c:extLst>
        </c:ser>
        <c:ser>
          <c:idx val="1"/>
          <c:order val="1"/>
          <c:tx>
            <c:v>Ralston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methods'!$J$9:$J$59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'Comparison of methods'!$L$9:$L$59</c:f>
              <c:numCache>
                <c:formatCode>General</c:formatCode>
                <c:ptCount val="51"/>
                <c:pt idx="0">
                  <c:v>0</c:v>
                </c:pt>
                <c:pt idx="1">
                  <c:v>22268.211024865148</c:v>
                </c:pt>
                <c:pt idx="2">
                  <c:v>234046.86458200993</c:v>
                </c:pt>
                <c:pt idx="3">
                  <c:v>2272312.9539512261</c:v>
                </c:pt>
                <c:pt idx="4">
                  <c:v>16317453.35006273</c:v>
                </c:pt>
                <c:pt idx="5">
                  <c:v>13210432.631675331</c:v>
                </c:pt>
                <c:pt idx="6">
                  <c:v>15982049.240093935</c:v>
                </c:pt>
                <c:pt idx="7">
                  <c:v>15412478.259649122</c:v>
                </c:pt>
                <c:pt idx="8">
                  <c:v>15395615.24312561</c:v>
                </c:pt>
                <c:pt idx="9">
                  <c:v>15544410.767095001</c:v>
                </c:pt>
                <c:pt idx="10">
                  <c:v>15445821.52900427</c:v>
                </c:pt>
                <c:pt idx="11">
                  <c:v>15489373.556018889</c:v>
                </c:pt>
                <c:pt idx="12">
                  <c:v>15476583.291537836</c:v>
                </c:pt>
                <c:pt idx="13">
                  <c:v>15477651.638153961</c:v>
                </c:pt>
                <c:pt idx="14">
                  <c:v>15479273.367311431</c:v>
                </c:pt>
                <c:pt idx="15">
                  <c:v>15477913.241530256</c:v>
                </c:pt>
                <c:pt idx="16">
                  <c:v>15478586.171461137</c:v>
                </c:pt>
                <c:pt idx="17">
                  <c:v>15478357.229938556</c:v>
                </c:pt>
                <c:pt idx="18">
                  <c:v>15478395.975510104</c:v>
                </c:pt>
                <c:pt idx="19">
                  <c:v>15478410.850732829</c:v>
                </c:pt>
                <c:pt idx="20">
                  <c:v>15478392.972631726</c:v>
                </c:pt>
                <c:pt idx="21">
                  <c:v>15478403.015531631</c:v>
                </c:pt>
                <c:pt idx="22">
                  <c:v>15478399.147665538</c:v>
                </c:pt>
                <c:pt idx="23">
                  <c:v>15478400.04919434</c:v>
                </c:pt>
                <c:pt idx="24">
                  <c:v>15478400.123502307</c:v>
                </c:pt>
                <c:pt idx="25">
                  <c:v>15478399.902320102</c:v>
                </c:pt>
                <c:pt idx="26">
                  <c:v>15478400.047004916</c:v>
                </c:pt>
                <c:pt idx="27">
                  <c:v>15478399.984505057</c:v>
                </c:pt>
                <c:pt idx="28">
                  <c:v>15478400.002350129</c:v>
                </c:pt>
                <c:pt idx="29">
                  <c:v>15478400.001201797</c:v>
                </c:pt>
                <c:pt idx="30">
                  <c:v>15478399.998700902</c:v>
                </c:pt>
                <c:pt idx="31">
                  <c:v>15478400.000707239</c:v>
                </c:pt>
                <c:pt idx="32">
                  <c:v>15478399.999735087</c:v>
                </c:pt>
                <c:pt idx="33">
                  <c:v>15478400.000058137</c:v>
                </c:pt>
                <c:pt idx="34">
                  <c:v>15478400.00000768</c:v>
                </c:pt>
                <c:pt idx="35">
                  <c:v>15478399.999983672</c:v>
                </c:pt>
                <c:pt idx="36">
                  <c:v>15478400.000010278</c:v>
                </c:pt>
                <c:pt idx="37">
                  <c:v>15478399.999995677</c:v>
                </c:pt>
                <c:pt idx="38">
                  <c:v>15478400.000001185</c:v>
                </c:pt>
                <c:pt idx="39">
                  <c:v>15478399.999999955</c:v>
                </c:pt>
                <c:pt idx="40">
                  <c:v>15478399.99999981</c:v>
                </c:pt>
                <c:pt idx="41">
                  <c:v>15478400.000000147</c:v>
                </c:pt>
                <c:pt idx="42">
                  <c:v>15478399.999999931</c:v>
                </c:pt>
                <c:pt idx="43">
                  <c:v>15478400.00000002</c:v>
                </c:pt>
                <c:pt idx="44">
                  <c:v>15478399.999999996</c:v>
                </c:pt>
                <c:pt idx="45">
                  <c:v>15478399.999999998</c:v>
                </c:pt>
                <c:pt idx="46">
                  <c:v>15478400.000000002</c:v>
                </c:pt>
                <c:pt idx="47">
                  <c:v>15478400</c:v>
                </c:pt>
                <c:pt idx="48">
                  <c:v>15478400.000000002</c:v>
                </c:pt>
                <c:pt idx="49">
                  <c:v>15478400</c:v>
                </c:pt>
                <c:pt idx="50">
                  <c:v>15478400.000000002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AA-074A-B344-DCE4A39C2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725984"/>
        <c:axId val="1902108960"/>
      </c:scatterChart>
      <c:valAx>
        <c:axId val="1901725984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2108960"/>
        <c:crosses val="autoZero"/>
        <c:crossBetween val="midCat"/>
      </c:valAx>
      <c:valAx>
        <c:axId val="190210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1725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9.2449099907995588E-2"/>
          <c:y val="9.1354074866552684E-2"/>
          <c:w val="0.88442573160474336"/>
          <c:h val="0.75563479655918619"/>
        </c:manualLayout>
      </c:layout>
      <c:scatterChart>
        <c:scatterStyle val="smoothMarker"/>
        <c:varyColors val="0"/>
        <c:ser>
          <c:idx val="0"/>
          <c:order val="0"/>
          <c:tx>
            <c:v>Range–Kutte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methods'!$AF$9:$AF$129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'Comparison of methods'!$AG$9:$AG$129</c:f>
              <c:numCache>
                <c:formatCode>General</c:formatCode>
                <c:ptCount val="121"/>
                <c:pt idx="0">
                  <c:v>38000000</c:v>
                </c:pt>
                <c:pt idx="1">
                  <c:v>37978543.750554599</c:v>
                </c:pt>
                <c:pt idx="2">
                  <c:v>37898382.228039667</c:v>
                </c:pt>
                <c:pt idx="3">
                  <c:v>37596356.400480084</c:v>
                </c:pt>
                <c:pt idx="4">
                  <c:v>36497207.063840918</c:v>
                </c:pt>
                <c:pt idx="5">
                  <c:v>33002655.574775986</c:v>
                </c:pt>
                <c:pt idx="6">
                  <c:v>25514210.698492393</c:v>
                </c:pt>
                <c:pt idx="7">
                  <c:v>17866789.660640776</c:v>
                </c:pt>
                <c:pt idx="8">
                  <c:v>14407416.620761942</c:v>
                </c:pt>
                <c:pt idx="9">
                  <c:v>13759818.221375031</c:v>
                </c:pt>
                <c:pt idx="10">
                  <c:v>14340446.23758688</c:v>
                </c:pt>
                <c:pt idx="11">
                  <c:v>15276879.363880552</c:v>
                </c:pt>
                <c:pt idx="12">
                  <c:v>16137668.314834334</c:v>
                </c:pt>
                <c:pt idx="13">
                  <c:v>16740056.803378016</c:v>
                </c:pt>
                <c:pt idx="14">
                  <c:v>17049149.824540973</c:v>
                </c:pt>
                <c:pt idx="15">
                  <c:v>17118350.423410598</c:v>
                </c:pt>
                <c:pt idx="16">
                  <c:v>17041181.293835457</c:v>
                </c:pt>
                <c:pt idx="17">
                  <c:v>16909844.085659772</c:v>
                </c:pt>
                <c:pt idx="18">
                  <c:v>16788853.074634906</c:v>
                </c:pt>
                <c:pt idx="19">
                  <c:v>16708339.541662252</c:v>
                </c:pt>
                <c:pt idx="20">
                  <c:v>16671619.231939459</c:v>
                </c:pt>
                <c:pt idx="21">
                  <c:v>16667577.709038813</c:v>
                </c:pt>
                <c:pt idx="22">
                  <c:v>16681196.2951209</c:v>
                </c:pt>
                <c:pt idx="23">
                  <c:v>16699850.053584797</c:v>
                </c:pt>
                <c:pt idx="24">
                  <c:v>16715720.02033074</c:v>
                </c:pt>
                <c:pt idx="25">
                  <c:v>16725636.14115672</c:v>
                </c:pt>
                <c:pt idx="26">
                  <c:v>16729688.51533699</c:v>
                </c:pt>
                <c:pt idx="27">
                  <c:v>16729600.378275437</c:v>
                </c:pt>
                <c:pt idx="28">
                  <c:v>16727433.996958368</c:v>
                </c:pt>
                <c:pt idx="29">
                  <c:v>16724833.331447044</c:v>
                </c:pt>
                <c:pt idx="30">
                  <c:v>16722757.987121586</c:v>
                </c:pt>
                <c:pt idx="31">
                  <c:v>16721544.475921176</c:v>
                </c:pt>
                <c:pt idx="32">
                  <c:v>16721116.409874422</c:v>
                </c:pt>
                <c:pt idx="33">
                  <c:v>16721209.775262561</c:v>
                </c:pt>
                <c:pt idx="34">
                  <c:v>16721541.063719278</c:v>
                </c:pt>
                <c:pt idx="35">
                  <c:v>16721898.15697002</c:v>
                </c:pt>
                <c:pt idx="36">
                  <c:v>16722165.977999046</c:v>
                </c:pt>
                <c:pt idx="37">
                  <c:v>16722311.697732601</c:v>
                </c:pt>
                <c:pt idx="38">
                  <c:v>16722353.653123125</c:v>
                </c:pt>
                <c:pt idx="39">
                  <c:v>16722330.90134404</c:v>
                </c:pt>
                <c:pt idx="40">
                  <c:v>16722281.822138159</c:v>
                </c:pt>
                <c:pt idx="41">
                  <c:v>16722233.448045125</c:v>
                </c:pt>
                <c:pt idx="42">
                  <c:v>16722199.300599707</c:v>
                </c:pt>
                <c:pt idx="43">
                  <c:v>16722182.165519862</c:v>
                </c:pt>
                <c:pt idx="44">
                  <c:v>16722178.579630731</c:v>
                </c:pt>
                <c:pt idx="45">
                  <c:v>16722182.900295215</c:v>
                </c:pt>
                <c:pt idx="46">
                  <c:v>16722189.996159174</c:v>
                </c:pt>
                <c:pt idx="47">
                  <c:v>16722196.466561086</c:v>
                </c:pt>
                <c:pt idx="48">
                  <c:v>16722200.764406033</c:v>
                </c:pt>
                <c:pt idx="49">
                  <c:v>16722202.727140592</c:v>
                </c:pt>
                <c:pt idx="50">
                  <c:v>16722202.941704599</c:v>
                </c:pt>
                <c:pt idx="51">
                  <c:v>16722202.20726091</c:v>
                </c:pt>
                <c:pt idx="52">
                  <c:v>16722201.201595953</c:v>
                </c:pt>
                <c:pt idx="53">
                  <c:v>16722200.346559113</c:v>
                </c:pt>
                <c:pt idx="54">
                  <c:v>16722199.813126212</c:v>
                </c:pt>
                <c:pt idx="55">
                  <c:v>16722199.59589429</c:v>
                </c:pt>
                <c:pt idx="56">
                  <c:v>16722199.601467246</c:v>
                </c:pt>
                <c:pt idx="57">
                  <c:v>16722199.718553726</c:v>
                </c:pt>
                <c:pt idx="58">
                  <c:v>16722199.858684149</c:v>
                </c:pt>
                <c:pt idx="59">
                  <c:v>16722199.970338622</c:v>
                </c:pt>
                <c:pt idx="60">
                  <c:v>16722200.035525966</c:v>
                </c:pt>
                <c:pt idx="61">
                  <c:v>16722200.058434492</c:v>
                </c:pt>
                <c:pt idx="62">
                  <c:v>16722200.05331159</c:v>
                </c:pt>
                <c:pt idx="63">
                  <c:v>16722200.035426695</c:v>
                </c:pt>
                <c:pt idx="64">
                  <c:v>16722200.016190428</c:v>
                </c:pt>
                <c:pt idx="65">
                  <c:v>16722200.001783051</c:v>
                </c:pt>
                <c:pt idx="66">
                  <c:v>16722199.99395767</c:v>
                </c:pt>
                <c:pt idx="67">
                  <c:v>16722199.991717268</c:v>
                </c:pt>
                <c:pt idx="68">
                  <c:v>16722199.9929545</c:v>
                </c:pt>
                <c:pt idx="69">
                  <c:v>16722199.995602513</c:v>
                </c:pt>
                <c:pt idx="70">
                  <c:v>16722199.998207565</c:v>
                </c:pt>
                <c:pt idx="71">
                  <c:v>16722200.000043953</c:v>
                </c:pt>
                <c:pt idx="72">
                  <c:v>16722200.00096363</c:v>
                </c:pt>
                <c:pt idx="73">
                  <c:v>16722200.001154255</c:v>
                </c:pt>
                <c:pt idx="74">
                  <c:v>16722200.000920111</c:v>
                </c:pt>
                <c:pt idx="75">
                  <c:v>16722200.000537451</c:v>
                </c:pt>
                <c:pt idx="76">
                  <c:v>16722200.000189103</c:v>
                </c:pt>
                <c:pt idx="77">
                  <c:v>16722199.999958042</c:v>
                </c:pt>
                <c:pt idx="78">
                  <c:v>16722199.999852769</c:v>
                </c:pt>
                <c:pt idx="79">
                  <c:v>16722199.999841535</c:v>
                </c:pt>
                <c:pt idx="80">
                  <c:v>16722199.999881264</c:v>
                </c:pt>
                <c:pt idx="81">
                  <c:v>16722199.999935474</c:v>
                </c:pt>
                <c:pt idx="82">
                  <c:v>16722199.999981495</c:v>
                </c:pt>
                <c:pt idx="83">
                  <c:v>16722200.000010163</c:v>
                </c:pt>
                <c:pt idx="84">
                  <c:v>16722200.000021804</c:v>
                </c:pt>
                <c:pt idx="85">
                  <c:v>16722200.000021463</c:v>
                </c:pt>
                <c:pt idx="86">
                  <c:v>16722200.000015136</c:v>
                </c:pt>
                <c:pt idx="87">
                  <c:v>16722200.000007585</c:v>
                </c:pt>
                <c:pt idx="88">
                  <c:v>16722200.000001578</c:v>
                </c:pt>
                <c:pt idx="89">
                  <c:v>16722199.999998076</c:v>
                </c:pt>
                <c:pt idx="90">
                  <c:v>16722199.999996848</c:v>
                </c:pt>
                <c:pt idx="91">
                  <c:v>16722199.99999713</c:v>
                </c:pt>
                <c:pt idx="92">
                  <c:v>16722199.999998096</c:v>
                </c:pt>
                <c:pt idx="93">
                  <c:v>16722199.999999132</c:v>
                </c:pt>
                <c:pt idx="94">
                  <c:v>16722199.999999907</c:v>
                </c:pt>
                <c:pt idx="95">
                  <c:v>16722200.000000326</c:v>
                </c:pt>
                <c:pt idx="96">
                  <c:v>16722200.000000447</c:v>
                </c:pt>
                <c:pt idx="97">
                  <c:v>16722200.00000038</c:v>
                </c:pt>
                <c:pt idx="98">
                  <c:v>16722200.000000237</c:v>
                </c:pt>
                <c:pt idx="99">
                  <c:v>16722200.000000097</c:v>
                </c:pt>
                <c:pt idx="100">
                  <c:v>16722199.999999998</c:v>
                </c:pt>
                <c:pt idx="101">
                  <c:v>16722199.999999948</c:v>
                </c:pt>
                <c:pt idx="102">
                  <c:v>16722199.999999939</c:v>
                </c:pt>
                <c:pt idx="103">
                  <c:v>16722199.999999952</c:v>
                </c:pt>
                <c:pt idx="104">
                  <c:v>16722199.999999972</c:v>
                </c:pt>
                <c:pt idx="105">
                  <c:v>16722199.999999991</c:v>
                </c:pt>
                <c:pt idx="106">
                  <c:v>16722200.000000004</c:v>
                </c:pt>
                <c:pt idx="107">
                  <c:v>16722200.000000009</c:v>
                </c:pt>
                <c:pt idx="108">
                  <c:v>16722200.000000009</c:v>
                </c:pt>
                <c:pt idx="109">
                  <c:v>16722200.000000006</c:v>
                </c:pt>
                <c:pt idx="110">
                  <c:v>16722200.000000002</c:v>
                </c:pt>
                <c:pt idx="111">
                  <c:v>16722200</c:v>
                </c:pt>
                <c:pt idx="112">
                  <c:v>16722200</c:v>
                </c:pt>
                <c:pt idx="113">
                  <c:v>16722200</c:v>
                </c:pt>
                <c:pt idx="114">
                  <c:v>16722200</c:v>
                </c:pt>
                <c:pt idx="115">
                  <c:v>16722200</c:v>
                </c:pt>
                <c:pt idx="116">
                  <c:v>16722200</c:v>
                </c:pt>
                <c:pt idx="117">
                  <c:v>16722200</c:v>
                </c:pt>
                <c:pt idx="118">
                  <c:v>16722200</c:v>
                </c:pt>
                <c:pt idx="119">
                  <c:v>16722200</c:v>
                </c:pt>
                <c:pt idx="120">
                  <c:v>16722200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28-6346-A553-7F69D77372CA}"/>
            </c:ext>
          </c:extLst>
        </c:ser>
        <c:ser>
          <c:idx val="1"/>
          <c:order val="1"/>
          <c:tx>
            <c:v>Ralston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methods'!$AK$9:$AK$129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'Comparison of methods'!$AL$9:$AL$129</c:f>
              <c:numCache>
                <c:formatCode>General</c:formatCode>
                <c:ptCount val="121"/>
                <c:pt idx="0">
                  <c:v>38000000</c:v>
                </c:pt>
                <c:pt idx="1">
                  <c:v>37981908.311779886</c:v>
                </c:pt>
                <c:pt idx="2">
                  <c:v>37922450.835976191</c:v>
                </c:pt>
                <c:pt idx="3">
                  <c:v>37723963.567373455</c:v>
                </c:pt>
                <c:pt idx="4">
                  <c:v>37068650.921475992</c:v>
                </c:pt>
                <c:pt idx="5">
                  <c:v>35012985.840415299</c:v>
                </c:pt>
                <c:pt idx="6">
                  <c:v>29563668.401233587</c:v>
                </c:pt>
                <c:pt idx="7">
                  <c:v>20694434.744907208</c:v>
                </c:pt>
                <c:pt idx="8">
                  <c:v>15290972.391467094</c:v>
                </c:pt>
                <c:pt idx="9">
                  <c:v>14232656.803634752</c:v>
                </c:pt>
                <c:pt idx="10">
                  <c:v>14713971.891808165</c:v>
                </c:pt>
                <c:pt idx="11">
                  <c:v>15527384.150916051</c:v>
                </c:pt>
                <c:pt idx="12">
                  <c:v>16240276.356022878</c:v>
                </c:pt>
                <c:pt idx="13">
                  <c:v>16710091.663868578</c:v>
                </c:pt>
                <c:pt idx="14">
                  <c:v>16931283.671952654</c:v>
                </c:pt>
                <c:pt idx="15">
                  <c:v>16968024.273932192</c:v>
                </c:pt>
                <c:pt idx="16">
                  <c:v>16906403.673746496</c:v>
                </c:pt>
                <c:pt idx="17">
                  <c:v>16818978.798852477</c:v>
                </c:pt>
                <c:pt idx="18">
                  <c:v>16748166.383906962</c:v>
                </c:pt>
                <c:pt idx="19">
                  <c:v>16707876.800501386</c:v>
                </c:pt>
                <c:pt idx="20">
                  <c:v>16694353.738800488</c:v>
                </c:pt>
                <c:pt idx="21">
                  <c:v>16697211.311374681</c:v>
                </c:pt>
                <c:pt idx="22">
                  <c:v>16706518.245009605</c:v>
                </c:pt>
                <c:pt idx="23">
                  <c:v>16715747.483496467</c:v>
                </c:pt>
                <c:pt idx="24">
                  <c:v>16721984.316660065</c:v>
                </c:pt>
                <c:pt idx="25">
                  <c:v>16724870.569611369</c:v>
                </c:pt>
                <c:pt idx="26">
                  <c:v>16725317.44431355</c:v>
                </c:pt>
                <c:pt idx="27">
                  <c:v>16724518.883654794</c:v>
                </c:pt>
                <c:pt idx="28">
                  <c:v>16723414.051346598</c:v>
                </c:pt>
                <c:pt idx="29">
                  <c:v>16722525.522344332</c:v>
                </c:pt>
                <c:pt idx="30">
                  <c:v>16722019.854564955</c:v>
                </c:pt>
                <c:pt idx="31">
                  <c:v>16721849.349759365</c:v>
                </c:pt>
                <c:pt idx="32">
                  <c:v>16721884.89474917</c:v>
                </c:pt>
                <c:pt idx="33">
                  <c:v>16722002.067249</c:v>
                </c:pt>
                <c:pt idx="34">
                  <c:v>16722118.494390776</c:v>
                </c:pt>
                <c:pt idx="35">
                  <c:v>16722197.22210395</c:v>
                </c:pt>
                <c:pt idx="36">
                  <c:v>16722233.662274921</c:v>
                </c:pt>
                <c:pt idx="37">
                  <c:v>16722239.313665828</c:v>
                </c:pt>
                <c:pt idx="38">
                  <c:v>16722229.249029925</c:v>
                </c:pt>
                <c:pt idx="39">
                  <c:v>16722215.317905987</c:v>
                </c:pt>
                <c:pt idx="40">
                  <c:v>16722204.111672366</c:v>
                </c:pt>
                <c:pt idx="41">
                  <c:v>16722197.7321219</c:v>
                </c:pt>
                <c:pt idx="42">
                  <c:v>16722195.579317475</c:v>
                </c:pt>
                <c:pt idx="43">
                  <c:v>16722196.025922528</c:v>
                </c:pt>
                <c:pt idx="44">
                  <c:v>16722197.502935337</c:v>
                </c:pt>
                <c:pt idx="45">
                  <c:v>16722198.971216079</c:v>
                </c:pt>
                <c:pt idx="46">
                  <c:v>16722199.964356085</c:v>
                </c:pt>
                <c:pt idx="47">
                  <c:v>16722200.424235357</c:v>
                </c:pt>
                <c:pt idx="48">
                  <c:v>16722200.495743508</c:v>
                </c:pt>
                <c:pt idx="49">
                  <c:v>16722200.368939053</c:v>
                </c:pt>
                <c:pt idx="50">
                  <c:v>16722200.19328277</c:v>
                </c:pt>
                <c:pt idx="51">
                  <c:v>16722200.051939325</c:v>
                </c:pt>
                <c:pt idx="52">
                  <c:v>16722199.971449113</c:v>
                </c:pt>
                <c:pt idx="53">
                  <c:v>16722199.944267221</c:v>
                </c:pt>
                <c:pt idx="54">
                  <c:v>16722199.949879227</c:v>
                </c:pt>
                <c:pt idx="55">
                  <c:v>16722199.968497928</c:v>
                </c:pt>
                <c:pt idx="56">
                  <c:v>16722199.987014567</c:v>
                </c:pt>
                <c:pt idx="57">
                  <c:v>16722199.999542795</c:v>
                </c:pt>
                <c:pt idx="58">
                  <c:v>16722200.005346492</c:v>
                </c:pt>
                <c:pt idx="59">
                  <c:v>16722200.006251296</c:v>
                </c:pt>
                <c:pt idx="60">
                  <c:v>16722200.004653694</c:v>
                </c:pt>
                <c:pt idx="61">
                  <c:v>16722200.002438862</c:v>
                </c:pt>
                <c:pt idx="62">
                  <c:v>16722200.000656106</c:v>
                </c:pt>
                <c:pt idx="63">
                  <c:v>16722199.999640567</c:v>
                </c:pt>
                <c:pt idx="64">
                  <c:v>16722199.999297362</c:v>
                </c:pt>
                <c:pt idx="65">
                  <c:v>16722199.999367882</c:v>
                </c:pt>
                <c:pt idx="66">
                  <c:v>16722199.999602584</c:v>
                </c:pt>
                <c:pt idx="67">
                  <c:v>16722199.999836098</c:v>
                </c:pt>
                <c:pt idx="68">
                  <c:v>16722199.999994138</c:v>
                </c:pt>
                <c:pt idx="69">
                  <c:v>16722200.000067381</c:v>
                </c:pt>
                <c:pt idx="70">
                  <c:v>16722200.000078829</c:v>
                </c:pt>
                <c:pt idx="71">
                  <c:v>16722200.000058701</c:v>
                </c:pt>
                <c:pt idx="72">
                  <c:v>16722200.000030775</c:v>
                </c:pt>
                <c:pt idx="73">
                  <c:v>16722200.000008289</c:v>
                </c:pt>
                <c:pt idx="74">
                  <c:v>16722199.999995476</c:v>
                </c:pt>
                <c:pt idx="75">
                  <c:v>16722199.999991141</c:v>
                </c:pt>
                <c:pt idx="76">
                  <c:v>16722199.999992028</c:v>
                </c:pt>
                <c:pt idx="77">
                  <c:v>16722199.999994986</c:v>
                </c:pt>
                <c:pt idx="78">
                  <c:v>16722199.999997931</c:v>
                </c:pt>
                <c:pt idx="79">
                  <c:v>16722199.999999925</c:v>
                </c:pt>
                <c:pt idx="80">
                  <c:v>16722200.000000851</c:v>
                </c:pt>
                <c:pt idx="81">
                  <c:v>16722200.000000997</c:v>
                </c:pt>
                <c:pt idx="82">
                  <c:v>16722200.000000743</c:v>
                </c:pt>
                <c:pt idx="83">
                  <c:v>16722200.000000389</c:v>
                </c:pt>
                <c:pt idx="84">
                  <c:v>16722200.000000104</c:v>
                </c:pt>
                <c:pt idx="85">
                  <c:v>16722199.999999942</c:v>
                </c:pt>
                <c:pt idx="86">
                  <c:v>16722199.999999888</c:v>
                </c:pt>
                <c:pt idx="87">
                  <c:v>16722199.999999899</c:v>
                </c:pt>
                <c:pt idx="88">
                  <c:v>16722199.999999937</c:v>
                </c:pt>
                <c:pt idx="89">
                  <c:v>16722199.999999976</c:v>
                </c:pt>
                <c:pt idx="90">
                  <c:v>16722200.000000002</c:v>
                </c:pt>
                <c:pt idx="91">
                  <c:v>16722200.000000013</c:v>
                </c:pt>
                <c:pt idx="92">
                  <c:v>16722200.000000015</c:v>
                </c:pt>
                <c:pt idx="93">
                  <c:v>16722200.000000011</c:v>
                </c:pt>
                <c:pt idx="94">
                  <c:v>16722200.000000006</c:v>
                </c:pt>
                <c:pt idx="95">
                  <c:v>16722200.000000002</c:v>
                </c:pt>
                <c:pt idx="96">
                  <c:v>16722200</c:v>
                </c:pt>
                <c:pt idx="97">
                  <c:v>16722200</c:v>
                </c:pt>
                <c:pt idx="98">
                  <c:v>16722200</c:v>
                </c:pt>
                <c:pt idx="99">
                  <c:v>16722200</c:v>
                </c:pt>
                <c:pt idx="100">
                  <c:v>16722200</c:v>
                </c:pt>
                <c:pt idx="101">
                  <c:v>16722200</c:v>
                </c:pt>
                <c:pt idx="102">
                  <c:v>16722200</c:v>
                </c:pt>
                <c:pt idx="103">
                  <c:v>16722200</c:v>
                </c:pt>
                <c:pt idx="104">
                  <c:v>16722200</c:v>
                </c:pt>
                <c:pt idx="105">
                  <c:v>16722200</c:v>
                </c:pt>
                <c:pt idx="106">
                  <c:v>16722200</c:v>
                </c:pt>
                <c:pt idx="107">
                  <c:v>16722200</c:v>
                </c:pt>
                <c:pt idx="108">
                  <c:v>16722200</c:v>
                </c:pt>
                <c:pt idx="109">
                  <c:v>16722200</c:v>
                </c:pt>
                <c:pt idx="110">
                  <c:v>16722200</c:v>
                </c:pt>
                <c:pt idx="111">
                  <c:v>16722200</c:v>
                </c:pt>
                <c:pt idx="112">
                  <c:v>16722200</c:v>
                </c:pt>
                <c:pt idx="113">
                  <c:v>16722200</c:v>
                </c:pt>
                <c:pt idx="114">
                  <c:v>16722200</c:v>
                </c:pt>
                <c:pt idx="115">
                  <c:v>16722200</c:v>
                </c:pt>
                <c:pt idx="116">
                  <c:v>16722200</c:v>
                </c:pt>
                <c:pt idx="117">
                  <c:v>16722200</c:v>
                </c:pt>
                <c:pt idx="118">
                  <c:v>16722200</c:v>
                </c:pt>
                <c:pt idx="119">
                  <c:v>16722200</c:v>
                </c:pt>
                <c:pt idx="120">
                  <c:v>16722200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28-6346-A553-7F69D7737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048943"/>
        <c:axId val="1147069711"/>
      </c:scatterChart>
      <c:valAx>
        <c:axId val="1147048943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47069711"/>
        <c:crosses val="autoZero"/>
        <c:crossBetween val="midCat"/>
      </c:valAx>
      <c:valAx>
        <c:axId val="114706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47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Range–Kutte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methods'!$AF$9:$AF$129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'Comparison of methods'!$AI$9:$AI$129</c:f>
              <c:numCache>
                <c:formatCode>General</c:formatCode>
                <c:ptCount val="121"/>
                <c:pt idx="0">
                  <c:v>5000</c:v>
                </c:pt>
                <c:pt idx="1">
                  <c:v>19171.608553902501</c:v>
                </c:pt>
                <c:pt idx="2">
                  <c:v>73319.947385195512</c:v>
                </c:pt>
                <c:pt idx="3">
                  <c:v>277676.09111739969</c:v>
                </c:pt>
                <c:pt idx="4">
                  <c:v>1013909.0360233467</c:v>
                </c:pt>
                <c:pt idx="5">
                  <c:v>3260523.8823570739</c:v>
                </c:pt>
                <c:pt idx="6">
                  <c:v>7433942.1750648767</c:v>
                </c:pt>
                <c:pt idx="7">
                  <c:v>10103774.815286042</c:v>
                </c:pt>
                <c:pt idx="8">
                  <c:v>9430177.4629314411</c:v>
                </c:pt>
                <c:pt idx="9">
                  <c:v>7858287.9648953313</c:v>
                </c:pt>
                <c:pt idx="10">
                  <c:v>6593613.2733433647</c:v>
                </c:pt>
                <c:pt idx="11">
                  <c:v>5827750.4654850913</c:v>
                </c:pt>
                <c:pt idx="12">
                  <c:v>5465412.5099122534</c:v>
                </c:pt>
                <c:pt idx="13">
                  <c:v>5376177.8679787824</c:v>
                </c:pt>
                <c:pt idx="14">
                  <c:v>5445956.341860475</c:v>
                </c:pt>
                <c:pt idx="15">
                  <c:v>5581824.4240427315</c:v>
                </c:pt>
                <c:pt idx="16">
                  <c:v>5716068.7243191414</c:v>
                </c:pt>
                <c:pt idx="17">
                  <c:v>5811165.449666637</c:v>
                </c:pt>
                <c:pt idx="18">
                  <c:v>5858031.8808582406</c:v>
                </c:pt>
                <c:pt idx="19">
                  <c:v>5866346.7328496715</c:v>
                </c:pt>
                <c:pt idx="20">
                  <c:v>5852661.8977666274</c:v>
                </c:pt>
                <c:pt idx="21">
                  <c:v>5831854.68653889</c:v>
                </c:pt>
                <c:pt idx="22">
                  <c:v>5813456.4038351336</c:v>
                </c:pt>
                <c:pt idx="23">
                  <c:v>5801547.692556533</c:v>
                </c:pt>
                <c:pt idx="24">
                  <c:v>5796326.2753409399</c:v>
                </c:pt>
                <c:pt idx="25">
                  <c:v>5795987.3888370814</c:v>
                </c:pt>
                <c:pt idx="26">
                  <c:v>5798224.8057342647</c:v>
                </c:pt>
                <c:pt idx="27">
                  <c:v>5801130.9839875791</c:v>
                </c:pt>
                <c:pt idx="28">
                  <c:v>5803544.3129750052</c:v>
                </c:pt>
                <c:pt idx="29">
                  <c:v>5805015.2658991935</c:v>
                </c:pt>
                <c:pt idx="30">
                  <c:v>5805585.6996946661</c:v>
                </c:pt>
                <c:pt idx="31">
                  <c:v>5805535.2940425687</c:v>
                </c:pt>
                <c:pt idx="32">
                  <c:v>5805184.1846046271</c:v>
                </c:pt>
                <c:pt idx="33">
                  <c:v>5804781.1196804643</c:v>
                </c:pt>
                <c:pt idx="34">
                  <c:v>5804467.245281483</c:v>
                </c:pt>
                <c:pt idx="35">
                  <c:v>5804288.6291041458</c:v>
                </c:pt>
                <c:pt idx="36">
                  <c:v>5804229.880977056</c:v>
                </c:pt>
                <c:pt idx="37">
                  <c:v>5804248.8272917634</c:v>
                </c:pt>
                <c:pt idx="38">
                  <c:v>5804301.7856543651</c:v>
                </c:pt>
                <c:pt idx="39">
                  <c:v>5804356.8287182571</c:v>
                </c:pt>
                <c:pt idx="40">
                  <c:v>5804397.1496572914</c:v>
                </c:pt>
                <c:pt idx="41">
                  <c:v>5804418.4366580537</c:v>
                </c:pt>
                <c:pt idx="42">
                  <c:v>5804423.957722255</c:v>
                </c:pt>
                <c:pt idx="43">
                  <c:v>5804419.8920209873</c:v>
                </c:pt>
                <c:pt idx="44">
                  <c:v>5804412.1250427626</c:v>
                </c:pt>
                <c:pt idx="45">
                  <c:v>5804404.7058021352</c:v>
                </c:pt>
                <c:pt idx="46">
                  <c:v>5804399.5901550073</c:v>
                </c:pt>
                <c:pt idx="47">
                  <c:v>5804397.1105983471</c:v>
                </c:pt>
                <c:pt idx="48">
                  <c:v>5804396.6801788518</c:v>
                </c:pt>
                <c:pt idx="49">
                  <c:v>5804397.413442919</c:v>
                </c:pt>
                <c:pt idx="50">
                  <c:v>5804398.5272511384</c:v>
                </c:pt>
                <c:pt idx="51">
                  <c:v>5804399.5149272308</c:v>
                </c:pt>
                <c:pt idx="52">
                  <c:v>5804400.1554082753</c:v>
                </c:pt>
                <c:pt idx="53">
                  <c:v>5804400.4360063141</c:v>
                </c:pt>
                <c:pt idx="54">
                  <c:v>5804400.4534566691</c:v>
                </c:pt>
                <c:pt idx="55">
                  <c:v>5804400.3323120186</c:v>
                </c:pt>
                <c:pt idx="56">
                  <c:v>5804400.1755384412</c:v>
                </c:pt>
                <c:pt idx="57">
                  <c:v>5804400.045623308</c:v>
                </c:pt>
                <c:pt idx="58">
                  <c:v>5804399.966589381</c:v>
                </c:pt>
                <c:pt idx="59">
                  <c:v>5804399.9360449081</c:v>
                </c:pt>
                <c:pt idx="60">
                  <c:v>5804399.9388739979</c:v>
                </c:pt>
                <c:pt idx="61">
                  <c:v>5804399.9578347458</c:v>
                </c:pt>
                <c:pt idx="62">
                  <c:v>5804399.9795490997</c:v>
                </c:pt>
                <c:pt idx="63">
                  <c:v>5804399.9964359831</c:v>
                </c:pt>
                <c:pt idx="64">
                  <c:v>5804400.0060307253</c:v>
                </c:pt>
                <c:pt idx="65">
                  <c:v>5804400.0091727069</c:v>
                </c:pt>
                <c:pt idx="66">
                  <c:v>5804400.008138028</c:v>
                </c:pt>
                <c:pt idx="67">
                  <c:v>5804400.005279623</c:v>
                </c:pt>
                <c:pt idx="68">
                  <c:v>5804400.0023148572</c:v>
                </c:pt>
                <c:pt idx="69">
                  <c:v>5804400.0001460779</c:v>
                </c:pt>
                <c:pt idx="70">
                  <c:v>5804399.9990031747</c:v>
                </c:pt>
                <c:pt idx="71">
                  <c:v>5804399.9987087417</c:v>
                </c:pt>
                <c:pt idx="72">
                  <c:v>5804399.9989294643</c:v>
                </c:pt>
                <c:pt idx="73">
                  <c:v>5804399.9993484346</c:v>
                </c:pt>
                <c:pt idx="74">
                  <c:v>5804399.9997479338</c:v>
                </c:pt>
                <c:pt idx="75">
                  <c:v>5804400.000023013</c:v>
                </c:pt>
                <c:pt idx="76">
                  <c:v>5804400.0001560645</c:v>
                </c:pt>
                <c:pt idx="77">
                  <c:v>5804400.000178868</c:v>
                </c:pt>
                <c:pt idx="78">
                  <c:v>5804400.0001391638</c:v>
                </c:pt>
                <c:pt idx="79">
                  <c:v>5804400.0000791093</c:v>
                </c:pt>
                <c:pt idx="80">
                  <c:v>5804400.0000259411</c:v>
                </c:pt>
                <c:pt idx="81">
                  <c:v>5804399.9999915119</c:v>
                </c:pt>
                <c:pt idx="82">
                  <c:v>5804399.9999764664</c:v>
                </c:pt>
                <c:pt idx="83">
                  <c:v>5804399.9999755751</c:v>
                </c:pt>
                <c:pt idx="84">
                  <c:v>5804399.9999821251</c:v>
                </c:pt>
                <c:pt idx="85">
                  <c:v>5804399.999990575</c:v>
                </c:pt>
                <c:pt idx="86">
                  <c:v>5804399.9999975665</c:v>
                </c:pt>
                <c:pt idx="87">
                  <c:v>5804400.0000018133</c:v>
                </c:pt>
                <c:pt idx="88">
                  <c:v>5804400.0000034496</c:v>
                </c:pt>
                <c:pt idx="89">
                  <c:v>5804400.0000032913</c:v>
                </c:pt>
                <c:pt idx="90">
                  <c:v>5804400.0000022668</c:v>
                </c:pt>
                <c:pt idx="91">
                  <c:v>5804400.0000010971</c:v>
                </c:pt>
                <c:pt idx="92">
                  <c:v>5804400.0000001881</c:v>
                </c:pt>
                <c:pt idx="93">
                  <c:v>5804399.9999996731</c:v>
                </c:pt>
                <c:pt idx="94">
                  <c:v>5804399.9999995055</c:v>
                </c:pt>
                <c:pt idx="95">
                  <c:v>5804399.9999995613</c:v>
                </c:pt>
                <c:pt idx="96">
                  <c:v>5804399.999999715</c:v>
                </c:pt>
                <c:pt idx="97">
                  <c:v>5804399.9999998752</c:v>
                </c:pt>
                <c:pt idx="98">
                  <c:v>5804399.9999999916</c:v>
                </c:pt>
                <c:pt idx="99">
                  <c:v>5804400.0000000531</c:v>
                </c:pt>
                <c:pt idx="100">
                  <c:v>5804400.0000000689</c:v>
                </c:pt>
                <c:pt idx="101">
                  <c:v>5804400.0000000568</c:v>
                </c:pt>
                <c:pt idx="102">
                  <c:v>5804400.0000000345</c:v>
                </c:pt>
                <c:pt idx="103">
                  <c:v>5804400.000000013</c:v>
                </c:pt>
                <c:pt idx="104">
                  <c:v>5804399.9999999981</c:v>
                </c:pt>
                <c:pt idx="105">
                  <c:v>5804399.9999999907</c:v>
                </c:pt>
                <c:pt idx="106">
                  <c:v>5804399.9999999898</c:v>
                </c:pt>
                <c:pt idx="107">
                  <c:v>5804399.9999999925</c:v>
                </c:pt>
                <c:pt idx="108">
                  <c:v>5804399.9999999963</c:v>
                </c:pt>
                <c:pt idx="109">
                  <c:v>5804399.9999999991</c:v>
                </c:pt>
                <c:pt idx="110">
                  <c:v>5804400</c:v>
                </c:pt>
                <c:pt idx="111">
                  <c:v>5804400</c:v>
                </c:pt>
                <c:pt idx="112">
                  <c:v>5804400</c:v>
                </c:pt>
                <c:pt idx="113">
                  <c:v>5804400</c:v>
                </c:pt>
                <c:pt idx="114">
                  <c:v>5804400</c:v>
                </c:pt>
                <c:pt idx="115">
                  <c:v>5804400</c:v>
                </c:pt>
                <c:pt idx="116">
                  <c:v>5804400</c:v>
                </c:pt>
                <c:pt idx="117">
                  <c:v>5804400</c:v>
                </c:pt>
                <c:pt idx="118">
                  <c:v>5804400</c:v>
                </c:pt>
                <c:pt idx="119">
                  <c:v>5804400</c:v>
                </c:pt>
                <c:pt idx="120">
                  <c:v>5804400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54-6244-BA62-2ACD0C8CCF3D}"/>
            </c:ext>
          </c:extLst>
        </c:ser>
        <c:ser>
          <c:idx val="1"/>
          <c:order val="1"/>
          <c:tx>
            <c:v>Ralston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methods'!$AK$9:$AK$129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'Comparison of methods'!$AN$9:$AN$129</c:f>
              <c:numCache>
                <c:formatCode>General</c:formatCode>
                <c:ptCount val="121"/>
                <c:pt idx="0">
                  <c:v>5000</c:v>
                </c:pt>
                <c:pt idx="1">
                  <c:v>16892.34602829241</c:v>
                </c:pt>
                <c:pt idx="2">
                  <c:v>56994.408738695754</c:v>
                </c:pt>
                <c:pt idx="3">
                  <c:v>191448.86841417695</c:v>
                </c:pt>
                <c:pt idx="4">
                  <c:v>633625.45762729691</c:v>
                </c:pt>
                <c:pt idx="5">
                  <c:v>1996400.4566263929</c:v>
                </c:pt>
                <c:pt idx="6">
                  <c:v>5381233.154971322</c:v>
                </c:pt>
                <c:pt idx="7">
                  <c:v>9553294.3105601594</c:v>
                </c:pt>
                <c:pt idx="8">
                  <c:v>9440122.3316417318</c:v>
                </c:pt>
                <c:pt idx="9">
                  <c:v>7819505.4791564131</c:v>
                </c:pt>
                <c:pt idx="10">
                  <c:v>6601122.2713247128</c:v>
                </c:pt>
                <c:pt idx="11">
                  <c:v>5903683.7833868507</c:v>
                </c:pt>
                <c:pt idx="12">
                  <c:v>5588241.5702489596</c:v>
                </c:pt>
                <c:pt idx="13">
                  <c:v>5514286.8032125412</c:v>
                </c:pt>
                <c:pt idx="14">
                  <c:v>5569195.1033624811</c:v>
                </c:pt>
                <c:pt idx="15">
                  <c:v>5668415.9389697872</c:v>
                </c:pt>
                <c:pt idx="16">
                  <c:v>5757831.9487330047</c:v>
                </c:pt>
                <c:pt idx="17">
                  <c:v>5813918.7973435568</c:v>
                </c:pt>
                <c:pt idx="18">
                  <c:v>5836347.5416753115</c:v>
                </c:pt>
                <c:pt idx="19">
                  <c:v>5836157.1430111425</c:v>
                </c:pt>
                <c:pt idx="20">
                  <c:v>5825839.2035926115</c:v>
                </c:pt>
                <c:pt idx="21">
                  <c:v>5814305.3642970305</c:v>
                </c:pt>
                <c:pt idx="22">
                  <c:v>5805931.997788188</c:v>
                </c:pt>
                <c:pt idx="23">
                  <c:v>5801664.8527014246</c:v>
                </c:pt>
                <c:pt idx="24">
                  <c:v>5800615.7848429121</c:v>
                </c:pt>
                <c:pt idx="25">
                  <c:v>5801355.6915675355</c:v>
                </c:pt>
                <c:pt idx="26">
                  <c:v>5802666.5951056471</c:v>
                </c:pt>
                <c:pt idx="27">
                  <c:v>5803814.9644591566</c:v>
                </c:pt>
                <c:pt idx="28">
                  <c:v>5804521.3685857747</c:v>
                </c:pt>
                <c:pt idx="29">
                  <c:v>5804801.4122387804</c:v>
                </c:pt>
                <c:pt idx="30">
                  <c:v>5804799.0317990351</c:v>
                </c:pt>
                <c:pt idx="31">
                  <c:v>5804669.8939708816</c:v>
                </c:pt>
                <c:pt idx="32">
                  <c:v>5804524.9702747529</c:v>
                </c:pt>
                <c:pt idx="33">
                  <c:v>5804419.4286087193</c:v>
                </c:pt>
                <c:pt idx="34">
                  <c:v>5804365.5383997252</c:v>
                </c:pt>
                <c:pt idx="35">
                  <c:v>5804352.2642686637</c:v>
                </c:pt>
                <c:pt idx="36">
                  <c:v>5804361.5896269828</c:v>
                </c:pt>
                <c:pt idx="37">
                  <c:v>5804378.1269413214</c:v>
                </c:pt>
                <c:pt idx="38">
                  <c:v>5804392.6136559667</c:v>
                </c:pt>
                <c:pt idx="39">
                  <c:v>5804401.5253900588</c:v>
                </c:pt>
                <c:pt idx="40">
                  <c:v>5804405.0598553289</c:v>
                </c:pt>
                <c:pt idx="41">
                  <c:v>5804405.0319995563</c:v>
                </c:pt>
                <c:pt idx="42">
                  <c:v>5804403.4045604486</c:v>
                </c:pt>
                <c:pt idx="43">
                  <c:v>5804401.5771246031</c:v>
                </c:pt>
                <c:pt idx="44">
                  <c:v>5804400.2458402235</c:v>
                </c:pt>
                <c:pt idx="45">
                  <c:v>5804399.5658202544</c:v>
                </c:pt>
                <c:pt idx="46">
                  <c:v>5804399.3981015598</c:v>
                </c:pt>
                <c:pt idx="47">
                  <c:v>5804399.5155303255</c:v>
                </c:pt>
                <c:pt idx="48">
                  <c:v>5804399.7240290008</c:v>
                </c:pt>
                <c:pt idx="49">
                  <c:v>5804399.9067381937</c:v>
                </c:pt>
                <c:pt idx="50">
                  <c:v>5804400.0191677529</c:v>
                </c:pt>
                <c:pt idx="51">
                  <c:v>5804400.063782692</c:v>
                </c:pt>
                <c:pt idx="52">
                  <c:v>5804400.063459008</c:v>
                </c:pt>
                <c:pt idx="53">
                  <c:v>5804400.0429477021</c:v>
                </c:pt>
                <c:pt idx="54">
                  <c:v>5804400.0199033692</c:v>
                </c:pt>
                <c:pt idx="55">
                  <c:v>5804400.0031106239</c:v>
                </c:pt>
                <c:pt idx="56">
                  <c:v>5804399.9945298051</c:v>
                </c:pt>
                <c:pt idx="57">
                  <c:v>5804399.992410725</c:v>
                </c:pt>
                <c:pt idx="58">
                  <c:v>5804399.9938894156</c:v>
                </c:pt>
                <c:pt idx="59">
                  <c:v>5804399.9965180978</c:v>
                </c:pt>
                <c:pt idx="60">
                  <c:v>5804399.9988224534</c:v>
                </c:pt>
                <c:pt idx="61">
                  <c:v>5804400.000240854</c:v>
                </c:pt>
                <c:pt idx="62">
                  <c:v>5804400.0008040201</c:v>
                </c:pt>
                <c:pt idx="63">
                  <c:v>5804400.0008002864</c:v>
                </c:pt>
                <c:pt idx="64">
                  <c:v>5804400.0005417736</c:v>
                </c:pt>
                <c:pt idx="65">
                  <c:v>5804400.0002511796</c:v>
                </c:pt>
                <c:pt idx="66">
                  <c:v>5804400.0000393568</c:v>
                </c:pt>
                <c:pt idx="67">
                  <c:v>5804399.9999310812</c:v>
                </c:pt>
                <c:pt idx="68">
                  <c:v>5804399.9999043075</c:v>
                </c:pt>
                <c:pt idx="69">
                  <c:v>5804399.9999229275</c:v>
                </c:pt>
                <c:pt idx="70">
                  <c:v>5804399.9999560686</c:v>
                </c:pt>
                <c:pt idx="71">
                  <c:v>5804399.9999851324</c:v>
                </c:pt>
                <c:pt idx="72">
                  <c:v>5804400.0000030268</c:v>
                </c:pt>
                <c:pt idx="73">
                  <c:v>5804400.0000101356</c:v>
                </c:pt>
                <c:pt idx="74">
                  <c:v>5804400.0000100927</c:v>
                </c:pt>
                <c:pt idx="75">
                  <c:v>5804400.000006834</c:v>
                </c:pt>
                <c:pt idx="76">
                  <c:v>5804400.0000031702</c:v>
                </c:pt>
                <c:pt idx="77">
                  <c:v>5804400.0000004983</c:v>
                </c:pt>
                <c:pt idx="78">
                  <c:v>5804399.9999991311</c:v>
                </c:pt>
                <c:pt idx="79">
                  <c:v>5804399.9999987921</c:v>
                </c:pt>
                <c:pt idx="80">
                  <c:v>5804399.9999990268</c:v>
                </c:pt>
                <c:pt idx="81">
                  <c:v>5804399.9999994449</c:v>
                </c:pt>
                <c:pt idx="82">
                  <c:v>5804399.9999998119</c:v>
                </c:pt>
                <c:pt idx="83">
                  <c:v>5804400.0000000382</c:v>
                </c:pt>
                <c:pt idx="84">
                  <c:v>5804400.0000001276</c:v>
                </c:pt>
                <c:pt idx="85">
                  <c:v>5804400.0000001276</c:v>
                </c:pt>
                <c:pt idx="86">
                  <c:v>5804400.0000000866</c:v>
                </c:pt>
                <c:pt idx="87">
                  <c:v>5804400.00000004</c:v>
                </c:pt>
                <c:pt idx="88">
                  <c:v>5804400.0000000056</c:v>
                </c:pt>
                <c:pt idx="89">
                  <c:v>5804399.9999999879</c:v>
                </c:pt>
                <c:pt idx="90">
                  <c:v>5804399.9999999832</c:v>
                </c:pt>
                <c:pt idx="91">
                  <c:v>5804399.999999987</c:v>
                </c:pt>
                <c:pt idx="92">
                  <c:v>5804399.9999999925</c:v>
                </c:pt>
                <c:pt idx="93">
                  <c:v>5804399.9999999972</c:v>
                </c:pt>
                <c:pt idx="94">
                  <c:v>5804400</c:v>
                </c:pt>
                <c:pt idx="95">
                  <c:v>5804400.0000000019</c:v>
                </c:pt>
                <c:pt idx="96">
                  <c:v>5804400.0000000019</c:v>
                </c:pt>
                <c:pt idx="97">
                  <c:v>5804400.0000000009</c:v>
                </c:pt>
                <c:pt idx="98">
                  <c:v>5804400</c:v>
                </c:pt>
                <c:pt idx="99">
                  <c:v>5804400</c:v>
                </c:pt>
                <c:pt idx="100">
                  <c:v>5804400</c:v>
                </c:pt>
                <c:pt idx="101">
                  <c:v>5804400</c:v>
                </c:pt>
                <c:pt idx="102">
                  <c:v>5804400</c:v>
                </c:pt>
                <c:pt idx="103">
                  <c:v>5804400</c:v>
                </c:pt>
                <c:pt idx="104">
                  <c:v>5804400</c:v>
                </c:pt>
                <c:pt idx="105">
                  <c:v>5804400</c:v>
                </c:pt>
                <c:pt idx="106">
                  <c:v>5804400</c:v>
                </c:pt>
                <c:pt idx="107">
                  <c:v>5804400</c:v>
                </c:pt>
                <c:pt idx="108">
                  <c:v>5804400</c:v>
                </c:pt>
                <c:pt idx="109">
                  <c:v>5804400</c:v>
                </c:pt>
                <c:pt idx="110">
                  <c:v>5804400</c:v>
                </c:pt>
                <c:pt idx="111">
                  <c:v>5804400</c:v>
                </c:pt>
                <c:pt idx="112">
                  <c:v>5804400</c:v>
                </c:pt>
                <c:pt idx="113">
                  <c:v>5804400</c:v>
                </c:pt>
                <c:pt idx="114">
                  <c:v>5804400</c:v>
                </c:pt>
                <c:pt idx="115">
                  <c:v>5804400</c:v>
                </c:pt>
                <c:pt idx="116">
                  <c:v>5804400</c:v>
                </c:pt>
                <c:pt idx="117">
                  <c:v>5804400</c:v>
                </c:pt>
                <c:pt idx="118">
                  <c:v>5804400</c:v>
                </c:pt>
                <c:pt idx="119">
                  <c:v>5804400</c:v>
                </c:pt>
                <c:pt idx="120">
                  <c:v>5804400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54-6244-BA62-2ACD0C8CC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748751"/>
        <c:axId val="1749965216"/>
      </c:scatterChart>
      <c:valAx>
        <c:axId val="83374875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49965216"/>
        <c:crosses val="autoZero"/>
        <c:crossBetween val="midCat"/>
      </c:valAx>
      <c:valAx>
        <c:axId val="174996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3374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Range–Kutte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methods'!$AF$9:$AF$129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'Comparison of methods'!$AH$9:$AH$129</c:f>
              <c:numCache>
                <c:formatCode>General</c:formatCode>
                <c:ptCount val="121"/>
                <c:pt idx="0">
                  <c:v>0</c:v>
                </c:pt>
                <c:pt idx="1">
                  <c:v>7284.6408915014381</c:v>
                </c:pt>
                <c:pt idx="2">
                  <c:v>33297.824575138933</c:v>
                </c:pt>
                <c:pt idx="3">
                  <c:v>130967.50840251433</c:v>
                </c:pt>
                <c:pt idx="4">
                  <c:v>493883.90013573028</c:v>
                </c:pt>
                <c:pt idx="5">
                  <c:v>1741820.5428669355</c:v>
                </c:pt>
                <c:pt idx="6">
                  <c:v>5056847.1264427276</c:v>
                </c:pt>
                <c:pt idx="7">
                  <c:v>10034435.52407318</c:v>
                </c:pt>
                <c:pt idx="8">
                  <c:v>14167405.916306615</c:v>
                </c:pt>
                <c:pt idx="9">
                  <c:v>16386893.813729636</c:v>
                </c:pt>
                <c:pt idx="10">
                  <c:v>17070940.489069752</c:v>
                </c:pt>
                <c:pt idx="11">
                  <c:v>16900370.170634355</c:v>
                </c:pt>
                <c:pt idx="12">
                  <c:v>16401919.175253412</c:v>
                </c:pt>
                <c:pt idx="13">
                  <c:v>15888765.328643201</c:v>
                </c:pt>
                <c:pt idx="14">
                  <c:v>15509893.83359855</c:v>
                </c:pt>
                <c:pt idx="15">
                  <c:v>15304825.15254667</c:v>
                </c:pt>
                <c:pt idx="16">
                  <c:v>15247749.981845399</c:v>
                </c:pt>
                <c:pt idx="17">
                  <c:v>15283990.46467359</c:v>
                </c:pt>
                <c:pt idx="18">
                  <c:v>15358115.044506853</c:v>
                </c:pt>
                <c:pt idx="19">
                  <c:v>15430313.725488078</c:v>
                </c:pt>
                <c:pt idx="20">
                  <c:v>15480718.870293913</c:v>
                </c:pt>
                <c:pt idx="21">
                  <c:v>15505567.604422297</c:v>
                </c:pt>
                <c:pt idx="22">
                  <c:v>15510347.301043967</c:v>
                </c:pt>
                <c:pt idx="23">
                  <c:v>15503602.253858671</c:v>
                </c:pt>
                <c:pt idx="24">
                  <c:v>15492953.704328321</c:v>
                </c:pt>
                <c:pt idx="25">
                  <c:v>15483376.4700062</c:v>
                </c:pt>
                <c:pt idx="26">
                  <c:v>15477086.678928746</c:v>
                </c:pt>
                <c:pt idx="27">
                  <c:v>15474268.637736984</c:v>
                </c:pt>
                <c:pt idx="28">
                  <c:v>15474021.690066626</c:v>
                </c:pt>
                <c:pt idx="29">
                  <c:v>15475151.402653763</c:v>
                </c:pt>
                <c:pt idx="30">
                  <c:v>15476656.313183749</c:v>
                </c:pt>
                <c:pt idx="31">
                  <c:v>15477920.230036255</c:v>
                </c:pt>
                <c:pt idx="32">
                  <c:v>15478699.40552095</c:v>
                </c:pt>
                <c:pt idx="33">
                  <c:v>15479009.105056975</c:v>
                </c:pt>
                <c:pt idx="34">
                  <c:v>15478991.690999238</c:v>
                </c:pt>
                <c:pt idx="35">
                  <c:v>15478813.213925833</c:v>
                </c:pt>
                <c:pt idx="36">
                  <c:v>15478604.141023897</c:v>
                </c:pt>
                <c:pt idx="37">
                  <c:v>15478439.474975634</c:v>
                </c:pt>
                <c:pt idx="38">
                  <c:v>15478344.561222509</c:v>
                </c:pt>
                <c:pt idx="39">
                  <c:v>15478312.269937702</c:v>
                </c:pt>
                <c:pt idx="40">
                  <c:v>15478321.028204549</c:v>
                </c:pt>
                <c:pt idx="41">
                  <c:v>15478348.11529682</c:v>
                </c:pt>
                <c:pt idx="42">
                  <c:v>15478376.741678037</c:v>
                </c:pt>
                <c:pt idx="43">
                  <c:v>15478397.942459149</c:v>
                </c:pt>
                <c:pt idx="44">
                  <c:v>15478409.295326505</c:v>
                </c:pt>
                <c:pt idx="45">
                  <c:v>15478412.393902648</c:v>
                </c:pt>
                <c:pt idx="46">
                  <c:v>15478410.413685817</c:v>
                </c:pt>
                <c:pt idx="47">
                  <c:v>15478406.422840565</c:v>
                </c:pt>
                <c:pt idx="48">
                  <c:v>15478402.555415116</c:v>
                </c:pt>
                <c:pt idx="49">
                  <c:v>15478399.859416489</c:v>
                </c:pt>
                <c:pt idx="50">
                  <c:v>15478398.531044262</c:v>
                </c:pt>
                <c:pt idx="51">
                  <c:v>15478398.277811857</c:v>
                </c:pt>
                <c:pt idx="52">
                  <c:v>15478398.642995771</c:v>
                </c:pt>
                <c:pt idx="53">
                  <c:v>15478399.217434574</c:v>
                </c:pt>
                <c:pt idx="54">
                  <c:v>15478399.73341712</c:v>
                </c:pt>
                <c:pt idx="55">
                  <c:v>15478400.071793692</c:v>
                </c:pt>
                <c:pt idx="56">
                  <c:v>15478400.222994315</c:v>
                </c:pt>
                <c:pt idx="57">
                  <c:v>15478400.235822968</c:v>
                </c:pt>
                <c:pt idx="58">
                  <c:v>15478400.174726471</c:v>
                </c:pt>
                <c:pt idx="59">
                  <c:v>15478400.093616471</c:v>
                </c:pt>
                <c:pt idx="60">
                  <c:v>15478400.025600035</c:v>
                </c:pt>
                <c:pt idx="61">
                  <c:v>15478399.983730761</c:v>
                </c:pt>
                <c:pt idx="62">
                  <c:v>15478399.967139309</c:v>
                </c:pt>
                <c:pt idx="63">
                  <c:v>15478399.968137322</c:v>
                </c:pt>
                <c:pt idx="64">
                  <c:v>15478399.977778846</c:v>
                </c:pt>
                <c:pt idx="65">
                  <c:v>15478399.989044243</c:v>
                </c:pt>
                <c:pt idx="66">
                  <c:v>15478399.997904301</c:v>
                </c:pt>
                <c:pt idx="67">
                  <c:v>15478400.003003109</c:v>
                </c:pt>
                <c:pt idx="68">
                  <c:v>15478400.004730644</c:v>
                </c:pt>
                <c:pt idx="69">
                  <c:v>15478400.004251409</c:v>
                </c:pt>
                <c:pt idx="70">
                  <c:v>15478400.002789261</c:v>
                </c:pt>
                <c:pt idx="71">
                  <c:v>15478400.001247305</c:v>
                </c:pt>
                <c:pt idx="72">
                  <c:v>15478400.000106905</c:v>
                </c:pt>
                <c:pt idx="73">
                  <c:v>15478399.999497309</c:v>
                </c:pt>
                <c:pt idx="74">
                  <c:v>15478399.999331955</c:v>
                </c:pt>
                <c:pt idx="75">
                  <c:v>15478399.999439534</c:v>
                </c:pt>
                <c:pt idx="76">
                  <c:v>15478399.999654831</c:v>
                </c:pt>
                <c:pt idx="77">
                  <c:v>15478399.99986309</c:v>
                </c:pt>
                <c:pt idx="78">
                  <c:v>15478400.000008067</c:v>
                </c:pt>
                <c:pt idx="79">
                  <c:v>15478400.000079354</c:v>
                </c:pt>
                <c:pt idx="80">
                  <c:v>15478400.000092795</c:v>
                </c:pt>
                <c:pt idx="81">
                  <c:v>15478400.000073014</c:v>
                </c:pt>
                <c:pt idx="82">
                  <c:v>15478400.00004204</c:v>
                </c:pt>
                <c:pt idx="83">
                  <c:v>15478400.000014262</c:v>
                </c:pt>
                <c:pt idx="84">
                  <c:v>15478399.999996072</c:v>
                </c:pt>
                <c:pt idx="85">
                  <c:v>15478399.999987964</c:v>
                </c:pt>
                <c:pt idx="86">
                  <c:v>15478399.999987299</c:v>
                </c:pt>
                <c:pt idx="87">
                  <c:v>15478399.999990603</c:v>
                </c:pt>
                <c:pt idx="88">
                  <c:v>15478399.999994975</c:v>
                </c:pt>
                <c:pt idx="89">
                  <c:v>15478399.999998635</c:v>
                </c:pt>
                <c:pt idx="90">
                  <c:v>15478400.000000885</c:v>
                </c:pt>
                <c:pt idx="91">
                  <c:v>15478400.000001773</c:v>
                </c:pt>
                <c:pt idx="92">
                  <c:v>15478400.000001715</c:v>
                </c:pt>
                <c:pt idx="93">
                  <c:v>15478400.000001194</c:v>
                </c:pt>
                <c:pt idx="94">
                  <c:v>15478400.000000587</c:v>
                </c:pt>
                <c:pt idx="95">
                  <c:v>15478400.00000011</c:v>
                </c:pt>
                <c:pt idx="96">
                  <c:v>15478399.999999836</c:v>
                </c:pt>
                <c:pt idx="97">
                  <c:v>15478399.999999743</c:v>
                </c:pt>
                <c:pt idx="98">
                  <c:v>15478399.999999769</c:v>
                </c:pt>
                <c:pt idx="99">
                  <c:v>15478399.999999849</c:v>
                </c:pt>
                <c:pt idx="100">
                  <c:v>15478399.999999933</c:v>
                </c:pt>
                <c:pt idx="101">
                  <c:v>15478399.999999994</c:v>
                </c:pt>
                <c:pt idx="102">
                  <c:v>15478400.000000026</c:v>
                </c:pt>
                <c:pt idx="103">
                  <c:v>15478400.000000035</c:v>
                </c:pt>
                <c:pt idx="104">
                  <c:v>15478400.00000003</c:v>
                </c:pt>
                <c:pt idx="105">
                  <c:v>15478400.000000019</c:v>
                </c:pt>
                <c:pt idx="106">
                  <c:v>15478400.000000007</c:v>
                </c:pt>
                <c:pt idx="107">
                  <c:v>15478400</c:v>
                </c:pt>
                <c:pt idx="108">
                  <c:v>15478399.999999996</c:v>
                </c:pt>
                <c:pt idx="109">
                  <c:v>15478399.999999996</c:v>
                </c:pt>
                <c:pt idx="110">
                  <c:v>15478399.999999998</c:v>
                </c:pt>
                <c:pt idx="111">
                  <c:v>15478400</c:v>
                </c:pt>
                <c:pt idx="112">
                  <c:v>15478400</c:v>
                </c:pt>
                <c:pt idx="113">
                  <c:v>15478400</c:v>
                </c:pt>
                <c:pt idx="114">
                  <c:v>15478400</c:v>
                </c:pt>
                <c:pt idx="115">
                  <c:v>15478400</c:v>
                </c:pt>
                <c:pt idx="116">
                  <c:v>15478400</c:v>
                </c:pt>
                <c:pt idx="117">
                  <c:v>15478400</c:v>
                </c:pt>
                <c:pt idx="118">
                  <c:v>15478400</c:v>
                </c:pt>
                <c:pt idx="119">
                  <c:v>15478400</c:v>
                </c:pt>
                <c:pt idx="120">
                  <c:v>15478400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9-A746-9A62-C3DA0687FFAA}"/>
            </c:ext>
          </c:extLst>
        </c:ser>
        <c:ser>
          <c:idx val="1"/>
          <c:order val="1"/>
          <c:tx>
            <c:v>Ralston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'Comparison of methods'!$AK$9:$AK$129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'Comparison of methods'!$AM$9:$AM$129</c:f>
              <c:numCache>
                <c:formatCode>General</c:formatCode>
                <c:ptCount val="121"/>
                <c:pt idx="0">
                  <c:v>0</c:v>
                </c:pt>
                <c:pt idx="1">
                  <c:v>6199.3421918168669</c:v>
                </c:pt>
                <c:pt idx="2">
                  <c:v>25554.755285113068</c:v>
                </c:pt>
                <c:pt idx="3">
                  <c:v>89587.564212369471</c:v>
                </c:pt>
                <c:pt idx="4">
                  <c:v>302723.62089671218</c:v>
                </c:pt>
                <c:pt idx="5">
                  <c:v>995613.70295831107</c:v>
                </c:pt>
                <c:pt idx="6">
                  <c:v>3060098.4437950929</c:v>
                </c:pt>
                <c:pt idx="7">
                  <c:v>7757270.9445326366</c:v>
                </c:pt>
                <c:pt idx="8">
                  <c:v>13273905.276891176</c:v>
                </c:pt>
                <c:pt idx="9">
                  <c:v>15952837.717208838</c:v>
                </c:pt>
                <c:pt idx="10">
                  <c:v>16689905.836867124</c:v>
                </c:pt>
                <c:pt idx="11">
                  <c:v>16573932.0656971</c:v>
                </c:pt>
                <c:pt idx="12">
                  <c:v>16176482.073728165</c:v>
                </c:pt>
                <c:pt idx="13">
                  <c:v>15780621.532918883</c:v>
                </c:pt>
                <c:pt idx="14">
                  <c:v>15504521.224684866</c:v>
                </c:pt>
                <c:pt idx="15">
                  <c:v>15368559.78709802</c:v>
                </c:pt>
                <c:pt idx="16">
                  <c:v>15340764.3775205</c:v>
                </c:pt>
                <c:pt idx="17">
                  <c:v>15372102.403803967</c:v>
                </c:pt>
                <c:pt idx="18">
                  <c:v>15420486.074417727</c:v>
                </c:pt>
                <c:pt idx="19">
                  <c:v>15460966.056487473</c:v>
                </c:pt>
                <c:pt idx="20">
                  <c:v>15484807.057606902</c:v>
                </c:pt>
                <c:pt idx="21">
                  <c:v>15493483.32432829</c:v>
                </c:pt>
                <c:pt idx="22">
                  <c:v>15492549.75720221</c:v>
                </c:pt>
                <c:pt idx="23">
                  <c:v>15487587.663802112</c:v>
                </c:pt>
                <c:pt idx="24">
                  <c:v>15482399.898497025</c:v>
                </c:pt>
                <c:pt idx="25">
                  <c:v>15478773.738821099</c:v>
                </c:pt>
                <c:pt idx="26">
                  <c:v>15477015.960580805</c:v>
                </c:pt>
                <c:pt idx="27">
                  <c:v>15476666.151886052</c:v>
                </c:pt>
                <c:pt idx="28">
                  <c:v>15477064.580067629</c:v>
                </c:pt>
                <c:pt idx="29">
                  <c:v>15477673.065416889</c:v>
                </c:pt>
                <c:pt idx="30">
                  <c:v>15478181.113636011</c:v>
                </c:pt>
                <c:pt idx="31">
                  <c:v>15478480.756269755</c:v>
                </c:pt>
                <c:pt idx="32">
                  <c:v>15478590.134976078</c:v>
                </c:pt>
                <c:pt idx="33">
                  <c:v>15478578.504142281</c:v>
                </c:pt>
                <c:pt idx="34">
                  <c:v>15478515.967209499</c:v>
                </c:pt>
                <c:pt idx="35">
                  <c:v>15478450.513627388</c:v>
                </c:pt>
                <c:pt idx="36">
                  <c:v>15478404.748098096</c:v>
                </c:pt>
                <c:pt idx="37">
                  <c:v>15478382.559392851</c:v>
                </c:pt>
                <c:pt idx="38">
                  <c:v>15478378.137314109</c:v>
                </c:pt>
                <c:pt idx="39">
                  <c:v>15478383.156703955</c:v>
                </c:pt>
                <c:pt idx="40">
                  <c:v>15478390.828472307</c:v>
                </c:pt>
                <c:pt idx="41">
                  <c:v>15478397.235878546</c:v>
                </c:pt>
                <c:pt idx="42">
                  <c:v>15478401.016122079</c:v>
                </c:pt>
                <c:pt idx="43">
                  <c:v>15478402.396952873</c:v>
                </c:pt>
                <c:pt idx="44">
                  <c:v>15478402.251224441</c:v>
                </c:pt>
                <c:pt idx="45">
                  <c:v>15478401.46296367</c:v>
                </c:pt>
                <c:pt idx="46">
                  <c:v>15478400.637542358</c:v>
                </c:pt>
                <c:pt idx="47">
                  <c:v>15478400.060234319</c:v>
                </c:pt>
                <c:pt idx="48">
                  <c:v>15478399.780227493</c:v>
                </c:pt>
                <c:pt idx="49">
                  <c:v>15478399.724322753</c:v>
                </c:pt>
                <c:pt idx="50">
                  <c:v>15478399.787549477</c:v>
                </c:pt>
                <c:pt idx="51">
                  <c:v>15478399.884277983</c:v>
                </c:pt>
                <c:pt idx="52">
                  <c:v>15478399.965091879</c:v>
                </c:pt>
                <c:pt idx="53">
                  <c:v>15478400.012785075</c:v>
                </c:pt>
                <c:pt idx="54">
                  <c:v>15478400.030217404</c:v>
                </c:pt>
                <c:pt idx="55">
                  <c:v>15478400.028391449</c:v>
                </c:pt>
                <c:pt idx="56">
                  <c:v>15478400.018455628</c:v>
                </c:pt>
                <c:pt idx="57">
                  <c:v>15478400.00804648</c:v>
                </c:pt>
                <c:pt idx="58">
                  <c:v>15478400.000764092</c:v>
                </c:pt>
                <c:pt idx="59">
                  <c:v>15478399.997230606</c:v>
                </c:pt>
                <c:pt idx="60">
                  <c:v>15478399.996523852</c:v>
                </c:pt>
                <c:pt idx="61">
                  <c:v>15478399.997320283</c:v>
                </c:pt>
                <c:pt idx="62">
                  <c:v>15478399.998539872</c:v>
                </c:pt>
                <c:pt idx="63">
                  <c:v>15478399.999559144</c:v>
                </c:pt>
                <c:pt idx="64">
                  <c:v>15478400.000160862</c:v>
                </c:pt>
                <c:pt idx="65">
                  <c:v>15478400.000380937</c:v>
                </c:pt>
                <c:pt idx="66">
                  <c:v>15478400.00035806</c:v>
                </c:pt>
                <c:pt idx="67">
                  <c:v>15478400.000232821</c:v>
                </c:pt>
                <c:pt idx="68">
                  <c:v>15478400.000101555</c:v>
                </c:pt>
                <c:pt idx="69">
                  <c:v>15478400.000009693</c:v>
                </c:pt>
                <c:pt idx="70">
                  <c:v>15478399.999965103</c:v>
                </c:pt>
                <c:pt idx="71">
                  <c:v>15478399.999956168</c:v>
                </c:pt>
                <c:pt idx="72">
                  <c:v>15478399.9999662</c:v>
                </c:pt>
                <c:pt idx="73">
                  <c:v>15478399.999981578</c:v>
                </c:pt>
                <c:pt idx="74">
                  <c:v>15478399.999994434</c:v>
                </c:pt>
                <c:pt idx="75">
                  <c:v>15478400.000002027</c:v>
                </c:pt>
                <c:pt idx="76">
                  <c:v>15478400.000004804</c:v>
                </c:pt>
                <c:pt idx="77">
                  <c:v>15478400.000004517</c:v>
                </c:pt>
                <c:pt idx="78">
                  <c:v>15478400.000002939</c:v>
                </c:pt>
                <c:pt idx="79">
                  <c:v>15478400.000001283</c:v>
                </c:pt>
                <c:pt idx="80">
                  <c:v>15478400.000000123</c:v>
                </c:pt>
                <c:pt idx="81">
                  <c:v>15478399.99999956</c:v>
                </c:pt>
                <c:pt idx="82">
                  <c:v>15478399.999999447</c:v>
                </c:pt>
                <c:pt idx="83">
                  <c:v>15478399.999999573</c:v>
                </c:pt>
                <c:pt idx="84">
                  <c:v>15478399.999999767</c:v>
                </c:pt>
                <c:pt idx="85">
                  <c:v>15478399.999999929</c:v>
                </c:pt>
                <c:pt idx="86">
                  <c:v>15478400.000000024</c:v>
                </c:pt>
                <c:pt idx="87">
                  <c:v>15478400.00000006</c:v>
                </c:pt>
                <c:pt idx="88">
                  <c:v>15478400.000000056</c:v>
                </c:pt>
                <c:pt idx="89">
                  <c:v>15478400.000000035</c:v>
                </c:pt>
                <c:pt idx="90">
                  <c:v>15478400.000000015</c:v>
                </c:pt>
                <c:pt idx="91">
                  <c:v>15478400</c:v>
                </c:pt>
                <c:pt idx="92">
                  <c:v>15478399.999999994</c:v>
                </c:pt>
                <c:pt idx="93">
                  <c:v>15478399.999999993</c:v>
                </c:pt>
                <c:pt idx="94">
                  <c:v>15478399.999999994</c:v>
                </c:pt>
                <c:pt idx="95">
                  <c:v>15478399.999999996</c:v>
                </c:pt>
                <c:pt idx="96">
                  <c:v>15478400</c:v>
                </c:pt>
                <c:pt idx="97">
                  <c:v>15478400.000000002</c:v>
                </c:pt>
                <c:pt idx="98">
                  <c:v>15478400.000000002</c:v>
                </c:pt>
                <c:pt idx="99">
                  <c:v>15478400.000000002</c:v>
                </c:pt>
                <c:pt idx="100">
                  <c:v>15478400.000000002</c:v>
                </c:pt>
                <c:pt idx="101">
                  <c:v>15478400.000000002</c:v>
                </c:pt>
                <c:pt idx="102">
                  <c:v>15478400.000000002</c:v>
                </c:pt>
                <c:pt idx="103">
                  <c:v>15478400.000000002</c:v>
                </c:pt>
                <c:pt idx="104">
                  <c:v>15478400.000000002</c:v>
                </c:pt>
                <c:pt idx="105">
                  <c:v>15478400.000000002</c:v>
                </c:pt>
                <c:pt idx="106">
                  <c:v>15478400.000000002</c:v>
                </c:pt>
                <c:pt idx="107">
                  <c:v>15478400.000000002</c:v>
                </c:pt>
                <c:pt idx="108">
                  <c:v>15478400.000000002</c:v>
                </c:pt>
                <c:pt idx="109">
                  <c:v>15478400.000000002</c:v>
                </c:pt>
                <c:pt idx="110">
                  <c:v>15478400.000000002</c:v>
                </c:pt>
                <c:pt idx="111">
                  <c:v>15478400.000000002</c:v>
                </c:pt>
                <c:pt idx="112">
                  <c:v>15478400.000000002</c:v>
                </c:pt>
                <c:pt idx="113">
                  <c:v>15478400.000000002</c:v>
                </c:pt>
                <c:pt idx="114">
                  <c:v>15478400.000000002</c:v>
                </c:pt>
                <c:pt idx="115">
                  <c:v>15478400.000000002</c:v>
                </c:pt>
                <c:pt idx="116">
                  <c:v>15478400.000000002</c:v>
                </c:pt>
                <c:pt idx="117">
                  <c:v>15478400.000000002</c:v>
                </c:pt>
                <c:pt idx="118">
                  <c:v>15478400.000000002</c:v>
                </c:pt>
                <c:pt idx="119">
                  <c:v>15478400.000000002</c:v>
                </c:pt>
                <c:pt idx="120">
                  <c:v>15478400.000000002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C9-A746-9A62-C3DA0687F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151152"/>
        <c:axId val="1342113999"/>
      </c:scatterChart>
      <c:valAx>
        <c:axId val="1707151152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42113999"/>
        <c:crosses val="autoZero"/>
        <c:crossBetween val="midCat"/>
      </c:valAx>
      <c:valAx>
        <c:axId val="1342113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0715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1" i="0" u="none" strike="noStrike" baseline="0">
                <a:effectLst/>
              </a:rPr>
              <a:t>Phase plot for solutions obtained using Ralston's method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'Phase plot R'!$N$7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'Phase plot R'!$M$8:$M$98</c:f>
              <c:numCache>
                <c:formatCode>General</c:formatCode>
                <c:ptCount val="91"/>
                <c:pt idx="0">
                  <c:v>0</c:v>
                </c:pt>
                <c:pt idx="1">
                  <c:v>3260.7125199135185</c:v>
                </c:pt>
                <c:pt idx="2">
                  <c:v>6196.7316410812273</c:v>
                </c:pt>
                <c:pt idx="3">
                  <c:v>8874.1389056499138</c:v>
                </c:pt>
                <c:pt idx="4">
                  <c:v>11333.524983124742</c:v>
                </c:pt>
                <c:pt idx="5">
                  <c:v>13601.368303492156</c:v>
                </c:pt>
                <c:pt idx="6">
                  <c:v>15695.932373107324</c:v>
                </c:pt>
                <c:pt idx="7">
                  <c:v>17630.436581139835</c:v>
                </c:pt>
                <c:pt idx="8">
                  <c:v>19414.809652742337</c:v>
                </c:pt>
                <c:pt idx="9">
                  <c:v>21056.678765557521</c:v>
                </c:pt>
                <c:pt idx="10">
                  <c:v>22561.934093604556</c:v>
                </c:pt>
                <c:pt idx="11">
                  <c:v>23935.052691547837</c:v>
                </c:pt>
                <c:pt idx="12">
                  <c:v>25179.285702709141</c:v>
                </c:pt>
                <c:pt idx="13">
                  <c:v>26296.771258722998</c:v>
                </c:pt>
                <c:pt idx="14">
                  <c:v>27288.614001381196</c:v>
                </c:pt>
                <c:pt idx="15">
                  <c:v>28154.961755255801</c:v>
                </c:pt>
                <c:pt idx="16">
                  <c:v>28895.105600556566</c:v>
                </c:pt>
                <c:pt idx="17">
                  <c:v>29507.628446509465</c:v>
                </c:pt>
                <c:pt idx="18">
                  <c:v>29990.626905508048</c:v>
                </c:pt>
                <c:pt idx="19">
                  <c:v>30342.029590918555</c:v>
                </c:pt>
                <c:pt idx="20">
                  <c:v>30560.029449350553</c:v>
                </c:pt>
                <c:pt idx="21">
                  <c:v>30643.635816521193</c:v>
                </c:pt>
                <c:pt idx="22">
                  <c:v>30593.331497777337</c:v>
                </c:pt>
                <c:pt idx="23">
                  <c:v>30411.791018579745</c:v>
                </c:pt>
                <c:pt idx="24">
                  <c:v>30104.581369677013</c:v>
                </c:pt>
                <c:pt idx="25">
                  <c:v>29680.73394231878</c:v>
                </c:pt>
                <c:pt idx="26">
                  <c:v>29153.058284926887</c:v>
                </c:pt>
                <c:pt idx="27">
                  <c:v>28538.078534459521</c:v>
                </c:pt>
                <c:pt idx="28">
                  <c:v>27855.520629356077</c:v>
                </c:pt>
                <c:pt idx="29">
                  <c:v>27127.359251869642</c:v>
                </c:pt>
                <c:pt idx="30">
                  <c:v>26376.528773701146</c:v>
                </c:pt>
                <c:pt idx="31">
                  <c:v>25625.48216134265</c:v>
                </c:pt>
                <c:pt idx="32">
                  <c:v>24894.817267986222</c:v>
                </c:pt>
                <c:pt idx="33">
                  <c:v>24202.168299653418</c:v>
                </c:pt>
                <c:pt idx="34">
                  <c:v>23561.490901239318</c:v>
                </c:pt>
                <c:pt idx="35">
                  <c:v>22982.778631778645</c:v>
                </c:pt>
                <c:pt idx="36">
                  <c:v>22472.166419236488</c:v>
                </c:pt>
                <c:pt idx="37">
                  <c:v>22032.323358132438</c:v>
                </c:pt>
                <c:pt idx="38">
                  <c:v>21663.018590438034</c:v>
                </c:pt>
                <c:pt idx="39">
                  <c:v>21361.753455609673</c:v>
                </c:pt>
                <c:pt idx="40">
                  <c:v>21124.378516690787</c:v>
                </c:pt>
                <c:pt idx="41">
                  <c:v>20945.64390973865</c:v>
                </c:pt>
                <c:pt idx="42">
                  <c:v>20819.657940097641</c:v>
                </c:pt>
                <c:pt idx="43">
                  <c:v>20740.248411851338</c:v>
                </c:pt>
                <c:pt idx="44">
                  <c:v>20701.233418241576</c:v>
                </c:pt>
                <c:pt idx="45">
                  <c:v>20696.61451946725</c:v>
                </c:pt>
                <c:pt idx="46">
                  <c:v>20720.707203082027</c:v>
                </c:pt>
                <c:pt idx="47">
                  <c:v>20768.222939258885</c:v>
                </c:pt>
                <c:pt idx="48">
                  <c:v>20834.315280857914</c:v>
                </c:pt>
                <c:pt idx="49">
                  <c:v>20914.600154271706</c:v>
                </c:pt>
                <c:pt idx="50">
                  <c:v>21005.158224590159</c:v>
                </c:pt>
                <c:pt idx="51">
                  <c:v>21102.525233035733</c:v>
                </c:pt>
                <c:pt idx="52">
                  <c:v>21203.674577512407</c:v>
                </c:pt>
                <c:pt idx="53">
                  <c:v>21305.995135662961</c:v>
                </c:pt>
                <c:pt idx="54">
                  <c:v>21407.266371787384</c:v>
                </c:pt>
                <c:pt idx="55">
                  <c:v>21505.632069071351</c:v>
                </c:pt>
                <c:pt idx="56">
                  <c:v>21599.57353232344</c:v>
                </c:pt>
                <c:pt idx="57">
                  <c:v>21687.882766192408</c:v>
                </c:pt>
                <c:pt idx="58">
                  <c:v>21769.635910599784</c:v>
                </c:pt>
                <c:pt idx="59">
                  <c:v>21844.167078044695</c:v>
                </c:pt>
                <c:pt idx="60">
                  <c:v>21911.042662603486</c:v>
                </c:pt>
                <c:pt idx="61">
                  <c:v>21970.03615940248</c:v>
                </c:pt>
                <c:pt idx="62">
                  <c:v>22021.103531779223</c:v>
                </c:pt>
                <c:pt idx="63">
                  <c:v>22064.359180064846</c:v>
                </c:pt>
                <c:pt idx="64">
                  <c:v>22100.052592082619</c:v>
                </c:pt>
                <c:pt idx="65">
                  <c:v>22128.54578411048</c:v>
                </c:pt>
                <c:pt idx="66">
                  <c:v>22150.291666836827</c:v>
                </c:pt>
                <c:pt idx="67">
                  <c:v>22165.813489820433</c:v>
                </c:pt>
                <c:pt idx="68">
                  <c:v>22175.68552756033</c:v>
                </c:pt>
                <c:pt idx="69">
                  <c:v>22180.515169163697</c:v>
                </c:pt>
                <c:pt idx="70">
                  <c:v>22180.926561603028</c:v>
                </c:pt>
                <c:pt idx="71">
                  <c:v>22177.545934522728</c:v>
                </c:pt>
                <c:pt idx="72">
                  <c:v>22170.988704150674</c:v>
                </c:pt>
                <c:pt idx="73">
                  <c:v>22161.848417332254</c:v>
                </c:pt>
                <c:pt idx="74">
                  <c:v>22150.687556595152</c:v>
                </c:pt>
                <c:pt idx="75">
                  <c:v>22138.030186102318</c:v>
                </c:pt>
                <c:pt idx="76">
                  <c:v>22124.356378826073</c:v>
                </c:pt>
                <c:pt idx="77">
                  <c:v>22110.098329399596</c:v>
                </c:pt>
                <c:pt idx="78">
                  <c:v>22095.638026522254</c:v>
                </c:pt>
                <c:pt idx="79">
                  <c:v>22081.306334622597</c:v>
                </c:pt>
                <c:pt idx="80">
                  <c:v>22067.383317282558</c:v>
                </c:pt>
                <c:pt idx="81">
                  <c:v>22054.099624759598</c:v>
                </c:pt>
                <c:pt idx="82">
                  <c:v>22041.638764445255</c:v>
                </c:pt>
                <c:pt idx="83">
                  <c:v>22030.140075576259</c:v>
                </c:pt>
                <c:pt idx="84">
                  <c:v>22019.702237054425</c:v>
                </c:pt>
                <c:pt idx="85">
                  <c:v>22010.38714880191</c:v>
                </c:pt>
                <c:pt idx="86">
                  <c:v>22002.224041617876</c:v>
                </c:pt>
                <c:pt idx="87">
                  <c:v>21995.213686994241</c:v>
                </c:pt>
                <c:pt idx="88">
                  <c:v>21989.332595871161</c:v>
                </c:pt>
                <c:pt idx="89">
                  <c:v>21984.537113076316</c:v>
                </c:pt>
                <c:pt idx="90">
                  <c:v>21980.767331551448</c:v>
                </c:pt>
              </c:numCache>
            </c:numRef>
          </c:xVal>
          <c:yVal>
            <c:numRef>
              <c:f>'Phase plot R'!$N$8:$N$98</c:f>
              <c:numCache>
                <c:formatCode>General</c:formatCode>
                <c:ptCount val="91"/>
                <c:pt idx="0">
                  <c:v>5010</c:v>
                </c:pt>
                <c:pt idx="1">
                  <c:v>3980.6510895539368</c:v>
                </c:pt>
                <c:pt idx="2">
                  <c:v>3272.3752165295018</c:v>
                </c:pt>
                <c:pt idx="3">
                  <c:v>2775.6842643314576</c:v>
                </c:pt>
                <c:pt idx="4">
                  <c:v>2423.5148824221133</c:v>
                </c:pt>
                <c:pt idx="5">
                  <c:v>2173.5474876786211</c:v>
                </c:pt>
                <c:pt idx="6">
                  <c:v>1998.4564611293983</c:v>
                </c:pt>
                <c:pt idx="7">
                  <c:v>1880.3196042835364</c:v>
                </c:pt>
                <c:pt idx="8">
                  <c:v>1807.3056690193685</c:v>
                </c:pt>
                <c:pt idx="9">
                  <c:v>1771.6564493429698</c:v>
                </c:pt>
                <c:pt idx="10">
                  <c:v>1768.4276591673747</c:v>
                </c:pt>
                <c:pt idx="11">
                  <c:v>1794.6856869367753</c:v>
                </c:pt>
                <c:pt idx="12">
                  <c:v>1848.9826525687392</c:v>
                </c:pt>
                <c:pt idx="13">
                  <c:v>1931.0014249077187</c:v>
                </c:pt>
                <c:pt idx="14">
                  <c:v>2041.3011187229715</c:v>
                </c:pt>
                <c:pt idx="15">
                  <c:v>2181.1155030763853</c:v>
                </c:pt>
                <c:pt idx="16">
                  <c:v>2352.1690871456535</c:v>
                </c:pt>
                <c:pt idx="17">
                  <c:v>2556.4827958273959</c:v>
                </c:pt>
                <c:pt idx="18">
                  <c:v>2796.1461094590486</c:v>
                </c:pt>
                <c:pt idx="19">
                  <c:v>3073.0377738646648</c:v>
                </c:pt>
                <c:pt idx="20">
                  <c:v>3388.4849532913854</c:v>
                </c:pt>
                <c:pt idx="21">
                  <c:v>3742.8630089078974</c:v>
                </c:pt>
                <c:pt idx="22">
                  <c:v>4135.1561553538204</c:v>
                </c:pt>
                <c:pt idx="23">
                  <c:v>4562.5224948104742</c:v>
                </c:pt>
                <c:pt idx="24">
                  <c:v>5019.9317525218539</c:v>
                </c:pt>
                <c:pt idx="25">
                  <c:v>5499.9630836331562</c:v>
                </c:pt>
                <c:pt idx="26">
                  <c:v>5992.8533176404871</c:v>
                </c:pt>
                <c:pt idx="27">
                  <c:v>6486.8631585713565</c:v>
                </c:pt>
                <c:pt idx="28">
                  <c:v>6968.9765281830933</c:v>
                </c:pt>
                <c:pt idx="29">
                  <c:v>7425.8744389712501</c:v>
                </c:pt>
                <c:pt idx="30">
                  <c:v>7845.0502702682643</c:v>
                </c:pt>
                <c:pt idx="31">
                  <c:v>8215.8851351407975</c:v>
                </c:pt>
                <c:pt idx="32">
                  <c:v>8530.501022676528</c:v>
                </c:pt>
                <c:pt idx="33">
                  <c:v>8784.2587223953906</c:v>
                </c:pt>
                <c:pt idx="34">
                  <c:v>8975.8499620545517</c:v>
                </c:pt>
                <c:pt idx="35">
                  <c:v>9107.0196672762777</c:v>
                </c:pt>
                <c:pt idx="36">
                  <c:v>9182.0180493731077</c:v>
                </c:pt>
                <c:pt idx="37">
                  <c:v>9206.9097700917355</c:v>
                </c:pt>
                <c:pt idx="38">
                  <c:v>9188.8605251117169</c:v>
                </c:pt>
                <c:pt idx="39">
                  <c:v>9135.4920025700467</c:v>
                </c:pt>
                <c:pt idx="40">
                  <c:v>9054.3587684049126</c:v>
                </c:pt>
                <c:pt idx="41">
                  <c:v>8952.5664561287958</c:v>
                </c:pt>
                <c:pt idx="42">
                  <c:v>8836.5256032425605</c:v>
                </c:pt>
                <c:pt idx="43">
                  <c:v>8711.820799052357</c:v>
                </c:pt>
                <c:pt idx="44">
                  <c:v>8583.1688530827978</c:v>
                </c:pt>
                <c:pt idx="45">
                  <c:v>8454.4397424340023</c:v>
                </c:pt>
                <c:pt idx="46">
                  <c:v>8328.7175203035586</c:v>
                </c:pt>
                <c:pt idx="47">
                  <c:v>8208.3831589045058</c:v>
                </c:pt>
                <c:pt idx="48">
                  <c:v>8095.2061725102394</c:v>
                </c:pt>
                <c:pt idx="49">
                  <c:v>7990.4361377487921</c:v>
                </c:pt>
                <c:pt idx="50">
                  <c:v>7894.8886347667485</c:v>
                </c:pt>
                <c:pt idx="51">
                  <c:v>7809.0226603394158</c:v>
                </c:pt>
                <c:pt idx="52">
                  <c:v>7733.0083227119703</c:v>
                </c:pt>
                <c:pt idx="53">
                  <c:v>7666.7847726290156</c:v>
                </c:pt>
                <c:pt idx="54">
                  <c:v>7610.1090101788031</c:v>
                </c:pt>
                <c:pt idx="55">
                  <c:v>7562.5965663182205</c:v>
                </c:pt>
                <c:pt idx="56">
                  <c:v>7523.7551972958281</c:v>
                </c:pt>
                <c:pt idx="57">
                  <c:v>7493.012729021636</c:v>
                </c:pt>
                <c:pt idx="58">
                  <c:v>7469.7401035283547</c:v>
                </c:pt>
                <c:pt idx="59">
                  <c:v>7453.2705501663404</c:v>
                </c:pt>
                <c:pt idx="60">
                  <c:v>7442.9156561719174</c:v>
                </c:pt>
                <c:pt idx="61">
                  <c:v>7437.9789616107746</c:v>
                </c:pt>
                <c:pt idx="62">
                  <c:v>7437.7675629577843</c:v>
                </c:pt>
                <c:pt idx="63">
                  <c:v>7441.6020840160263</c:v>
                </c:pt>
                <c:pt idx="64">
                  <c:v>7448.8252659515965</c:v>
                </c:pt>
                <c:pt idx="65">
                  <c:v>7458.8093414586019</c:v>
                </c:pt>
                <c:pt idx="66">
                  <c:v>7470.9622916482622</c:v>
                </c:pt>
                <c:pt idx="67">
                  <c:v>7484.7330373441901</c:v>
                </c:pt>
                <c:pt idx="68">
                  <c:v>7499.6155874381102</c:v>
                </c:pt>
                <c:pt idx="69">
                  <c:v>7515.1521535665815</c:v>
                </c:pt>
                <c:pt idx="70">
                  <c:v>7530.9352398912924</c:v>
                </c:pt>
                <c:pt idx="71">
                  <c:v>7546.6087261860675</c:v>
                </c:pt>
                <c:pt idx="72">
                  <c:v>7561.8679786219791</c:v>
                </c:pt>
                <c:pt idx="73">
                  <c:v>7576.4590425457063</c:v>
                </c:pt>
                <c:pt idx="74">
                  <c:v>7590.1769923733327</c:v>
                </c:pt>
                <c:pt idx="75">
                  <c:v>7602.8635330945517</c:v>
                </c:pt>
                <c:pt idx="76">
                  <c:v>7614.4039639480416</c:v>
                </c:pt>
                <c:pt idx="77">
                  <c:v>7624.7236263186242</c:v>
                </c:pt>
                <c:pt idx="78">
                  <c:v>7633.7839641393712</c:v>
                </c:pt>
                <c:pt idx="79">
                  <c:v>7641.5783259184254</c:v>
                </c:pt>
                <c:pt idx="80">
                  <c:v>7648.1276332710795</c:v>
                </c:pt>
                <c:pt idx="81">
                  <c:v>7653.4760321928816</c:v>
                </c:pt>
                <c:pt idx="82">
                  <c:v>7657.6866311605454</c:v>
                </c:pt>
                <c:pt idx="83">
                  <c:v>7660.8374155106512</c:v>
                </c:pt>
                <c:pt idx="84">
                  <c:v>7663.0174114504143</c:v>
                </c:pt>
                <c:pt idx="85">
                  <c:v>7664.3231564594062</c:v>
                </c:pt>
                <c:pt idx="86">
                  <c:v>7664.8555165771659</c:v>
                </c:pt>
                <c:pt idx="87">
                  <c:v>7664.7168758073312</c:v>
                </c:pt>
                <c:pt idx="88">
                  <c:v>7664.0087090959232</c:v>
                </c:pt>
                <c:pt idx="89">
                  <c:v>7662.8295383788973</c:v>
                </c:pt>
                <c:pt idx="90">
                  <c:v>7661.2732612045993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89-47E0-B06D-396E9F480CE4}"/>
            </c:ext>
          </c:extLst>
        </c:ser>
        <c:ser>
          <c:idx val="1"/>
          <c:order val="1"/>
          <c:tx>
            <c:strRef>
              <c:f>'Phase plot R'!$Q$7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'Phase plot R'!$P$8:$P$98</c:f>
              <c:numCache>
                <c:formatCode>General</c:formatCode>
                <c:ptCount val="91"/>
                <c:pt idx="0">
                  <c:v>0</c:v>
                </c:pt>
                <c:pt idx="1">
                  <c:v>2719.6223657259898</c:v>
                </c:pt>
                <c:pt idx="2">
                  <c:v>4720.1546229211453</c:v>
                </c:pt>
                <c:pt idx="3">
                  <c:v>6356.7638456776276</c:v>
                </c:pt>
                <c:pt idx="4">
                  <c:v>7794.8491183712522</c:v>
                </c:pt>
                <c:pt idx="5">
                  <c:v>9114.4428502653172</c:v>
                </c:pt>
                <c:pt idx="6">
                  <c:v>10354.979102758662</c:v>
                </c:pt>
                <c:pt idx="7">
                  <c:v>11535.581427813919</c:v>
                </c:pt>
                <c:pt idx="8">
                  <c:v>12664.835541774333</c:v>
                </c:pt>
                <c:pt idx="9">
                  <c:v>13745.762506169836</c:v>
                </c:pt>
                <c:pt idx="10">
                  <c:v>14778.465501742223</c:v>
                </c:pt>
                <c:pt idx="11">
                  <c:v>15761.586351821335</c:v>
                </c:pt>
                <c:pt idx="12">
                  <c:v>16693.124804624065</c:v>
                </c:pt>
                <c:pt idx="13">
                  <c:v>17570.904485252791</c:v>
                </c:pt>
                <c:pt idx="14">
                  <c:v>18392.838371956372</c:v>
                </c:pt>
                <c:pt idx="15">
                  <c:v>19157.079496406262</c:v>
                </c:pt>
                <c:pt idx="16">
                  <c:v>19862.106473833126</c:v>
                </c:pt>
                <c:pt idx="17">
                  <c:v>20506.77317097997</c:v>
                </c:pt>
                <c:pt idx="18">
                  <c:v>21090.339889420808</c:v>
                </c:pt>
                <c:pt idx="19">
                  <c:v>21612.496106199727</c:v>
                </c:pt>
                <c:pt idx="20">
                  <c:v>22073.380085389912</c:v>
                </c:pt>
                <c:pt idx="21">
                  <c:v>22473.597480103512</c:v>
                </c:pt>
                <c:pt idx="22">
                  <c:v>22814.238805465266</c:v>
                </c:pt>
                <c:pt idx="23">
                  <c:v>23096.894080713191</c:v>
                </c:pt>
                <c:pt idx="24">
                  <c:v>23323.66188013781</c:v>
                </c:pt>
                <c:pt idx="25">
                  <c:v>23497.149460820139</c:v>
                </c:pt>
                <c:pt idx="26">
                  <c:v>23620.460558514744</c:v>
                </c:pt>
                <c:pt idx="27">
                  <c:v>23697.167874822611</c:v>
                </c:pt>
                <c:pt idx="28">
                  <c:v>23731.268202838015</c:v>
                </c:pt>
                <c:pt idx="29">
                  <c:v>23727.119483751267</c:v>
                </c:pt>
                <c:pt idx="30">
                  <c:v>23689.360715984967</c:v>
                </c:pt>
                <c:pt idx="31">
                  <c:v>23622.817353639519</c:v>
                </c:pt>
                <c:pt idx="32">
                  <c:v>23532.396399402012</c:v>
                </c:pt>
                <c:pt idx="33">
                  <c:v>23422.976589920829</c:v>
                </c:pt>
                <c:pt idx="34">
                  <c:v>23299.299708919869</c:v>
                </c:pt>
                <c:pt idx="35">
                  <c:v>23165.869050986254</c:v>
                </c:pt>
                <c:pt idx="36">
                  <c:v>23026.86040835637</c:v>
                </c:pt>
                <c:pt idx="37">
                  <c:v>22886.049776508647</c:v>
                </c:pt>
                <c:pt idx="38">
                  <c:v>22746.760458750396</c:v>
                </c:pt>
                <c:pt idx="39">
                  <c:v>22611.830615765215</c:v>
                </c:pt>
                <c:pt idx="40">
                  <c:v>22483.60076408034</c:v>
                </c:pt>
                <c:pt idx="41">
                  <c:v>22363.919443550756</c:v>
                </c:pt>
                <c:pt idx="42">
                  <c:v>22254.164349197905</c:v>
                </c:pt>
                <c:pt idx="43">
                  <c:v>22155.275689658571</c:v>
                </c:pt>
                <c:pt idx="44">
                  <c:v>22067.798367503594</c:v>
                </c:pt>
                <c:pt idx="45">
                  <c:v>21991.929710235574</c:v>
                </c:pt>
                <c:pt idx="46">
                  <c:v>21927.56982962144</c:v>
                </c:pt>
                <c:pt idx="47">
                  <c:v>21874.372163853066</c:v>
                </c:pt>
                <c:pt idx="48">
                  <c:v>21831.792285010797</c:v>
                </c:pt>
                <c:pt idx="49">
                  <c:v>21799.133573855535</c:v>
                </c:pt>
                <c:pt idx="50">
                  <c:v>21775.588834700251</c:v>
                </c:pt>
                <c:pt idx="51">
                  <c:v>21760.277322267488</c:v>
                </c:pt>
                <c:pt idx="52">
                  <c:v>21752.276971509415</c:v>
                </c:pt>
                <c:pt idx="53">
                  <c:v>21750.651862012422</c:v>
                </c:pt>
                <c:pt idx="54">
                  <c:v>21754.475118846422</c:v>
                </c:pt>
                <c:pt idx="55">
                  <c:v>21762.847562788949</c:v>
                </c:pt>
                <c:pt idx="56">
                  <c:v>21774.912486919937</c:v>
                </c:pt>
                <c:pt idx="57">
                  <c:v>21789.866965235033</c:v>
                </c:pt>
                <c:pt idx="58">
                  <c:v>21806.97010233219</c:v>
                </c:pt>
                <c:pt idx="59">
                  <c:v>21825.548619772417</c:v>
                </c:pt>
                <c:pt idx="60">
                  <c:v>21845.000150956046</c:v>
                </c:pt>
                <c:pt idx="61">
                  <c:v>21864.794587164815</c:v>
                </c:pt>
                <c:pt idx="62">
                  <c:v>21884.473786230912</c:v>
                </c:pt>
                <c:pt idx="63">
                  <c:v>21903.649924372661</c:v>
                </c:pt>
                <c:pt idx="64">
                  <c:v>21922.00274244426</c:v>
                </c:pt>
                <c:pt idx="65">
                  <c:v>21939.275910877626</c:v>
                </c:pt>
                <c:pt idx="66">
                  <c:v>21955.272713172311</c:v>
                </c:pt>
                <c:pt idx="67">
                  <c:v>21969.851225832015</c:v>
                </c:pt>
                <c:pt idx="68">
                  <c:v>21982.919152888528</c:v>
                </c:pt>
                <c:pt idx="69">
                  <c:v>21994.428455245536</c:v>
                </c:pt>
                <c:pt idx="70">
                  <c:v>22004.369898647452</c:v>
                </c:pt>
                <c:pt idx="71">
                  <c:v>22012.76762879435</c:v>
                </c:pt>
                <c:pt idx="72">
                  <c:v>22019.673867704943</c:v>
                </c:pt>
                <c:pt idx="73">
                  <c:v>22025.163811671726</c:v>
                </c:pt>
                <c:pt idx="74">
                  <c:v>22029.330797931561</c:v>
                </c:pt>
                <c:pt idx="75">
                  <c:v>22032.281794441256</c:v>
                </c:pt>
                <c:pt idx="76">
                  <c:v>22034.133254915327</c:v>
                </c:pt>
                <c:pt idx="77">
                  <c:v>22035.007369616716</c:v>
                </c:pt>
                <c:pt idx="78">
                  <c:v>22035.0287313886</c:v>
                </c:pt>
                <c:pt idx="79">
                  <c:v>22034.321426192524</c:v>
                </c:pt>
                <c:pt idx="80">
                  <c:v>22033.006548092701</c:v>
                </c:pt>
                <c:pt idx="81">
                  <c:v>22031.200130305315</c:v>
                </c:pt>
                <c:pt idx="82">
                  <c:v>22029.01147670138</c:v>
                </c:pt>
                <c:pt idx="83">
                  <c:v>22026.541872069465</c:v>
                </c:pt>
                <c:pt idx="84">
                  <c:v>22023.883644536327</c:v>
                </c:pt>
                <c:pt idx="85">
                  <c:v>22021.119549801439</c:v>
                </c:pt>
                <c:pt idx="86">
                  <c:v>22018.322444226484</c:v>
                </c:pt>
                <c:pt idx="87">
                  <c:v>22015.555212265823</c:v>
                </c:pt>
                <c:pt idx="88">
                  <c:v>22012.870913138177</c:v>
                </c:pt>
                <c:pt idx="89">
                  <c:v>22010.313111915159</c:v>
                </c:pt>
                <c:pt idx="90">
                  <c:v>22007.916361219402</c:v>
                </c:pt>
              </c:numCache>
            </c:numRef>
          </c:xVal>
          <c:yVal>
            <c:numRef>
              <c:f>'Phase plot R'!$Q$8:$Q$98</c:f>
              <c:numCache>
                <c:formatCode>General</c:formatCode>
                <c:ptCount val="91"/>
                <c:pt idx="0">
                  <c:v>38476</c:v>
                </c:pt>
                <c:pt idx="1">
                  <c:v>30570.764734865726</c:v>
                </c:pt>
                <c:pt idx="2">
                  <c:v>24866.318299226055</c:v>
                </c:pt>
                <c:pt idx="3">
                  <c:v>20619.891239351655</c:v>
                </c:pt>
                <c:pt idx="4">
                  <c:v>17389.135468133616</c:v>
                </c:pt>
                <c:pt idx="5">
                  <c:v>14892.020354818891</c:v>
                </c:pt>
                <c:pt idx="6">
                  <c:v>12938.99831117581</c:v>
                </c:pt>
                <c:pt idx="7">
                  <c:v>11397.705921074026</c:v>
                </c:pt>
                <c:pt idx="8">
                  <c:v>10173.116202647963</c:v>
                </c:pt>
                <c:pt idx="9">
                  <c:v>9195.5931632688989</c:v>
                </c:pt>
                <c:pt idx="10">
                  <c:v>8413.2960340394548</c:v>
                </c:pt>
                <c:pt idx="11">
                  <c:v>7787.1386174974677</c:v>
                </c:pt>
                <c:pt idx="12">
                  <c:v>7287.3328679031301</c:v>
                </c:pt>
                <c:pt idx="13">
                  <c:v>6890.9579120924236</c:v>
                </c:pt>
                <c:pt idx="14">
                  <c:v>6580.2153854497828</c:v>
                </c:pt>
                <c:pt idx="15">
                  <c:v>6341.1561099941428</c:v>
                </c:pt>
                <c:pt idx="16">
                  <c:v>6162.7370573162161</c:v>
                </c:pt>
                <c:pt idx="17">
                  <c:v>6036.1135658959911</c:v>
                </c:pt>
                <c:pt idx="18">
                  <c:v>5954.1015534417111</c:v>
                </c:pt>
                <c:pt idx="19">
                  <c:v>5910.7643465749461</c:v>
                </c:pt>
                <c:pt idx="20">
                  <c:v>5901.0923852723772</c:v>
                </c:pt>
                <c:pt idx="21">
                  <c:v>5920.7536102043559</c:v>
                </c:pt>
                <c:pt idx="22">
                  <c:v>5965.8991249455521</c:v>
                </c:pt>
                <c:pt idx="23">
                  <c:v>6033.0135564951752</c:v>
                </c:pt>
                <c:pt idx="24">
                  <c:v>6118.8029232331619</c:v>
                </c:pt>
                <c:pt idx="25">
                  <c:v>6220.1150779677637</c:v>
                </c:pt>
                <c:pt idx="26">
                  <c:v>6333.8891361173146</c:v>
                </c:pt>
                <c:pt idx="27">
                  <c:v>6457.1308864627163</c:v>
                </c:pt>
                <c:pt idx="28">
                  <c:v>6586.9111671591463</c:v>
                </c:pt>
                <c:pt idx="29">
                  <c:v>6720.3837435624455</c:v>
                </c:pt>
                <c:pt idx="30">
                  <c:v>6854.8185448498598</c:v>
                </c:pt>
                <c:pt idx="31">
                  <c:v>6987.6454200255757</c:v>
                </c:pt>
                <c:pt idx="32">
                  <c:v>7116.503071988036</c:v>
                </c:pt>
                <c:pt idx="33">
                  <c:v>7239.2876937726342</c:v>
                </c:pt>
                <c:pt idx="34">
                  <c:v>7354.1961661012956</c:v>
                </c:pt>
                <c:pt idx="35">
                  <c:v>7459.7594907794864</c:v>
                </c:pt>
                <c:pt idx="36">
                  <c:v>7554.8633480201361</c:v>
                </c:pt>
                <c:pt idx="37">
                  <c:v>7638.7541213950071</c:v>
                </c:pt>
                <c:pt idx="38">
                  <c:v>7711.0302373070381</c:v>
                </c:pt>
                <c:pt idx="39">
                  <c:v>7771.6200252295102</c:v>
                </c:pt>
                <c:pt idx="40">
                  <c:v>7820.748368856729</c:v>
                </c:pt>
                <c:pt idx="41">
                  <c:v>7858.8950982258166</c:v>
                </c:pt>
                <c:pt idx="42">
                  <c:v>7886.7483496229261</c:v>
                </c:pt>
                <c:pt idx="43">
                  <c:v>7905.1560347781997</c:v>
                </c:pt>
                <c:pt idx="44">
                  <c:v>7915.0781957795598</c:v>
                </c:pt>
                <c:pt idx="45">
                  <c:v>7917.5424783279086</c:v>
                </c:pt>
                <c:pt idx="46">
                  <c:v>7913.6043330136581</c:v>
                </c:pt>
                <c:pt idx="47">
                  <c:v>7904.3129360038793</c:v>
                </c:pt>
                <c:pt idx="48">
                  <c:v>7890.6832673677291</c:v>
                </c:pt>
                <c:pt idx="49">
                  <c:v>7873.674333003155</c:v>
                </c:pt>
                <c:pt idx="50">
                  <c:v>7854.1731787281269</c:v>
                </c:pt>
                <c:pt idx="51">
                  <c:v>7832.9841199361936</c:v>
                </c:pt>
                <c:pt idx="52">
                  <c:v>7810.8224838590422</c:v>
                </c:pt>
                <c:pt idx="53">
                  <c:v>7788.3121149294411</c:v>
                </c:pt>
                <c:pt idx="54">
                  <c:v>7765.9859065041574</c:v>
                </c:pt>
                <c:pt idx="55">
                  <c:v>7744.2886750632424</c:v>
                </c:pt>
                <c:pt idx="56">
                  <c:v>7723.5817695632049</c:v>
                </c:pt>
                <c:pt idx="57">
                  <c:v>7704.1488959820945</c:v>
                </c:pt>
                <c:pt idx="58">
                  <c:v>7686.2027258338985</c:v>
                </c:pt>
                <c:pt idx="59">
                  <c:v>7669.8919412360319</c:v>
                </c:pt>
                <c:pt idx="60">
                  <c:v>7655.3084442283935</c:v>
                </c:pt>
                <c:pt idx="61">
                  <c:v>7642.4945226635036</c:v>
                </c:pt>
                <c:pt idx="62">
                  <c:v>7631.4498187141471</c:v>
                </c:pt>
                <c:pt idx="63">
                  <c:v>7622.1379894069432</c:v>
                </c:pt>
                <c:pt idx="64">
                  <c:v>7614.4929826716279</c:v>
                </c:pt>
                <c:pt idx="65">
                  <c:v>7608.4248785542695</c:v>
                </c:pt>
                <c:pt idx="66">
                  <c:v>7603.8252649103842</c:v>
                </c:pt>
                <c:pt idx="67">
                  <c:v>7600.5721314442017</c:v>
                </c:pt>
                <c:pt idx="68">
                  <c:v>7598.5342766264966</c:v>
                </c:pt>
                <c:pt idx="69">
                  <c:v>7597.575229855539</c:v>
                </c:pt>
                <c:pt idx="70">
                  <c:v>7597.5566970749833</c:v>
                </c:pt>
                <c:pt idx="71">
                  <c:v>7598.3415425844432</c:v>
                </c:pt>
                <c:pt idx="72">
                  <c:v>7599.7963234481986</c:v>
                </c:pt>
                <c:pt idx="73">
                  <c:v>7601.7933960430973</c:v>
                </c:pt>
                <c:pt idx="74">
                  <c:v>7604.2126170762403</c:v>
                </c:pt>
                <c:pt idx="75">
                  <c:v>7606.9426639327266</c:v>
                </c:pt>
                <c:pt idx="76">
                  <c:v>7609.8820014960502</c:v>
                </c:pt>
                <c:pt idx="77">
                  <c:v>7612.9395245826527</c:v>
                </c:pt>
                <c:pt idx="78">
                  <c:v>7616.0349067858197</c:v>
                </c:pt>
                <c:pt idx="79">
                  <c:v>7619.0986877632658</c:v>
                </c:pt>
                <c:pt idx="80">
                  <c:v>7622.0721317651705</c:v>
                </c:pt>
                <c:pt idx="81">
                  <c:v>7624.9068904399483</c:v>
                </c:pt>
                <c:pt idx="82">
                  <c:v>7627.5645026515303</c:v>
                </c:pt>
                <c:pt idx="83">
                  <c:v>7630.0157631980646</c:v>
                </c:pt>
                <c:pt idx="84">
                  <c:v>7632.2399909662199</c:v>
                </c:pt>
                <c:pt idx="85">
                  <c:v>7634.2242252386422</c:v>
                </c:pt>
                <c:pt idx="86">
                  <c:v>7635.9623766630939</c:v>
                </c:pt>
                <c:pt idx="87">
                  <c:v>7637.454356871699</c:v>
                </c:pt>
                <c:pt idx="88">
                  <c:v>7638.7052079955101</c:v>
                </c:pt>
                <c:pt idx="89">
                  <c:v>7639.7242504430887</c:v>
                </c:pt>
                <c:pt idx="90">
                  <c:v>7640.5242643885649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89-47E0-B06D-396E9F480CE4}"/>
            </c:ext>
          </c:extLst>
        </c:ser>
        <c:ser>
          <c:idx val="2"/>
          <c:order val="2"/>
          <c:tx>
            <c:strRef>
              <c:f>'Phase plot R'!$W$7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'Phase plot R'!$V$8:$V$98</c:f>
              <c:numCache>
                <c:formatCode>General</c:formatCode>
                <c:ptCount val="91"/>
                <c:pt idx="0">
                  <c:v>9471</c:v>
                </c:pt>
                <c:pt idx="1">
                  <c:v>8562.5283057902579</c:v>
                </c:pt>
                <c:pt idx="2">
                  <c:v>8383.4019660068316</c:v>
                </c:pt>
                <c:pt idx="3">
                  <c:v>8616.9262380276396</c:v>
                </c:pt>
                <c:pt idx="4">
                  <c:v>9096.6464714202812</c:v>
                </c:pt>
                <c:pt idx="5">
                  <c:v>9729.8217707031345</c:v>
                </c:pt>
                <c:pt idx="6">
                  <c:v>10461.020610334619</c:v>
                </c:pt>
                <c:pt idx="7">
                  <c:v>11254.511312843078</c:v>
                </c:pt>
                <c:pt idx="8">
                  <c:v>12085.522492527851</c:v>
                </c:pt>
                <c:pt idx="9">
                  <c:v>12935.769743975648</c:v>
                </c:pt>
                <c:pt idx="10">
                  <c:v>13791.084571911892</c:v>
                </c:pt>
                <c:pt idx="11">
                  <c:v>14640.106194903394</c:v>
                </c:pt>
                <c:pt idx="12">
                  <c:v>15473.524899142089</c:v>
                </c:pt>
                <c:pt idx="13">
                  <c:v>16283.619611565937</c:v>
                </c:pt>
                <c:pt idx="14">
                  <c:v>17063.957628384873</c:v>
                </c:pt>
                <c:pt idx="15">
                  <c:v>17809.187625030703</c:v>
                </c:pt>
                <c:pt idx="16">
                  <c:v>18514.889523198959</c:v>
                </c:pt>
                <c:pt idx="17">
                  <c:v>19177.461642428214</c:v>
                </c:pt>
                <c:pt idx="18">
                  <c:v>19794.034332719239</c:v>
                </c:pt>
                <c:pt idx="19">
                  <c:v>20362.403791444336</c:v>
                </c:pt>
                <c:pt idx="20">
                  <c:v>20880.981995083279</c:v>
                </c:pt>
                <c:pt idx="21">
                  <c:v>21348.759673217988</c:v>
                </c:pt>
                <c:pt idx="22">
                  <c:v>21765.279586989418</c:v>
                </c:pt>
                <c:pt idx="23">
                  <c:v>22130.617367321807</c:v>
                </c:pt>
                <c:pt idx="24">
                  <c:v>22445.367014147763</c:v>
                </c:pt>
                <c:pt idx="25">
                  <c:v>22710.627988435488</c:v>
                </c:pt>
                <c:pt idx="26">
                  <c:v>22927.99074387076</c:v>
                </c:pt>
                <c:pt idx="27">
                  <c:v>23099.51762398734</c:v>
                </c:pt>
                <c:pt idx="28">
                  <c:v>23227.716352264695</c:v>
                </c:pt>
                <c:pt idx="29">
                  <c:v>23315.503899140273</c:v>
                </c:pt>
                <c:pt idx="30">
                  <c:v>23366.159317604783</c:v>
                </c:pt>
                <c:pt idx="31">
                  <c:v>23383.265153344619</c:v>
                </c:pt>
                <c:pt idx="32">
                  <c:v>23370.638170332611</c:v>
                </c:pt>
                <c:pt idx="33">
                  <c:v>23332.251269670778</c:v>
                </c:pt>
                <c:pt idx="34">
                  <c:v>23272.149483843466</c:v>
                </c:pt>
                <c:pt idx="35">
                  <c:v>23194.363672723885</c:v>
                </c:pt>
                <c:pt idx="36">
                  <c:v>23102.825934660901</c:v>
                </c:pt>
                <c:pt idx="37">
                  <c:v>23001.290728200736</c:v>
                </c:pt>
                <c:pt idx="38">
                  <c:v>22893.265288546438</c:v>
                </c:pt>
                <c:pt idx="39">
                  <c:v>22781.95218448187</c:v>
                </c:pt>
                <c:pt idx="40">
                  <c:v>22670.205904504641</c:v>
                </c:pt>
                <c:pt idx="41">
                  <c:v>22560.504313853326</c:v>
                </c:pt>
                <c:pt idx="42">
                  <c:v>22454.934812641874</c:v>
                </c:pt>
                <c:pt idx="43">
                  <c:v>22355.19415275006</c:v>
                </c:pt>
                <c:pt idx="44">
                  <c:v>22262.600206198706</c:v>
                </c:pt>
                <c:pt idx="45">
                  <c:v>22178.11355082121</c:v>
                </c:pt>
                <c:pt idx="46">
                  <c:v>22102.366545748966</c:v>
                </c:pt>
                <c:pt idx="47">
                  <c:v>22035.697579033946</c:v>
                </c:pt>
                <c:pt idx="48">
                  <c:v>21978.188336601179</c:v>
                </c:pt>
                <c:pt idx="49">
                  <c:v>21929.702214255467</c:v>
                </c:pt>
                <c:pt idx="50">
                  <c:v>21889.922323904408</c:v>
                </c:pt>
                <c:pt idx="51">
                  <c:v>21858.387890571823</c:v>
                </c:pt>
                <c:pt idx="52">
                  <c:v>21834.528167485325</c:v>
                </c:pt>
                <c:pt idx="53">
                  <c:v>21817.693292350916</c:v>
                </c:pt>
                <c:pt idx="54">
                  <c:v>21807.181757990322</c:v>
                </c:pt>
                <c:pt idx="55">
                  <c:v>21802.264371274559</c:v>
                </c:pt>
                <c:pt idx="56">
                  <c:v>21802.204727412747</c:v>
                </c:pt>
                <c:pt idx="57">
                  <c:v>21806.27633707261</c:v>
                </c:pt>
                <c:pt idx="58">
                  <c:v>21813.776618094209</c:v>
                </c:pt>
                <c:pt idx="59">
                  <c:v>21824.038008760566</c:v>
                </c:pt>
                <c:pt idx="60">
                  <c:v>21836.436482447047</c:v>
                </c:pt>
                <c:pt idx="61">
                  <c:v>21850.39774995824</c:v>
                </c:pt>
                <c:pt idx="62">
                  <c:v>21865.401430972575</c:v>
                </c:pt>
                <c:pt idx="63">
                  <c:v>21880.983463728775</c:v>
                </c:pt>
                <c:pt idx="64">
                  <c:v>21896.73700542899</c:v>
                </c:pt>
                <c:pt idx="65">
                  <c:v>21912.312056991621</c:v>
                </c:pt>
                <c:pt idx="66">
                  <c:v>21927.414026264029</c:v>
                </c:pt>
                <c:pt idx="67">
                  <c:v>21941.801424558416</c:v>
                </c:pt>
                <c:pt idx="68">
                  <c:v>21955.282872949298</c:v>
                </c:pt>
                <c:pt idx="69">
                  <c:v>21967.713577420367</c:v>
                </c:pt>
                <c:pt idx="70">
                  <c:v>21978.99141572677</c:v>
                </c:pt>
                <c:pt idx="71">
                  <c:v>21989.052763680149</c:v>
                </c:pt>
                <c:pt idx="72">
                  <c:v>21997.868174341729</c:v>
                </c:pt>
                <c:pt idx="73">
                  <c:v>22005.438010179132</c:v>
                </c:pt>
                <c:pt idx="74">
                  <c:v>22011.788115473042</c:v>
                </c:pt>
                <c:pt idx="75">
                  <c:v>22016.965604048903</c:v>
                </c:pt>
                <c:pt idx="76">
                  <c:v>22021.034825693907</c:v>
                </c:pt>
                <c:pt idx="77">
                  <c:v>22024.073563379745</c:v>
                </c:pt>
                <c:pt idx="78">
                  <c:v>22026.169502663848</c:v>
                </c:pt>
                <c:pt idx="79">
                  <c:v>22027.41700443345</c:v>
                </c:pt>
                <c:pt idx="80">
                  <c:v>22027.914202557204</c:v>
                </c:pt>
                <c:pt idx="81">
                  <c:v>22027.760439098191</c:v>
                </c:pt>
                <c:pt idx="82">
                  <c:v>22027.054041602249</c:v>
                </c:pt>
                <c:pt idx="83">
                  <c:v>22025.890439681036</c:v>
                </c:pt>
                <c:pt idx="84">
                  <c:v>22024.360611720331</c:v>
                </c:pt>
                <c:pt idx="85">
                  <c:v>22022.549847101513</c:v>
                </c:pt>
                <c:pt idx="86">
                  <c:v>22020.536804845615</c:v>
                </c:pt>
                <c:pt idx="87">
                  <c:v>22018.392846069208</c:v>
                </c:pt>
                <c:pt idx="88">
                  <c:v>22016.181615050384</c:v>
                </c:pt>
                <c:pt idx="89">
                  <c:v>22013.958841991513</c:v>
                </c:pt>
                <c:pt idx="90">
                  <c:v>22011.772339665207</c:v>
                </c:pt>
              </c:numCache>
            </c:numRef>
          </c:xVal>
          <c:yVal>
            <c:numRef>
              <c:f>'Phase plot R'!$W$8:$W$98</c:f>
              <c:numCache>
                <c:formatCode>General</c:formatCode>
                <c:ptCount val="91"/>
                <c:pt idx="0">
                  <c:v>40529</c:v>
                </c:pt>
                <c:pt idx="1">
                  <c:v>34755.035785215659</c:v>
                </c:pt>
                <c:pt idx="2">
                  <c:v>29683.984618895578</c:v>
                </c:pt>
                <c:pt idx="3">
                  <c:v>25388.048106584149</c:v>
                </c:pt>
                <c:pt idx="4">
                  <c:v>21814.448745938374</c:v>
                </c:pt>
                <c:pt idx="5">
                  <c:v>18868.991205520946</c:v>
                </c:pt>
                <c:pt idx="6">
                  <c:v>16451.798588617497</c:v>
                </c:pt>
                <c:pt idx="7">
                  <c:v>14471.397751963084</c:v>
                </c:pt>
                <c:pt idx="8">
                  <c:v>12849.189886914279</c:v>
                </c:pt>
                <c:pt idx="9">
                  <c:v>11519.803966960517</c:v>
                </c:pt>
                <c:pt idx="10">
                  <c:v>10429.832733515799</c:v>
                </c:pt>
                <c:pt idx="11">
                  <c:v>9536.0735233801242</c:v>
                </c:pt>
                <c:pt idx="12">
                  <c:v>8803.759691796573</c:v>
                </c:pt>
                <c:pt idx="13">
                  <c:v>8204.973748274946</c:v>
                </c:pt>
                <c:pt idx="14">
                  <c:v>7717.2985946901053</c:v>
                </c:pt>
                <c:pt idx="15">
                  <c:v>7322.7041104863201</c:v>
                </c:pt>
                <c:pt idx="16">
                  <c:v>7006.6429771718576</c:v>
                </c:pt>
                <c:pt idx="17">
                  <c:v>6757.3229905363632</c:v>
                </c:pt>
                <c:pt idx="18">
                  <c:v>6565.1239315829853</c:v>
                </c:pt>
                <c:pt idx="19">
                  <c:v>6422.130883653389</c:v>
                </c:pt>
                <c:pt idx="20">
                  <c:v>6321.7605671304018</c:v>
                </c:pt>
                <c:pt idx="21">
                  <c:v>6258.4618474534382</c:v>
                </c:pt>
                <c:pt idx="22">
                  <c:v>6227.4756577748058</c:v>
                </c:pt>
                <c:pt idx="23">
                  <c:v>6224.6430343461107</c:v>
                </c:pt>
                <c:pt idx="24">
                  <c:v>6246.2527792434466</c:v>
                </c:pt>
                <c:pt idx="25">
                  <c:v>6288.9224749666746</c:v>
                </c:pt>
                <c:pt idx="26">
                  <c:v>6349.5082248028248</c:v>
                </c:pt>
                <c:pt idx="27">
                  <c:v>6425.0396295550963</c:v>
                </c:pt>
                <c:pt idx="28">
                  <c:v>6512.6771865066548</c:v>
                </c:pt>
                <c:pt idx="29">
                  <c:v>6609.6895714168541</c:v>
                </c:pt>
                <c:pt idx="30">
                  <c:v>6713.4482170138035</c:v>
                </c:pt>
                <c:pt idx="31">
                  <c:v>6821.4363305623674</c:v>
                </c:pt>
                <c:pt idx="32">
                  <c:v>6931.2691155377097</c:v>
                </c:pt>
                <c:pt idx="33">
                  <c:v>7040.721603671439</c:v>
                </c:pt>
                <c:pt idx="34">
                  <c:v>7147.7602820416832</c:v>
                </c:pt>
                <c:pt idx="35">
                  <c:v>7250.5747084252507</c:v>
                </c:pt>
                <c:pt idx="36">
                  <c:v>7347.6055980875926</c:v>
                </c:pt>
                <c:pt idx="37">
                  <c:v>7437.5664366257815</c:v>
                </c:pt>
                <c:pt idx="38">
                  <c:v>7519.4564757813187</c:v>
                </c:pt>
                <c:pt idx="39">
                  <c:v>7592.5639119100624</c:v>
                </c:pt>
                <c:pt idx="40">
                  <c:v>7656.4590186086498</c:v>
                </c:pt>
                <c:pt idx="41">
                  <c:v>7710.9778952091165</c:v>
                </c:pt>
                <c:pt idx="42">
                  <c:v>7756.1982111990801</c:v>
                </c:pt>
                <c:pt idx="43">
                  <c:v>7792.4088163571396</c:v>
                </c:pt>
                <c:pt idx="44">
                  <c:v>7820.0753289837821</c:v>
                </c:pt>
                <c:pt idx="45">
                  <c:v>7839.8038264336055</c:v>
                </c:pt>
                <c:pt idx="46">
                  <c:v>7852.3045854598058</c:v>
                </c:pt>
                <c:pt idx="47">
                  <c:v>7858.3575111426553</c:v>
                </c:pt>
                <c:pt idx="48">
                  <c:v>7858.7805117999114</c:v>
                </c:pt>
                <c:pt idx="49">
                  <c:v>7854.4016767221974</c:v>
                </c:pt>
                <c:pt idx="50">
                  <c:v>7846.03573581204</c:v>
                </c:pt>
                <c:pt idx="51">
                  <c:v>7834.4649535310691</c:v>
                </c:pt>
                <c:pt idx="52">
                  <c:v>7820.424349073176</c:v>
                </c:pt>
                <c:pt idx="53">
                  <c:v>7804.5909444563604</c:v>
                </c:pt>
                <c:pt idx="54">
                  <c:v>7787.576618275948</c:v>
                </c:pt>
                <c:pt idx="55">
                  <c:v>7769.9240761606452</c:v>
                </c:pt>
                <c:pt idx="56">
                  <c:v>7752.1054280714707</c:v>
                </c:pt>
                <c:pt idx="57">
                  <c:v>7734.5228756034539</c:v>
                </c:pt>
                <c:pt idx="58">
                  <c:v>7717.5110484167089</c:v>
                </c:pt>
                <c:pt idx="59">
                  <c:v>7701.3405785182058</c:v>
                </c:pt>
                <c:pt idx="60">
                  <c:v>7686.2225569733318</c:v>
                </c:pt>
                <c:pt idx="61">
                  <c:v>7672.3135743223183</c:v>
                </c:pt>
                <c:pt idx="62">
                  <c:v>7659.7210998224036</c:v>
                </c:pt>
                <c:pt idx="63">
                  <c:v>7648.509003384982</c:v>
                </c:pt>
                <c:pt idx="64">
                  <c:v>7638.7030666010642</c:v>
                </c:pt>
                <c:pt idx="65">
                  <c:v>7630.2963652395565</c:v>
                </c:pt>
                <c:pt idx="66">
                  <c:v>7623.2544353079165</c:v>
                </c:pt>
                <c:pt idx="67">
                  <c:v>7617.5201587732381</c:v>
                </c:pt>
                <c:pt idx="68">
                  <c:v>7613.0183241214927</c:v>
                </c:pt>
                <c:pt idx="69">
                  <c:v>7609.6598319103123</c:v>
                </c:pt>
                <c:pt idx="70">
                  <c:v>7607.3455271495586</c:v>
                </c:pt>
                <c:pt idx="71">
                  <c:v>7605.9696494517766</c:v>
                </c:pt>
                <c:pt idx="72">
                  <c:v>7605.4228990545898</c:v>
                </c:pt>
                <c:pt idx="73">
                  <c:v>7605.5951225360423</c:v>
                </c:pt>
                <c:pt idx="74">
                  <c:v>7606.3776267127323</c:v>
                </c:pt>
                <c:pt idx="75">
                  <c:v>7607.6651331133262</c:v>
                </c:pt>
                <c:pt idx="76">
                  <c:v>7609.3573887475541</c:v>
                </c:pt>
                <c:pt idx="77">
                  <c:v>7611.3604517579915</c:v>
                </c:pt>
                <c:pt idx="78">
                  <c:v>7613.5876730051614</c:v>
                </c:pt>
                <c:pt idx="79">
                  <c:v>7615.9603967111971</c:v>
                </c:pt>
                <c:pt idx="80">
                  <c:v>7618.4084049634012</c:v>
                </c:pt>
                <c:pt idx="81">
                  <c:v>7620.8701321347753</c:v>
                </c:pt>
                <c:pt idx="82">
                  <c:v>7623.2926760911441</c:v>
                </c:pt>
                <c:pt idx="83">
                  <c:v>7625.6316334081621</c:v>
                </c:pt>
                <c:pt idx="84">
                  <c:v>7627.8507857129698</c:v>
                </c:pt>
                <c:pt idx="85">
                  <c:v>7629.9216637062909</c:v>
                </c:pt>
                <c:pt idx="86">
                  <c:v>7631.8230144388044</c:v>
                </c:pt>
                <c:pt idx="87">
                  <c:v>7633.5401960525514</c:v>
                </c:pt>
                <c:pt idx="88">
                  <c:v>7635.0645225078842</c:v>
                </c:pt>
                <c:pt idx="89">
                  <c:v>7636.3925788616925</c:v>
                </c:pt>
                <c:pt idx="90">
                  <c:v>7637.5255255111824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89-47E0-B06D-396E9F480CE4}"/>
            </c:ext>
          </c:extLst>
        </c:ser>
        <c:ser>
          <c:idx val="3"/>
          <c:order val="3"/>
          <c:tx>
            <c:strRef>
              <c:f>'Phase plot R'!$T$7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R'!$S$8:$S$98</c:f>
              <c:numCache>
                <c:formatCode>General</c:formatCode>
                <c:ptCount val="91"/>
                <c:pt idx="0">
                  <c:v>0</c:v>
                </c:pt>
                <c:pt idx="1">
                  <c:v>3314.9735178652709</c:v>
                </c:pt>
                <c:pt idx="2">
                  <c:v>6371.8047715477696</c:v>
                </c:pt>
                <c:pt idx="3">
                  <c:v>9202.1980181411182</c:v>
                </c:pt>
                <c:pt idx="4">
                  <c:v>11828.928153398754</c:v>
                </c:pt>
                <c:pt idx="5">
                  <c:v>14269.434691296601</c:v>
                </c:pt>
                <c:pt idx="6">
                  <c:v>16537.761885156287</c:v>
                </c:pt>
                <c:pt idx="7">
                  <c:v>18645.633783984365</c:v>
                </c:pt>
                <c:pt idx="8">
                  <c:v>20603.060941253963</c:v>
                </c:pt>
                <c:pt idx="9">
                  <c:v>22418.684410041456</c:v>
                </c:pt>
                <c:pt idx="10">
                  <c:v>24099.966274630362</c:v>
                </c:pt>
                <c:pt idx="11">
                  <c:v>25653.285889297644</c:v>
                </c:pt>
                <c:pt idx="12">
                  <c:v>27083.974353612688</c:v>
                </c:pt>
                <c:pt idx="13">
                  <c:v>28396.305422943355</c:v>
                </c:pt>
                <c:pt idx="14">
                  <c:v>29593.453523899421</c:v>
                </c:pt>
                <c:pt idx="15">
                  <c:v>30677.426113191923</c:v>
                </c:pt>
                <c:pt idx="16">
                  <c:v>31648.977055010844</c:v>
                </c:pt>
                <c:pt idx="17">
                  <c:v>32507.509589706649</c:v>
                </c:pt>
                <c:pt idx="18">
                  <c:v>33250.981893402277</c:v>
                </c:pt>
                <c:pt idx="19">
                  <c:v>33875.835479979294</c:v>
                </c:pt>
                <c:pt idx="20">
                  <c:v>34376.977012803298</c:v>
                </c:pt>
                <c:pt idx="21">
                  <c:v>34747.857213781383</c:v>
                </c:pt>
                <c:pt idx="22">
                  <c:v>34980.705020159585</c:v>
                </c:pt>
                <c:pt idx="23">
                  <c:v>35066.9872932859</c:v>
                </c:pt>
                <c:pt idx="24">
                  <c:v>34998.16731963354</c:v>
                </c:pt>
                <c:pt idx="25">
                  <c:v>34766.818429421</c:v>
                </c:pt>
                <c:pt idx="26">
                  <c:v>34368.099434979646</c:v>
                </c:pt>
                <c:pt idx="27">
                  <c:v>33801.506498108582</c:v>
                </c:pt>
                <c:pt idx="28">
                  <c:v>33072.684973051459</c:v>
                </c:pt>
                <c:pt idx="29">
                  <c:v>32194.943904806358</c:v>
                </c:pt>
                <c:pt idx="30">
                  <c:v>31190.025528738774</c:v>
                </c:pt>
                <c:pt idx="31">
                  <c:v>30087.718524772354</c:v>
                </c:pt>
                <c:pt idx="32">
                  <c:v>28924.115989841481</c:v>
                </c:pt>
                <c:pt idx="33">
                  <c:v>27738.676199785274</c:v>
                </c:pt>
                <c:pt idx="34">
                  <c:v>26570.617704286935</c:v>
                </c:pt>
                <c:pt idx="35">
                  <c:v>25455.398655452344</c:v>
                </c:pt>
                <c:pt idx="36">
                  <c:v>24421.984548813558</c:v>
                </c:pt>
                <c:pt idx="37">
                  <c:v>23491.327246603025</c:v>
                </c:pt>
                <c:pt idx="38">
                  <c:v>22676.105314674489</c:v>
                </c:pt>
                <c:pt idx="39">
                  <c:v>21981.472753966522</c:v>
                </c:pt>
                <c:pt idx="40">
                  <c:v>21406.41884625141</c:v>
                </c:pt>
                <c:pt idx="41">
                  <c:v>20945.350563439883</c:v>
                </c:pt>
                <c:pt idx="42">
                  <c:v>20589.609073866352</c:v>
                </c:pt>
                <c:pt idx="43">
                  <c:v>20328.755907511208</c:v>
                </c:pt>
                <c:pt idx="44">
                  <c:v>20151.568580231884</c:v>
                </c:pt>
                <c:pt idx="45">
                  <c:v>20046.753858735425</c:v>
                </c:pt>
                <c:pt idx="46">
                  <c:v>20003.421654160178</c:v>
                </c:pt>
                <c:pt idx="47">
                  <c:v>20011.373528686276</c:v>
                </c:pt>
                <c:pt idx="48">
                  <c:v>20061.257156435793</c:v>
                </c:pt>
                <c:pt idx="49">
                  <c:v>20144.629398462501</c:v>
                </c:pt>
                <c:pt idx="50">
                  <c:v>20253.960559736573</c:v>
                </c:pt>
                <c:pt idx="51">
                  <c:v>20382.603213078291</c:v>
                </c:pt>
                <c:pt idx="52">
                  <c:v>20524.741563493782</c:v>
                </c:pt>
                <c:pt idx="53">
                  <c:v>20675.331771172005</c:v>
                </c:pt>
                <c:pt idx="54">
                  <c:v>20830.039698034383</c:v>
                </c:pt>
                <c:pt idx="55">
                  <c:v>20985.17984016539</c:v>
                </c:pt>
                <c:pt idx="56">
                  <c:v>21137.657424065572</c:v>
                </c:pt>
                <c:pt idx="57">
                  <c:v>21284.914506651774</c:v>
                </c:pt>
                <c:pt idx="58">
                  <c:v>21424.880222689229</c:v>
                </c:pt>
                <c:pt idx="59">
                  <c:v>21555.92492280855</c:v>
                </c:pt>
                <c:pt idx="60">
                  <c:v>21676.817739879811</c:v>
                </c:pt>
                <c:pt idx="61">
                  <c:v>21786.687043721162</c:v>
                </c:pt>
                <c:pt idx="62">
                  <c:v>21884.983249060304</c:v>
                </c:pt>
                <c:pt idx="63">
                  <c:v>21971.443499456873</c:v>
                </c:pt>
                <c:pt idx="64">
                  <c:v>22046.057840109912</c:v>
                </c:pt>
                <c:pt idx="65">
                  <c:v>22109.036600463689</c:v>
                </c:pt>
                <c:pt idx="66">
                  <c:v>22160.778822084245</c:v>
                </c:pt>
                <c:pt idx="67">
                  <c:v>22201.841679340356</c:v>
                </c:pt>
                <c:pt idx="68">
                  <c:v>22232.910942444745</c:v>
                </c:pt>
                <c:pt idx="69">
                  <c:v>22254.772618228068</c:v>
                </c:pt>
                <c:pt idx="70">
                  <c:v>22268.285968944518</c:v>
                </c:pt>
                <c:pt idx="71">
                  <c:v>22274.358150438282</c:v>
                </c:pt>
                <c:pt idx="72">
                  <c:v>22273.920726971704</c:v>
                </c:pt>
                <c:pt idx="73">
                  <c:v>22267.908311650233</c:v>
                </c:pt>
                <c:pt idx="74">
                  <c:v>22257.239551157309</c:v>
                </c:pt>
                <c:pt idx="75">
                  <c:v>22242.800625381133</c:v>
                </c:pt>
                <c:pt idx="76">
                  <c:v>22225.431371454812</c:v>
                </c:pt>
                <c:pt idx="77">
                  <c:v>22205.914073242875</c:v>
                </c:pt>
                <c:pt idx="78">
                  <c:v>22184.964886884478</c:v>
                </c:pt>
                <c:pt idx="79">
                  <c:v>22163.227805659324</c:v>
                </c:pt>
                <c:pt idx="80">
                  <c:v>22141.271007335548</c:v>
                </c:pt>
                <c:pt idx="81">
                  <c:v>22119.585377357256</c:v>
                </c:pt>
                <c:pt idx="82">
                  <c:v>22098.584963615638</c:v>
                </c:pt>
                <c:pt idx="83">
                  <c:v>22078.609093854051</c:v>
                </c:pt>
                <c:pt idx="84">
                  <c:v>22059.925874705947</c:v>
                </c:pt>
                <c:pt idx="85">
                  <c:v>22042.736790873649</c:v>
                </c:pt>
                <c:pt idx="86">
                  <c:v>22027.182132380447</c:v>
                </c:pt>
                <c:pt idx="87">
                  <c:v>22013.346995198328</c:v>
                </c:pt>
                <c:pt idx="88">
                  <c:v>22001.267623788968</c:v>
                </c:pt>
                <c:pt idx="89">
                  <c:v>21990.937891180478</c:v>
                </c:pt>
                <c:pt idx="90">
                  <c:v>21982.315741312061</c:v>
                </c:pt>
              </c:numCache>
            </c:numRef>
          </c:xVal>
          <c:yVal>
            <c:numRef>
              <c:f>'Phase plot R'!$T$8:$T$98</c:f>
              <c:numCache>
                <c:formatCode>General</c:formatCode>
                <c:ptCount val="91"/>
                <c:pt idx="0">
                  <c:v>1654</c:v>
                </c:pt>
                <c:pt idx="1">
                  <c:v>1314.1710383477468</c:v>
                </c:pt>
                <c:pt idx="2">
                  <c:v>1081.6056916485891</c:v>
                </c:pt>
                <c:pt idx="3">
                  <c:v>920.01956617603219</c:v>
                </c:pt>
                <c:pt idx="4">
                  <c:v>807.06412992928347</c:v>
                </c:pt>
                <c:pt idx="5">
                  <c:v>728.6597391994751</c:v>
                </c:pt>
                <c:pt idx="6">
                  <c:v>675.7954055123646</c:v>
                </c:pt>
                <c:pt idx="7">
                  <c:v>642.67117984283038</c:v>
                </c:pt>
                <c:pt idx="8">
                  <c:v>625.59535574226572</c:v>
                </c:pt>
                <c:pt idx="9">
                  <c:v>622.31922634059345</c:v>
                </c:pt>
                <c:pt idx="10">
                  <c:v>631.63327219678536</c:v>
                </c:pt>
                <c:pt idx="11">
                  <c:v>653.12451798809241</c:v>
                </c:pt>
                <c:pt idx="12">
                  <c:v>687.0366149896895</c:v>
                </c:pt>
                <c:pt idx="13">
                  <c:v>734.1976787397233</c:v>
                </c:pt>
                <c:pt idx="14">
                  <c:v>795.99410983053929</c:v>
                </c:pt>
                <c:pt idx="15">
                  <c:v>874.37574786839946</c:v>
                </c:pt>
                <c:pt idx="16">
                  <c:v>971.88090594897005</c:v>
                </c:pt>
                <c:pt idx="17">
                  <c:v>1091.6701361210282</c:v>
                </c:pt>
                <c:pt idx="18">
                  <c:v>1237.5553963335369</c:v>
                </c:pt>
                <c:pt idx="19">
                  <c:v>1414.0067468615264</c:v>
                </c:pt>
                <c:pt idx="20">
                  <c:v>1626.1119404491662</c:v>
                </c:pt>
                <c:pt idx="21">
                  <c:v>1879.4558554911491</c:v>
                </c:pt>
                <c:pt idx="22">
                  <c:v>2179.8782398573267</c:v>
                </c:pt>
                <c:pt idx="23">
                  <c:v>2533.0630397460718</c:v>
                </c:pt>
                <c:pt idx="24">
                  <c:v>2943.916517964296</c:v>
                </c:pt>
                <c:pt idx="25">
                  <c:v>3415.7127692872023</c:v>
                </c:pt>
                <c:pt idx="26">
                  <c:v>3949.0331853131884</c:v>
                </c:pt>
                <c:pt idx="27">
                  <c:v>4540.6056558689952</c:v>
                </c:pt>
                <c:pt idx="28">
                  <c:v>5182.2515784319976</c:v>
                </c:pt>
                <c:pt idx="29">
                  <c:v>5860.2436233421222</c:v>
                </c:pt>
                <c:pt idx="30">
                  <c:v>6555.4107865870637</c:v>
                </c:pt>
                <c:pt idx="31">
                  <c:v>7244.2404726835039</c:v>
                </c:pt>
                <c:pt idx="32">
                  <c:v>7900.9963334730728</c:v>
                </c:pt>
                <c:pt idx="33">
                  <c:v>8500.5486207793547</c:v>
                </c:pt>
                <c:pt idx="34">
                  <c:v>9021.3330920405042</c:v>
                </c:pt>
                <c:pt idx="35">
                  <c:v>9447.7616756017615</c:v>
                </c:pt>
                <c:pt idx="36">
                  <c:v>9771.5662050408755</c:v>
                </c:pt>
                <c:pt idx="37">
                  <c:v>9991.8938345499064</c:v>
                </c:pt>
                <c:pt idx="38">
                  <c:v>10114.32856267975</c:v>
                </c:pt>
                <c:pt idx="39">
                  <c:v>10149.242601578029</c:v>
                </c:pt>
                <c:pt idx="40">
                  <c:v>10109.931004276845</c:v>
                </c:pt>
                <c:pt idx="41">
                  <c:v>10010.892175853081</c:v>
                </c:pt>
                <c:pt idx="42">
                  <c:v>9866.4656337442575</c:v>
                </c:pt>
                <c:pt idx="43">
                  <c:v>9689.8956908548607</c:v>
                </c:pt>
                <c:pt idx="44">
                  <c:v>9492.790855739735</c:v>
                </c:pt>
                <c:pt idx="45">
                  <c:v>9284.8985873784823</c:v>
                </c:pt>
                <c:pt idx="46">
                  <c:v>9074.1021812443396</c:v>
                </c:pt>
                <c:pt idx="47">
                  <c:v>8866.5556241511931</c:v>
                </c:pt>
                <c:pt idx="48">
                  <c:v>8666.8905935585281</c:v>
                </c:pt>
                <c:pt idx="49">
                  <c:v>8478.4493779601617</c:v>
                </c:pt>
                <c:pt idx="50">
                  <c:v>8303.5143692671227</c:v>
                </c:pt>
                <c:pt idx="51">
                  <c:v>8143.5176053884434</c:v>
                </c:pt>
                <c:pt idx="52">
                  <c:v>7999.2227398177674</c:v>
                </c:pt>
                <c:pt idx="53">
                  <c:v>7870.8775026757503</c:v>
                </c:pt>
                <c:pt idx="54">
                  <c:v>7758.3380380396356</c:v>
                </c:pt>
                <c:pt idx="55">
                  <c:v>7661.168205481189</c:v>
                </c:pt>
                <c:pt idx="56">
                  <c:v>7578.7176032675989</c:v>
                </c:pt>
                <c:pt idx="57">
                  <c:v>7510.1821242950209</c:v>
                </c:pt>
                <c:pt idx="58">
                  <c:v>7454.6505738303322</c:v>
                </c:pt>
                <c:pt idx="59">
                  <c:v>7411.1404383593735</c:v>
                </c:pt>
                <c:pt idx="60">
                  <c:v>7378.6254037699327</c:v>
                </c:pt>
                <c:pt idx="61">
                  <c:v>7356.0567382785712</c:v>
                </c:pt>
                <c:pt idx="62">
                  <c:v>7342.3802111823506</c:v>
                </c:pt>
                <c:pt idx="63">
                  <c:v>7336.5498256652872</c:v>
                </c:pt>
                <c:pt idx="64">
                  <c:v>7337.5393060639735</c:v>
                </c:pt>
                <c:pt idx="65">
                  <c:v>7344.351996107418</c:v>
                </c:pt>
                <c:pt idx="66">
                  <c:v>7356.029591691632</c:v>
                </c:pt>
                <c:pt idx="67">
                  <c:v>7371.6599461841297</c:v>
                </c:pt>
                <c:pt idx="68">
                  <c:v>7390.384044502719</c:v>
                </c:pt>
                <c:pt idx="69">
                  <c:v>7411.4021407057644</c:v>
                </c:pt>
                <c:pt idx="70">
                  <c:v>7433.9789888101532</c:v>
                </c:pt>
                <c:pt idx="71">
                  <c:v>7457.448063843588</c:v>
                </c:pt>
                <c:pt idx="72">
                  <c:v>7481.214664992508</c:v>
                </c:pt>
                <c:pt idx="73">
                  <c:v>7504.7578097900159</c:v>
                </c:pt>
                <c:pt idx="74">
                  <c:v>7527.6308618125686</c:v>
                </c:pt>
                <c:pt idx="75">
                  <c:v>7549.4608783494541</c:v>
                </c:pt>
                <c:pt idx="76">
                  <c:v>7569.9467131717402</c:v>
                </c:pt>
                <c:pt idx="77">
                  <c:v>7588.8559575903046</c:v>
                </c:pt>
                <c:pt idx="78">
                  <c:v>7606.0208460531558</c:v>
                </c:pt>
                <c:pt idx="79">
                  <c:v>7621.3332872899718</c:v>
                </c:pt>
                <c:pt idx="80">
                  <c:v>7634.7392063853513</c:v>
                </c:pt>
                <c:pt idx="81">
                  <c:v>7646.2323962806749</c:v>
                </c:pt>
                <c:pt idx="82">
                  <c:v>7655.8480792839564</c:v>
                </c:pt>
                <c:pt idx="83">
                  <c:v>7663.6563713037376</c:v>
                </c:pt>
                <c:pt idx="84">
                  <c:v>7669.7558254367068</c:v>
                </c:pt>
                <c:pt idx="85">
                  <c:v>7674.2672093041729</c:v>
                </c:pt>
                <c:pt idx="86">
                  <c:v>7677.327644331338</c:v>
                </c:pt>
                <c:pt idx="87">
                  <c:v>7679.0852070769852</c:v>
                </c:pt>
                <c:pt idx="88">
                  <c:v>7679.6940645794348</c:v>
                </c:pt>
                <c:pt idx="89">
                  <c:v>7679.3101889715153</c:v>
                </c:pt>
                <c:pt idx="90">
                  <c:v>7678.0876724309828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D89-47E0-B06D-396E9F480CE4}"/>
            </c:ext>
          </c:extLst>
        </c:ser>
        <c:ser>
          <c:idx val="4"/>
          <c:order val="4"/>
          <c:tx>
            <c:strRef>
              <c:f>'Phase plot R'!$Z$7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R'!$Y$8:$Y$98</c:f>
              <c:numCache>
                <c:formatCode>General</c:formatCode>
                <c:ptCount val="91"/>
                <c:pt idx="0">
                  <c:v>29931</c:v>
                </c:pt>
                <c:pt idx="1">
                  <c:v>24949.757709508514</c:v>
                </c:pt>
                <c:pt idx="2">
                  <c:v>21153.328868179105</c:v>
                </c:pt>
                <c:pt idx="3">
                  <c:v>18443.579835259749</c:v>
                </c:pt>
                <c:pt idx="4">
                  <c:v>16618.11480040778</c:v>
                </c:pt>
                <c:pt idx="5">
                  <c:v>15467.331675120207</c:v>
                </c:pt>
                <c:pt idx="6">
                  <c:v>14814.835965329845</c:v>
                </c:pt>
                <c:pt idx="7">
                  <c:v>14524.97824327807</c:v>
                </c:pt>
                <c:pt idx="8">
                  <c:v>14497.455928868594</c:v>
                </c:pt>
                <c:pt idx="9">
                  <c:v>14659.02265206988</c:v>
                </c:pt>
                <c:pt idx="10">
                  <c:v>14956.050220505151</c:v>
                </c:pt>
                <c:pt idx="11">
                  <c:v>15348.837959920093</c:v>
                </c:pt>
                <c:pt idx="12">
                  <c:v>15807.544272490506</c:v>
                </c:pt>
                <c:pt idx="13">
                  <c:v>16309.363850052041</c:v>
                </c:pt>
                <c:pt idx="14">
                  <c:v>16836.589569366959</c:v>
                </c:pt>
                <c:pt idx="15">
                  <c:v>17375.2806958482</c:v>
                </c:pt>
                <c:pt idx="16">
                  <c:v>17914.340576139828</c:v>
                </c:pt>
                <c:pt idx="17">
                  <c:v>18444.870214415492</c:v>
                </c:pt>
                <c:pt idx="18">
                  <c:v>18959.708730354298</c:v>
                </c:pt>
                <c:pt idx="19">
                  <c:v>19453.101781961363</c:v>
                </c:pt>
                <c:pt idx="20">
                  <c:v>19920.458861998748</c:v>
                </c:pt>
                <c:pt idx="21">
                  <c:v>20358.173281489289</c:v>
                </c:pt>
                <c:pt idx="22">
                  <c:v>20763.486999219378</c:v>
                </c:pt>
                <c:pt idx="23">
                  <c:v>21134.387836431215</c:v>
                </c:pt>
                <c:pt idx="24">
                  <c:v>21469.530084266829</c:v>
                </c:pt>
                <c:pt idx="25">
                  <c:v>21768.171759599012</c:v>
                </c:pt>
                <c:pt idx="26">
                  <c:v>22030.123248401469</c:v>
                </c:pt>
                <c:pt idx="27">
                  <c:v>22255.703097959111</c:v>
                </c:pt>
                <c:pt idx="28">
                  <c:v>22445.69748342369</c:v>
                </c:pt>
                <c:pt idx="29">
                  <c:v>22601.320516247652</c:v>
                </c:pt>
                <c:pt idx="30">
                  <c:v>22724.1731686977</c:v>
                </c:pt>
                <c:pt idx="31">
                  <c:v>22816.199208451118</c:v>
                </c:pt>
                <c:pt idx="32">
                  <c:v>22879.637186852164</c:v>
                </c:pt>
                <c:pt idx="33">
                  <c:v>22916.968193725301</c:v>
                </c:pt>
                <c:pt idx="34">
                  <c:v>22930.859749819487</c:v>
                </c:pt>
                <c:pt idx="35">
                  <c:v>22924.106810611433</c:v>
                </c:pt>
                <c:pt idx="36">
                  <c:v>22899.571353324114</c:v>
                </c:pt>
                <c:pt idx="37">
                  <c:v>22860.122368464454</c:v>
                </c:pt>
                <c:pt idx="38">
                  <c:v>22808.578247221918</c:v>
                </c:pt>
                <c:pt idx="39">
                  <c:v>22747.653535502079</c:v>
                </c:pt>
                <c:pt idx="40">
                  <c:v>22679.911824977025</c:v>
                </c:pt>
                <c:pt idx="41">
                  <c:v>22607.726202439608</c:v>
                </c:pt>
                <c:pt idx="42">
                  <c:v>22533.248227205389</c:v>
                </c:pt>
                <c:pt idx="43">
                  <c:v>22458.385906201736</c:v>
                </c:pt>
                <c:pt idx="44">
                  <c:v>22384.790641127089</c:v>
                </c:pt>
                <c:pt idx="45">
                  <c:v>22313.852677499064</c:v>
                </c:pt>
                <c:pt idx="46">
                  <c:v>22246.704224925823</c:v>
                </c:pt>
                <c:pt idx="47">
                  <c:v>22184.229160297033</c:v>
                </c:pt>
                <c:pt idx="48">
                  <c:v>22127.078075364119</c:v>
                </c:pt>
                <c:pt idx="49">
                  <c:v>22075.687380117015</c:v>
                </c:pt>
                <c:pt idx="50">
                  <c:v>22030.301207909641</c:v>
                </c:pt>
                <c:pt idx="51">
                  <c:v>21990.994967348044</c:v>
                </c:pt>
                <c:pt idx="52">
                  <c:v>21957.699528292906</c:v>
                </c:pt>
                <c:pt idx="53">
                  <c:v>21930.225195151394</c:v>
                </c:pt>
                <c:pt idx="54">
                  <c:v>21908.284793266863</c:v>
                </c:pt>
                <c:pt idx="55">
                  <c:v>21891.515360893009</c:v>
                </c:pt>
                <c:pt idx="56">
                  <c:v>21879.498091195772</c:v>
                </c:pt>
                <c:pt idx="57">
                  <c:v>21871.776300810154</c:v>
                </c:pt>
                <c:pt idx="58">
                  <c:v>21867.87131150061</c:v>
                </c:pt>
                <c:pt idx="59">
                  <c:v>21867.296219460302</c:v>
                </c:pt>
                <c:pt idx="60">
                  <c:v>21869.567594265027</c:v>
                </c:pt>
                <c:pt idx="61">
                  <c:v>21874.215198885719</c:v>
                </c:pt>
                <c:pt idx="62">
                  <c:v>21880.789856272357</c:v>
                </c:pt>
                <c:pt idx="63">
                  <c:v>21888.869609714558</c:v>
                </c:pt>
                <c:pt idx="64">
                  <c:v>21898.064336139945</c:v>
                </c:pt>
                <c:pt idx="65">
                  <c:v>21908.018976095365</c:v>
                </c:pt>
                <c:pt idx="66">
                  <c:v>21918.415543357802</c:v>
                </c:pt>
                <c:pt idx="67">
                  <c:v>21928.974072547739</c:v>
                </c:pt>
                <c:pt idx="68">
                  <c:v>21939.452656016656</c:v>
                </c:pt>
                <c:pt idx="69">
                  <c:v>21949.646712586487</c:v>
                </c:pt>
                <c:pt idx="70">
                  <c:v>21959.387621104393</c:v>
                </c:pt>
                <c:pt idx="71">
                  <c:v>21968.54084170458</c:v>
                </c:pt>
                <c:pt idx="72">
                  <c:v>21977.003637443719</c:v>
                </c:pt>
                <c:pt idx="73">
                  <c:v>21984.702498787265</c:v>
                </c:pt>
                <c:pt idx="74">
                  <c:v>21991.59036338087</c:v>
                </c:pt>
                <c:pt idx="75">
                  <c:v>21997.643713706573</c:v>
                </c:pt>
                <c:pt idx="76">
                  <c:v>22002.859625633118</c:v>
                </c:pt>
                <c:pt idx="77">
                  <c:v>22007.252831549464</c:v>
                </c:pt>
                <c:pt idx="78">
                  <c:v>22010.852852745953</c:v>
                </c:pt>
                <c:pt idx="79">
                  <c:v>22013.701247010929</c:v>
                </c:pt>
                <c:pt idx="80">
                  <c:v>22015.849009081499</c:v>
                </c:pt>
                <c:pt idx="81">
                  <c:v>22017.354153673536</c:v>
                </c:pt>
                <c:pt idx="82">
                  <c:v>22018.27950337013</c:v>
                </c:pt>
                <c:pt idx="83">
                  <c:v>22018.690696724014</c:v>
                </c:pt>
                <c:pt idx="84">
                  <c:v>22018.654425579196</c:v>
                </c:pt>
                <c:pt idx="85">
                  <c:v>22018.236904885922</c:v>
                </c:pt>
                <c:pt idx="86">
                  <c:v>22017.502573206697</c:v>
                </c:pt>
                <c:pt idx="87">
                  <c:v>22016.513017713369</c:v>
                </c:pt>
                <c:pt idx="88">
                  <c:v>22015.326113766267</c:v>
                </c:pt>
                <c:pt idx="89">
                  <c:v>22013.995366141888</c:v>
                </c:pt>
                <c:pt idx="90">
                  <c:v>22012.569436617785</c:v>
                </c:pt>
              </c:numCache>
            </c:numRef>
          </c:xVal>
          <c:yVal>
            <c:numRef>
              <c:f>'Phase plot R'!$Z$8:$Z$98</c:f>
              <c:numCache>
                <c:formatCode>General</c:formatCode>
                <c:ptCount val="91"/>
                <c:pt idx="0">
                  <c:v>20069</c:v>
                </c:pt>
                <c:pt idx="1">
                  <c:v>21303.920497473733</c:v>
                </c:pt>
                <c:pt idx="2">
                  <c:v>21486.912454760506</c:v>
                </c:pt>
                <c:pt idx="3">
                  <c:v>20878.420622873615</c:v>
                </c:pt>
                <c:pt idx="4">
                  <c:v>19775.574498935239</c:v>
                </c:pt>
                <c:pt idx="5">
                  <c:v>18424.584561285868</c:v>
                </c:pt>
                <c:pt idx="6">
                  <c:v>16998.130123840299</c:v>
                </c:pt>
                <c:pt idx="7">
                  <c:v>15604.100581234065</c:v>
                </c:pt>
                <c:pt idx="8">
                  <c:v>14302.876881509515</c:v>
                </c:pt>
                <c:pt idx="9">
                  <c:v>13123.339878913324</c:v>
                </c:pt>
                <c:pt idx="10">
                  <c:v>12074.916354265792</c:v>
                </c:pt>
                <c:pt idx="11">
                  <c:v>11155.789388447687</c:v>
                </c:pt>
                <c:pt idx="12">
                  <c:v>10358.169886785581</c:v>
                </c:pt>
                <c:pt idx="13">
                  <c:v>9671.5327536059649</c:v>
                </c:pt>
                <c:pt idx="14">
                  <c:v>9084.5194462876443</c:v>
                </c:pt>
                <c:pt idx="15">
                  <c:v>8585.9977067290201</c:v>
                </c:pt>
                <c:pt idx="16">
                  <c:v>8165.6036181377494</c:v>
                </c:pt>
                <c:pt idx="17">
                  <c:v>7813.9744941498766</c:v>
                </c:pt>
                <c:pt idx="18">
                  <c:v>7522.8033277802469</c:v>
                </c:pt>
                <c:pt idx="19">
                  <c:v>7284.7952611504443</c:v>
                </c:pt>
                <c:pt idx="20">
                  <c:v>7093.5747101349098</c:v>
                </c:pt>
                <c:pt idx="21">
                  <c:v>6943.5719415912608</c:v>
                </c:pt>
                <c:pt idx="22">
                  <c:v>6829.9057171924469</c:v>
                </c:pt>
                <c:pt idx="23">
                  <c:v>6748.2712537362695</c:v>
                </c:pt>
                <c:pt idx="24">
                  <c:v>6694.8383836312769</c:v>
                </c:pt>
                <c:pt idx="25">
                  <c:v>6666.1622698594192</c:v>
                </c:pt>
                <c:pt idx="26">
                  <c:v>6659.1076000484791</c:v>
                </c:pt>
                <c:pt idx="27">
                  <c:v>6670.7863880167015</c:v>
                </c:pt>
                <c:pt idx="28">
                  <c:v>6698.5090553018081</c:v>
                </c:pt>
                <c:pt idx="29">
                  <c:v>6739.7481694970784</c:v>
                </c:pt>
                <c:pt idx="30">
                  <c:v>6792.1139758429026</c:v>
                </c:pt>
                <c:pt idx="31">
                  <c:v>6853.3406209653294</c:v>
                </c:pt>
                <c:pt idx="32">
                  <c:v>6921.2817177657716</c:v>
                </c:pt>
                <c:pt idx="33">
                  <c:v>6993.9136494305194</c:v>
                </c:pt>
                <c:pt idx="34">
                  <c:v>7069.3447863232777</c:v>
                </c:pt>
                <c:pt idx="35">
                  <c:v>7145.8286277014922</c:v>
                </c:pt>
                <c:pt idx="36">
                  <c:v>7221.7788149028293</c:v>
                </c:pt>
                <c:pt idx="37">
                  <c:v>7295.7840185995092</c:v>
                </c:pt>
                <c:pt idx="38">
                  <c:v>7366.6208892652203</c:v>
                </c:pt>
                <c:pt idx="39">
                  <c:v>7433.263568295848</c:v>
                </c:pt>
                <c:pt idx="40">
                  <c:v>7494.8886610329919</c:v>
                </c:pt>
                <c:pt idx="41">
                  <c:v>7550.8750328204051</c:v>
                </c:pt>
                <c:pt idx="42">
                  <c:v>7600.7982591173759</c:v>
                </c:pt>
                <c:pt idx="43">
                  <c:v>7644.4199953689877</c:v>
                </c:pt>
                <c:pt idx="44">
                  <c:v>7681.6728941216907</c:v>
                </c:pt>
                <c:pt idx="45">
                  <c:v>7712.6419603982677</c:v>
                </c:pt>
                <c:pt idx="46">
                  <c:v>7737.5433905950495</c:v>
                </c:pt>
                <c:pt idx="47">
                  <c:v>7756.7019878976143</c:v>
                </c:pt>
                <c:pt idx="48">
                  <c:v>7770.5282023024956</c:v>
                </c:pt>
                <c:pt idx="49">
                  <c:v>7779.4957269109764</c:v>
                </c:pt>
                <c:pt idx="50">
                  <c:v>7784.1204184942308</c:v>
                </c:pt>
                <c:pt idx="51">
                  <c:v>7784.9411231949234</c:v>
                </c:pt>
                <c:pt idx="52">
                  <c:v>7782.5027982471456</c:v>
                </c:pt>
                <c:pt idx="53">
                  <c:v>7777.3421436704493</c:v>
                </c:pt>
                <c:pt idx="54">
                  <c:v>7769.9758047035621</c:v>
                </c:pt>
                <c:pt idx="55">
                  <c:v>7760.8910820298188</c:v>
                </c:pt>
                <c:pt idx="56">
                  <c:v>7750.538994216532</c:v>
                </c:pt>
                <c:pt idx="57">
                  <c:v>7739.3294737632013</c:v>
                </c:pt>
                <c:pt idx="58">
                  <c:v>7727.6284412279738</c:v>
                </c:pt>
                <c:pt idx="59">
                  <c:v>7715.7564865058639</c:v>
                </c:pt>
                <c:pt idx="60">
                  <c:v>7703.9888875741726</c:v>
                </c:pt>
                <c:pt idx="61">
                  <c:v>7692.5567102237619</c:v>
                </c:pt>
                <c:pt idx="62">
                  <c:v>7681.648753331342</c:v>
                </c:pt>
                <c:pt idx="63">
                  <c:v>7671.4141296852185</c:v>
                </c:pt>
                <c:pt idx="64">
                  <c:v>7661.9652996011937</c:v>
                </c:pt>
                <c:pt idx="65">
                  <c:v>7653.3814016208489</c:v>
                </c:pt>
                <c:pt idx="66">
                  <c:v>7645.7117501646435</c:v>
                </c:pt>
                <c:pt idx="67">
                  <c:v>7638.9793933278752</c:v>
                </c:pt>
                <c:pt idx="68">
                  <c:v>7633.1846446708805</c:v>
                </c:pt>
                <c:pt idx="69">
                  <c:v>7628.3085207720187</c:v>
                </c:pt>
                <c:pt idx="70">
                  <c:v>7624.3160315891355</c:v>
                </c:pt>
                <c:pt idx="71">
                  <c:v>7621.159283541796</c:v>
                </c:pt>
                <c:pt idx="72">
                  <c:v>7618.780365975419</c:v>
                </c:pt>
                <c:pt idx="73">
                  <c:v>7617.1140006117394</c:v>
                </c:pt>
                <c:pt idx="74">
                  <c:v>7616.0899410286784</c:v>
                </c:pt>
                <c:pt idx="75">
                  <c:v>7615.6351154172116</c:v>
                </c:pt>
                <c:pt idx="76">
                  <c:v>7615.6755110627091</c:v>
                </c:pt>
                <c:pt idx="77">
                  <c:v>7616.1378033786059</c:v>
                </c:pt>
                <c:pt idx="78">
                  <c:v>7616.9507360229782</c:v>
                </c:pt>
                <c:pt idx="79">
                  <c:v>7618.0462617567882</c:v>
                </c:pt>
                <c:pt idx="80">
                  <c:v>7619.3604563271101</c:v>
                </c:pt>
                <c:pt idx="81">
                  <c:v>7620.8342198255186</c:v>
                </c:pt>
                <c:pt idx="82">
                  <c:v>7622.4137817094752</c:v>
                </c:pt>
                <c:pt idx="83">
                  <c:v>7624.0510270006953</c:v>
                </c:pt>
                <c:pt idx="84">
                  <c:v>7625.7036621021316</c:v>
                </c:pt>
                <c:pt idx="85">
                  <c:v>7627.33523921707</c:v>
                </c:pt>
                <c:pt idx="86">
                  <c:v>7628.9150585260368</c:v>
                </c:pt>
                <c:pt idx="87">
                  <c:v>7630.4179671010243</c:v>
                </c:pt>
                <c:pt idx="88">
                  <c:v>7631.824073039661</c:v>
                </c:pt>
                <c:pt idx="89">
                  <c:v>7633.1183925182095</c:v>
                </c:pt>
                <c:pt idx="90">
                  <c:v>7634.2904464309431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89-47E0-B06D-396E9F480CE4}"/>
            </c:ext>
          </c:extLst>
        </c:ser>
        <c:ser>
          <c:idx val="5"/>
          <c:order val="5"/>
          <c:tx>
            <c:strRef>
              <c:f>'Phase plot R'!$Z$7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R'!$Y$8:$Y$98</c:f>
              <c:numCache>
                <c:formatCode>General</c:formatCode>
                <c:ptCount val="91"/>
                <c:pt idx="0">
                  <c:v>29931</c:v>
                </c:pt>
                <c:pt idx="1">
                  <c:v>24949.757709508514</c:v>
                </c:pt>
                <c:pt idx="2">
                  <c:v>21153.328868179105</c:v>
                </c:pt>
                <c:pt idx="3">
                  <c:v>18443.579835259749</c:v>
                </c:pt>
                <c:pt idx="4">
                  <c:v>16618.11480040778</c:v>
                </c:pt>
                <c:pt idx="5">
                  <c:v>15467.331675120207</c:v>
                </c:pt>
                <c:pt idx="6">
                  <c:v>14814.835965329845</c:v>
                </c:pt>
                <c:pt idx="7">
                  <c:v>14524.97824327807</c:v>
                </c:pt>
                <c:pt idx="8">
                  <c:v>14497.455928868594</c:v>
                </c:pt>
                <c:pt idx="9">
                  <c:v>14659.02265206988</c:v>
                </c:pt>
                <c:pt idx="10">
                  <c:v>14956.050220505151</c:v>
                </c:pt>
                <c:pt idx="11">
                  <c:v>15348.837959920093</c:v>
                </c:pt>
                <c:pt idx="12">
                  <c:v>15807.544272490506</c:v>
                </c:pt>
                <c:pt idx="13">
                  <c:v>16309.363850052041</c:v>
                </c:pt>
                <c:pt idx="14">
                  <c:v>16836.589569366959</c:v>
                </c:pt>
                <c:pt idx="15">
                  <c:v>17375.2806958482</c:v>
                </c:pt>
                <c:pt idx="16">
                  <c:v>17914.340576139828</c:v>
                </c:pt>
                <c:pt idx="17">
                  <c:v>18444.870214415492</c:v>
                </c:pt>
                <c:pt idx="18">
                  <c:v>18959.708730354298</c:v>
                </c:pt>
                <c:pt idx="19">
                  <c:v>19453.101781961363</c:v>
                </c:pt>
                <c:pt idx="20">
                  <c:v>19920.458861998748</c:v>
                </c:pt>
                <c:pt idx="21">
                  <c:v>20358.173281489289</c:v>
                </c:pt>
                <c:pt idx="22">
                  <c:v>20763.486999219378</c:v>
                </c:pt>
                <c:pt idx="23">
                  <c:v>21134.387836431215</c:v>
                </c:pt>
                <c:pt idx="24">
                  <c:v>21469.530084266829</c:v>
                </c:pt>
                <c:pt idx="25">
                  <c:v>21768.171759599012</c:v>
                </c:pt>
                <c:pt idx="26">
                  <c:v>22030.123248401469</c:v>
                </c:pt>
                <c:pt idx="27">
                  <c:v>22255.703097959111</c:v>
                </c:pt>
                <c:pt idx="28">
                  <c:v>22445.69748342369</c:v>
                </c:pt>
                <c:pt idx="29">
                  <c:v>22601.320516247652</c:v>
                </c:pt>
                <c:pt idx="30">
                  <c:v>22724.1731686977</c:v>
                </c:pt>
                <c:pt idx="31">
                  <c:v>22816.199208451118</c:v>
                </c:pt>
                <c:pt idx="32">
                  <c:v>22879.637186852164</c:v>
                </c:pt>
                <c:pt idx="33">
                  <c:v>22916.968193725301</c:v>
                </c:pt>
                <c:pt idx="34">
                  <c:v>22930.859749819487</c:v>
                </c:pt>
                <c:pt idx="35">
                  <c:v>22924.106810611433</c:v>
                </c:pt>
                <c:pt idx="36">
                  <c:v>22899.571353324114</c:v>
                </c:pt>
                <c:pt idx="37">
                  <c:v>22860.122368464454</c:v>
                </c:pt>
                <c:pt idx="38">
                  <c:v>22808.578247221918</c:v>
                </c:pt>
                <c:pt idx="39">
                  <c:v>22747.653535502079</c:v>
                </c:pt>
                <c:pt idx="40">
                  <c:v>22679.911824977025</c:v>
                </c:pt>
                <c:pt idx="41">
                  <c:v>22607.726202439608</c:v>
                </c:pt>
                <c:pt idx="42">
                  <c:v>22533.248227205389</c:v>
                </c:pt>
                <c:pt idx="43">
                  <c:v>22458.385906201736</c:v>
                </c:pt>
                <c:pt idx="44">
                  <c:v>22384.790641127089</c:v>
                </c:pt>
                <c:pt idx="45">
                  <c:v>22313.852677499064</c:v>
                </c:pt>
                <c:pt idx="46">
                  <c:v>22246.704224925823</c:v>
                </c:pt>
                <c:pt idx="47">
                  <c:v>22184.229160297033</c:v>
                </c:pt>
                <c:pt idx="48">
                  <c:v>22127.078075364119</c:v>
                </c:pt>
                <c:pt idx="49">
                  <c:v>22075.687380117015</c:v>
                </c:pt>
                <c:pt idx="50">
                  <c:v>22030.301207909641</c:v>
                </c:pt>
                <c:pt idx="51">
                  <c:v>21990.994967348044</c:v>
                </c:pt>
                <c:pt idx="52">
                  <c:v>21957.699528292906</c:v>
                </c:pt>
                <c:pt idx="53">
                  <c:v>21930.225195151394</c:v>
                </c:pt>
                <c:pt idx="54">
                  <c:v>21908.284793266863</c:v>
                </c:pt>
                <c:pt idx="55">
                  <c:v>21891.515360893009</c:v>
                </c:pt>
                <c:pt idx="56">
                  <c:v>21879.498091195772</c:v>
                </c:pt>
                <c:pt idx="57">
                  <c:v>21871.776300810154</c:v>
                </c:pt>
                <c:pt idx="58">
                  <c:v>21867.87131150061</c:v>
                </c:pt>
                <c:pt idx="59">
                  <c:v>21867.296219460302</c:v>
                </c:pt>
                <c:pt idx="60">
                  <c:v>21869.567594265027</c:v>
                </c:pt>
                <c:pt idx="61">
                  <c:v>21874.215198885719</c:v>
                </c:pt>
                <c:pt idx="62">
                  <c:v>21880.789856272357</c:v>
                </c:pt>
                <c:pt idx="63">
                  <c:v>21888.869609714558</c:v>
                </c:pt>
                <c:pt idx="64">
                  <c:v>21898.064336139945</c:v>
                </c:pt>
                <c:pt idx="65">
                  <c:v>21908.018976095365</c:v>
                </c:pt>
                <c:pt idx="66">
                  <c:v>21918.415543357802</c:v>
                </c:pt>
                <c:pt idx="67">
                  <c:v>21928.974072547739</c:v>
                </c:pt>
                <c:pt idx="68">
                  <c:v>21939.452656016656</c:v>
                </c:pt>
                <c:pt idx="69">
                  <c:v>21949.646712586487</c:v>
                </c:pt>
                <c:pt idx="70">
                  <c:v>21959.387621104393</c:v>
                </c:pt>
                <c:pt idx="71">
                  <c:v>21968.54084170458</c:v>
                </c:pt>
                <c:pt idx="72">
                  <c:v>21977.003637443719</c:v>
                </c:pt>
                <c:pt idx="73">
                  <c:v>21984.702498787265</c:v>
                </c:pt>
                <c:pt idx="74">
                  <c:v>21991.59036338087</c:v>
                </c:pt>
                <c:pt idx="75">
                  <c:v>21997.643713706573</c:v>
                </c:pt>
                <c:pt idx="76">
                  <c:v>22002.859625633118</c:v>
                </c:pt>
                <c:pt idx="77">
                  <c:v>22007.252831549464</c:v>
                </c:pt>
                <c:pt idx="78">
                  <c:v>22010.852852745953</c:v>
                </c:pt>
                <c:pt idx="79">
                  <c:v>22013.701247010929</c:v>
                </c:pt>
                <c:pt idx="80">
                  <c:v>22015.849009081499</c:v>
                </c:pt>
                <c:pt idx="81">
                  <c:v>22017.354153673536</c:v>
                </c:pt>
                <c:pt idx="82">
                  <c:v>22018.27950337013</c:v>
                </c:pt>
                <c:pt idx="83">
                  <c:v>22018.690696724014</c:v>
                </c:pt>
                <c:pt idx="84">
                  <c:v>22018.654425579196</c:v>
                </c:pt>
                <c:pt idx="85">
                  <c:v>22018.236904885922</c:v>
                </c:pt>
                <c:pt idx="86">
                  <c:v>22017.502573206697</c:v>
                </c:pt>
                <c:pt idx="87">
                  <c:v>22016.513017713369</c:v>
                </c:pt>
                <c:pt idx="88">
                  <c:v>22015.326113766267</c:v>
                </c:pt>
                <c:pt idx="89">
                  <c:v>22013.995366141888</c:v>
                </c:pt>
                <c:pt idx="90">
                  <c:v>22012.569436617785</c:v>
                </c:pt>
              </c:numCache>
            </c:numRef>
          </c:xVal>
          <c:yVal>
            <c:numRef>
              <c:f>'Phase plot R'!$Z$8:$Z$98</c:f>
              <c:numCache>
                <c:formatCode>General</c:formatCode>
                <c:ptCount val="91"/>
                <c:pt idx="0">
                  <c:v>20069</c:v>
                </c:pt>
                <c:pt idx="1">
                  <c:v>21303.920497473733</c:v>
                </c:pt>
                <c:pt idx="2">
                  <c:v>21486.912454760506</c:v>
                </c:pt>
                <c:pt idx="3">
                  <c:v>20878.420622873615</c:v>
                </c:pt>
                <c:pt idx="4">
                  <c:v>19775.574498935239</c:v>
                </c:pt>
                <c:pt idx="5">
                  <c:v>18424.584561285868</c:v>
                </c:pt>
                <c:pt idx="6">
                  <c:v>16998.130123840299</c:v>
                </c:pt>
                <c:pt idx="7">
                  <c:v>15604.100581234065</c:v>
                </c:pt>
                <c:pt idx="8">
                  <c:v>14302.876881509515</c:v>
                </c:pt>
                <c:pt idx="9">
                  <c:v>13123.339878913324</c:v>
                </c:pt>
                <c:pt idx="10">
                  <c:v>12074.916354265792</c:v>
                </c:pt>
                <c:pt idx="11">
                  <c:v>11155.789388447687</c:v>
                </c:pt>
                <c:pt idx="12">
                  <c:v>10358.169886785581</c:v>
                </c:pt>
                <c:pt idx="13">
                  <c:v>9671.5327536059649</c:v>
                </c:pt>
                <c:pt idx="14">
                  <c:v>9084.5194462876443</c:v>
                </c:pt>
                <c:pt idx="15">
                  <c:v>8585.9977067290201</c:v>
                </c:pt>
                <c:pt idx="16">
                  <c:v>8165.6036181377494</c:v>
                </c:pt>
                <c:pt idx="17">
                  <c:v>7813.9744941498766</c:v>
                </c:pt>
                <c:pt idx="18">
                  <c:v>7522.8033277802469</c:v>
                </c:pt>
                <c:pt idx="19">
                  <c:v>7284.7952611504443</c:v>
                </c:pt>
                <c:pt idx="20">
                  <c:v>7093.5747101349098</c:v>
                </c:pt>
                <c:pt idx="21">
                  <c:v>6943.5719415912608</c:v>
                </c:pt>
                <c:pt idx="22">
                  <c:v>6829.9057171924469</c:v>
                </c:pt>
                <c:pt idx="23">
                  <c:v>6748.2712537362695</c:v>
                </c:pt>
                <c:pt idx="24">
                  <c:v>6694.8383836312769</c:v>
                </c:pt>
                <c:pt idx="25">
                  <c:v>6666.1622698594192</c:v>
                </c:pt>
                <c:pt idx="26">
                  <c:v>6659.1076000484791</c:v>
                </c:pt>
                <c:pt idx="27">
                  <c:v>6670.7863880167015</c:v>
                </c:pt>
                <c:pt idx="28">
                  <c:v>6698.5090553018081</c:v>
                </c:pt>
                <c:pt idx="29">
                  <c:v>6739.7481694970784</c:v>
                </c:pt>
                <c:pt idx="30">
                  <c:v>6792.1139758429026</c:v>
                </c:pt>
                <c:pt idx="31">
                  <c:v>6853.3406209653294</c:v>
                </c:pt>
                <c:pt idx="32">
                  <c:v>6921.2817177657716</c:v>
                </c:pt>
                <c:pt idx="33">
                  <c:v>6993.9136494305194</c:v>
                </c:pt>
                <c:pt idx="34">
                  <c:v>7069.3447863232777</c:v>
                </c:pt>
                <c:pt idx="35">
                  <c:v>7145.8286277014922</c:v>
                </c:pt>
                <c:pt idx="36">
                  <c:v>7221.7788149028293</c:v>
                </c:pt>
                <c:pt idx="37">
                  <c:v>7295.7840185995092</c:v>
                </c:pt>
                <c:pt idx="38">
                  <c:v>7366.6208892652203</c:v>
                </c:pt>
                <c:pt idx="39">
                  <c:v>7433.263568295848</c:v>
                </c:pt>
                <c:pt idx="40">
                  <c:v>7494.8886610329919</c:v>
                </c:pt>
                <c:pt idx="41">
                  <c:v>7550.8750328204051</c:v>
                </c:pt>
                <c:pt idx="42">
                  <c:v>7600.7982591173759</c:v>
                </c:pt>
                <c:pt idx="43">
                  <c:v>7644.4199953689877</c:v>
                </c:pt>
                <c:pt idx="44">
                  <c:v>7681.6728941216907</c:v>
                </c:pt>
                <c:pt idx="45">
                  <c:v>7712.6419603982677</c:v>
                </c:pt>
                <c:pt idx="46">
                  <c:v>7737.5433905950495</c:v>
                </c:pt>
                <c:pt idx="47">
                  <c:v>7756.7019878976143</c:v>
                </c:pt>
                <c:pt idx="48">
                  <c:v>7770.5282023024956</c:v>
                </c:pt>
                <c:pt idx="49">
                  <c:v>7779.4957269109764</c:v>
                </c:pt>
                <c:pt idx="50">
                  <c:v>7784.1204184942308</c:v>
                </c:pt>
                <c:pt idx="51">
                  <c:v>7784.9411231949234</c:v>
                </c:pt>
                <c:pt idx="52">
                  <c:v>7782.5027982471456</c:v>
                </c:pt>
                <c:pt idx="53">
                  <c:v>7777.3421436704493</c:v>
                </c:pt>
                <c:pt idx="54">
                  <c:v>7769.9758047035621</c:v>
                </c:pt>
                <c:pt idx="55">
                  <c:v>7760.8910820298188</c:v>
                </c:pt>
                <c:pt idx="56">
                  <c:v>7750.538994216532</c:v>
                </c:pt>
                <c:pt idx="57">
                  <c:v>7739.3294737632013</c:v>
                </c:pt>
                <c:pt idx="58">
                  <c:v>7727.6284412279738</c:v>
                </c:pt>
                <c:pt idx="59">
                  <c:v>7715.7564865058639</c:v>
                </c:pt>
                <c:pt idx="60">
                  <c:v>7703.9888875741726</c:v>
                </c:pt>
                <c:pt idx="61">
                  <c:v>7692.5567102237619</c:v>
                </c:pt>
                <c:pt idx="62">
                  <c:v>7681.648753331342</c:v>
                </c:pt>
                <c:pt idx="63">
                  <c:v>7671.4141296852185</c:v>
                </c:pt>
                <c:pt idx="64">
                  <c:v>7661.9652996011937</c:v>
                </c:pt>
                <c:pt idx="65">
                  <c:v>7653.3814016208489</c:v>
                </c:pt>
                <c:pt idx="66">
                  <c:v>7645.7117501646435</c:v>
                </c:pt>
                <c:pt idx="67">
                  <c:v>7638.9793933278752</c:v>
                </c:pt>
                <c:pt idx="68">
                  <c:v>7633.1846446708805</c:v>
                </c:pt>
                <c:pt idx="69">
                  <c:v>7628.3085207720187</c:v>
                </c:pt>
                <c:pt idx="70">
                  <c:v>7624.3160315891355</c:v>
                </c:pt>
                <c:pt idx="71">
                  <c:v>7621.159283541796</c:v>
                </c:pt>
                <c:pt idx="72">
                  <c:v>7618.780365975419</c:v>
                </c:pt>
                <c:pt idx="73">
                  <c:v>7617.1140006117394</c:v>
                </c:pt>
                <c:pt idx="74">
                  <c:v>7616.0899410286784</c:v>
                </c:pt>
                <c:pt idx="75">
                  <c:v>7615.6351154172116</c:v>
                </c:pt>
                <c:pt idx="76">
                  <c:v>7615.6755110627091</c:v>
                </c:pt>
                <c:pt idx="77">
                  <c:v>7616.1378033786059</c:v>
                </c:pt>
                <c:pt idx="78">
                  <c:v>7616.9507360229782</c:v>
                </c:pt>
                <c:pt idx="79">
                  <c:v>7618.0462617567882</c:v>
                </c:pt>
                <c:pt idx="80">
                  <c:v>7619.3604563271101</c:v>
                </c:pt>
                <c:pt idx="81">
                  <c:v>7620.8342198255186</c:v>
                </c:pt>
                <c:pt idx="82">
                  <c:v>7622.4137817094752</c:v>
                </c:pt>
                <c:pt idx="83">
                  <c:v>7624.0510270006953</c:v>
                </c:pt>
                <c:pt idx="84">
                  <c:v>7625.7036621021316</c:v>
                </c:pt>
                <c:pt idx="85">
                  <c:v>7627.33523921707</c:v>
                </c:pt>
                <c:pt idx="86">
                  <c:v>7628.9150585260368</c:v>
                </c:pt>
                <c:pt idx="87">
                  <c:v>7630.4179671010243</c:v>
                </c:pt>
                <c:pt idx="88">
                  <c:v>7631.824073039661</c:v>
                </c:pt>
                <c:pt idx="89">
                  <c:v>7633.1183925182095</c:v>
                </c:pt>
                <c:pt idx="90">
                  <c:v>7634.2904464309431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D89-47E0-B06D-396E9F480CE4}"/>
            </c:ext>
          </c:extLst>
        </c:ser>
        <c:ser>
          <c:idx val="6"/>
          <c:order val="6"/>
          <c:tx>
            <c:strRef>
              <c:f>'Phase plot R'!$AC$7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R'!$AB$8:$AB$98</c:f>
              <c:numCache>
                <c:formatCode>General</c:formatCode>
                <c:ptCount val="91"/>
                <c:pt idx="0">
                  <c:v>14302</c:v>
                </c:pt>
                <c:pt idx="1">
                  <c:v>11919.753934391782</c:v>
                </c:pt>
                <c:pt idx="2">
                  <c:v>10768.384094601744</c:v>
                </c:pt>
                <c:pt idx="3">
                  <c:v>10350.020737338869</c:v>
                </c:pt>
                <c:pt idx="4">
                  <c:v>10379.402070393115</c:v>
                </c:pt>
                <c:pt idx="5">
                  <c:v>10690.538454526341</c:v>
                </c:pt>
                <c:pt idx="6">
                  <c:v>11183.417067787039</c:v>
                </c:pt>
                <c:pt idx="7">
                  <c:v>11794.95875897525</c:v>
                </c:pt>
                <c:pt idx="8">
                  <c:v>12483.314301508703</c:v>
                </c:pt>
                <c:pt idx="9">
                  <c:v>13219.287011982993</c:v>
                </c:pt>
                <c:pt idx="10">
                  <c:v>13981.554355312363</c:v>
                </c:pt>
                <c:pt idx="11">
                  <c:v>14753.93612971716</c:v>
                </c:pt>
                <c:pt idx="12">
                  <c:v>15523.783977214009</c:v>
                </c:pt>
                <c:pt idx="13">
                  <c:v>16280.998153016333</c:v>
                </c:pt>
                <c:pt idx="14">
                  <c:v>17017.40375805405</c:v>
                </c:pt>
                <c:pt idx="15">
                  <c:v>17726.338907241796</c:v>
                </c:pt>
                <c:pt idx="16">
                  <c:v>18402.372180155715</c:v>
                </c:pt>
                <c:pt idx="17">
                  <c:v>19041.102193145958</c:v>
                </c:pt>
                <c:pt idx="18">
                  <c:v>19639.011781066154</c:v>
                </c:pt>
                <c:pt idx="19">
                  <c:v>20193.360241046335</c:v>
                </c:pt>
                <c:pt idx="20">
                  <c:v>20702.103219092074</c:v>
                </c:pt>
                <c:pt idx="21">
                  <c:v>21163.833218467898</c:v>
                </c:pt>
                <c:pt idx="22">
                  <c:v>21577.73555119662</c:v>
                </c:pt>
                <c:pt idx="23">
                  <c:v>21943.555512301562</c:v>
                </c:pt>
                <c:pt idx="24">
                  <c:v>22261.573029553681</c:v>
                </c:pt>
                <c:pt idx="25">
                  <c:v>22532.581279641261</c:v>
                </c:pt>
                <c:pt idx="26">
                  <c:v>22757.865932281609</c:v>
                </c:pt>
                <c:pt idx="27">
                  <c:v>22939.181904453395</c:v>
                </c:pt>
                <c:pt idx="28">
                  <c:v>23078.724859139104</c:v>
                </c:pt>
                <c:pt idx="29">
                  <c:v>23179.095214930891</c:v>
                </c:pt>
                <c:pt idx="30">
                  <c:v>23243.253157320731</c:v>
                </c:pt>
                <c:pt idx="31">
                  <c:v>23274.464034303932</c:v>
                </c:pt>
                <c:pt idx="32">
                  <c:v>23276.234515959215</c:v>
                </c:pt>
                <c:pt idx="33">
                  <c:v>23252.24090767694</c:v>
                </c:pt>
                <c:pt idx="34">
                  <c:v>23206.251920559986</c:v>
                </c:pt>
                <c:pt idx="35">
                  <c:v>23142.048912365284</c:v>
                </c:pt>
                <c:pt idx="36">
                  <c:v>23063.347031210444</c:v>
                </c:pt>
                <c:pt idx="37">
                  <c:v>22973.720772653767</c:v>
                </c:pt>
                <c:pt idx="38">
                  <c:v>22876.537196227575</c:v>
                </c:pt>
                <c:pt idx="39">
                  <c:v>22774.899484780857</c:v>
                </c:pt>
                <c:pt idx="40">
                  <c:v>22671.602751716622</c:v>
                </c:pt>
                <c:pt idx="41">
                  <c:v>22569.103111959204</c:v>
                </c:pt>
                <c:pt idx="42">
                  <c:v>22469.500140049044</c:v>
                </c:pt>
                <c:pt idx="43">
                  <c:v>22374.532037131772</c:v>
                </c:pt>
                <c:pt idx="44">
                  <c:v>22285.582185977437</c:v>
                </c:pt>
                <c:pt idx="45">
                  <c:v>22203.695326526311</c:v>
                </c:pt>
                <c:pt idx="46">
                  <c:v>22129.601340560614</c:v>
                </c:pt>
                <c:pt idx="47">
                  <c:v>22063.744575158762</c:v>
                </c:pt>
                <c:pt idx="48">
                  <c:v>22006.316726482528</c:v>
                </c:pt>
                <c:pt idx="49">
                  <c:v>21957.291506288966</c:v>
                </c:pt>
                <c:pt idx="50">
                  <c:v>21916.459581008054</c:v>
                </c:pt>
                <c:pt idx="51">
                  <c:v>21883.462569715259</c:v>
                </c:pt>
                <c:pt idx="52">
                  <c:v>21857.825183010566</c:v>
                </c:pt>
                <c:pt idx="53">
                  <c:v>21838.984858543783</c:v>
                </c:pt>
                <c:pt idx="54">
                  <c:v>21826.318487782981</c:v>
                </c:pt>
                <c:pt idx="55">
                  <c:v>21819.166026596289</c:v>
                </c:pt>
                <c:pt idx="56">
                  <c:v>21816.850938513453</c:v>
                </c:pt>
                <c:pt idx="57">
                  <c:v>21818.697536893033</c:v>
                </c:pt>
                <c:pt idx="58">
                  <c:v>21824.045375452777</c:v>
                </c:pt>
                <c:pt idx="59">
                  <c:v>21832.260891452977</c:v>
                </c:pt>
                <c:pt idx="60">
                  <c:v>21842.746538085379</c:v>
                </c:pt>
                <c:pt idx="61">
                  <c:v>21854.947657721565</c:v>
                </c:pt>
                <c:pt idx="62">
                  <c:v>21868.357350312959</c:v>
                </c:pt>
                <c:pt idx="63">
                  <c:v>21882.519585283051</c:v>
                </c:pt>
                <c:pt idx="64">
                  <c:v>21897.030793759903</c:v>
                </c:pt>
                <c:pt idx="65">
                  <c:v>21911.540163258072</c:v>
                </c:pt>
                <c:pt idx="66">
                  <c:v>21925.748840579556</c:v>
                </c:pt>
                <c:pt idx="67">
                  <c:v>21939.408231879846</c:v>
                </c:pt>
                <c:pt idx="68">
                  <c:v>21952.317572239976</c:v>
                </c:pt>
                <c:pt idx="69">
                  <c:v>21964.320921093582</c:v>
                </c:pt>
                <c:pt idx="70">
                  <c:v>21975.30372465718</c:v>
                </c:pt>
                <c:pt idx="71">
                  <c:v>21985.189072137429</c:v>
                </c:pt>
                <c:pt idx="72">
                  <c:v>21993.933758893716</c:v>
                </c:pt>
                <c:pt idx="73">
                  <c:v>22001.524256832068</c:v>
                </c:pt>
                <c:pt idx="74">
                  <c:v>22007.972680004739</c:v>
                </c:pt>
                <c:pt idx="75">
                  <c:v>22013.312821611504</c:v>
                </c:pt>
                <c:pt idx="76">
                  <c:v>22017.596327293068</c:v>
                </c:pt>
                <c:pt idx="77">
                  <c:v>22020.889058755285</c:v>
                </c:pt>
                <c:pt idx="78">
                  <c:v>22023.267691377725</c:v>
                </c:pt>
                <c:pt idx="79">
                  <c:v>22024.81657958058</c:v>
                </c:pt>
                <c:pt idx="80">
                  <c:v>22025.624914409498</c:v>
                </c:pt>
                <c:pt idx="81">
                  <c:v>22025.784189119026</c:v>
                </c:pt>
                <c:pt idx="82">
                  <c:v>22025.385980565825</c:v>
                </c:pt>
                <c:pt idx="83">
                  <c:v>22024.52004703214</c:v>
                </c:pt>
                <c:pt idx="84">
                  <c:v>22023.272736745203</c:v>
                </c:pt>
                <c:pt idx="85">
                  <c:v>22021.72569588144</c:v>
                </c:pt>
                <c:pt idx="86">
                  <c:v>22019.954860266505</c:v>
                </c:pt>
                <c:pt idx="87">
                  <c:v>22018.029711304142</c:v>
                </c:pt>
                <c:pt idx="88">
                  <c:v>22016.012773867787</c:v>
                </c:pt>
                <c:pt idx="89">
                  <c:v>22013.959331928545</c:v>
                </c:pt>
                <c:pt idx="90">
                  <c:v>22011.917336514194</c:v>
                </c:pt>
              </c:numCache>
            </c:numRef>
          </c:xVal>
          <c:yVal>
            <c:numRef>
              <c:f>'Phase plot R'!$AC$8:$AC$98</c:f>
              <c:numCache>
                <c:formatCode>General</c:formatCode>
                <c:ptCount val="91"/>
                <c:pt idx="0">
                  <c:v>35698</c:v>
                </c:pt>
                <c:pt idx="1">
                  <c:v>32010.665099454371</c:v>
                </c:pt>
                <c:pt idx="2">
                  <c:v>28206.273121397495</c:v>
                </c:pt>
                <c:pt idx="3">
                  <c:v>24671.871182665156</c:v>
                </c:pt>
                <c:pt idx="4">
                  <c:v>21552.535959187935</c:v>
                </c:pt>
                <c:pt idx="5">
                  <c:v>18874.523721322534</c:v>
                </c:pt>
                <c:pt idx="6">
                  <c:v>16610.845665909939</c:v>
                </c:pt>
                <c:pt idx="7">
                  <c:v>14714.311058243598</c:v>
                </c:pt>
                <c:pt idx="8">
                  <c:v>13133.420459811277</c:v>
                </c:pt>
                <c:pt idx="9">
                  <c:v>11819.506630168726</c:v>
                </c:pt>
                <c:pt idx="10">
                  <c:v>10729.51355476551</c:v>
                </c:pt>
                <c:pt idx="11">
                  <c:v>9826.6682508225003</c:v>
                </c:pt>
                <c:pt idx="12">
                  <c:v>9080.1912059705519</c:v>
                </c:pt>
                <c:pt idx="13">
                  <c:v>8464.6201753880468</c:v>
                </c:pt>
                <c:pt idx="14">
                  <c:v>7959.0283775281732</c:v>
                </c:pt>
                <c:pt idx="15">
                  <c:v>7546.2675287928814</c:v>
                </c:pt>
                <c:pt idx="16">
                  <c:v>7212.2896791082467</c:v>
                </c:pt>
                <c:pt idx="17">
                  <c:v>6945.5638867325233</c:v>
                </c:pt>
                <c:pt idx="18">
                  <c:v>6736.585901384612</c:v>
                </c:pt>
                <c:pt idx="19">
                  <c:v>6577.4715054152875</c:v>
                </c:pt>
                <c:pt idx="20">
                  <c:v>6461.6218738601965</c:v>
                </c:pt>
                <c:pt idx="21">
                  <c:v>6383.4495520923601</c:v>
                </c:pt>
                <c:pt idx="22">
                  <c:v>6338.1549928640425</c:v>
                </c:pt>
                <c:pt idx="23">
                  <c:v>6321.5453032039431</c:v>
                </c:pt>
                <c:pt idx="24">
                  <c:v>6329.8885475249663</c:v>
                </c:pt>
                <c:pt idx="25">
                  <c:v>6359.7984475740977</c:v>
                </c:pt>
                <c:pt idx="26">
                  <c:v>6408.1455228212435</c:v>
                </c:pt>
                <c:pt idx="27">
                  <c:v>6471.9915904996624</c:v>
                </c:pt>
                <c:pt idx="28">
                  <c:v>6548.5450898902409</c:v>
                </c:pt>
                <c:pt idx="29">
                  <c:v>6635.1349335652067</c:v>
                </c:pt>
                <c:pt idx="30">
                  <c:v>6729.2005664454664</c:v>
                </c:pt>
                <c:pt idx="31">
                  <c:v>6828.2957022175169</c:v>
                </c:pt>
                <c:pt idx="32">
                  <c:v>6930.102895789134</c:v>
                </c:pt>
                <c:pt idx="33">
                  <c:v>7032.4558007606256</c:v>
                </c:pt>
                <c:pt idx="34">
                  <c:v>7133.3657510075318</c:v>
                </c:pt>
                <c:pt idx="35">
                  <c:v>7231.0492768034183</c:v>
                </c:pt>
                <c:pt idx="36">
                  <c:v>7323.9533685079068</c:v>
                </c:pt>
                <c:pt idx="37">
                  <c:v>7410.775744182456</c:v>
                </c:pt>
                <c:pt idx="38">
                  <c:v>7490.4780288720394</c:v>
                </c:pt>
                <c:pt idx="39">
                  <c:v>7562.290544656651</c:v>
                </c:pt>
                <c:pt idx="40">
                  <c:v>7625.7082523008721</c:v>
                </c:pt>
                <c:pt idx="41">
                  <c:v>7680.4781835022795</c:v>
                </c:pt>
                <c:pt idx="42">
                  <c:v>7726.5793758519203</c:v>
                </c:pt>
                <c:pt idx="43">
                  <c:v>7764.1968139727869</c:v>
                </c:pt>
                <c:pt idx="44">
                  <c:v>7793.6911639970431</c:v>
                </c:pt>
                <c:pt idx="45">
                  <c:v>7815.5661688194514</c:v>
                </c:pt>
                <c:pt idx="46">
                  <c:v>7830.4354768604944</c:v>
                </c:pt>
                <c:pt idx="47">
                  <c:v>7838.9904511137947</c:v>
                </c:pt>
                <c:pt idx="48">
                  <c:v>7841.9701975996595</c:v>
                </c:pt>
                <c:pt idx="49">
                  <c:v>7840.1347103153639</c:v>
                </c:pt>
                <c:pt idx="50">
                  <c:v>7834.2416928191742</c:v>
                </c:pt>
                <c:pt idx="51">
                  <c:v>7825.0273134281715</c:v>
                </c:pt>
                <c:pt idx="52">
                  <c:v>7813.1908991443497</c:v>
                </c:pt>
                <c:pt idx="53">
                  <c:v>7799.3833803409934</c:v>
                </c:pt>
                <c:pt idx="54">
                  <c:v>7784.1991636060084</c:v>
                </c:pt>
                <c:pt idx="55">
                  <c:v>7768.1710282633048</c:v>
                </c:pt>
                <c:pt idx="56">
                  <c:v>7751.7676042516532</c:v>
                </c:pt>
                <c:pt idx="57">
                  <c:v>7735.3929853542795</c:v>
                </c:pt>
                <c:pt idx="58">
                  <c:v>7719.388052573162</c:v>
                </c:pt>
                <c:pt idx="59">
                  <c:v>7704.0331191275036</c:v>
                </c:pt>
                <c:pt idx="60">
                  <c:v>7689.5515540273163</c:v>
                </c:pt>
                <c:pt idx="61">
                  <c:v>7676.114089957543</c:v>
                </c:pt>
                <c:pt idx="62">
                  <c:v>7663.8435693752917</c:v>
                </c:pt>
                <c:pt idx="63">
                  <c:v>7652.8199276827399</c:v>
                </c:pt>
                <c:pt idx="64">
                  <c:v>7643.0852525895662</c:v>
                </c:pt>
                <c:pt idx="65">
                  <c:v>7634.6487936499079</c:v>
                </c:pt>
                <c:pt idx="66">
                  <c:v>7627.49182537248</c:v>
                </c:pt>
                <c:pt idx="67">
                  <c:v>7621.5722915746928</c:v>
                </c:pt>
                <c:pt idx="68">
                  <c:v>7616.829178331318</c:v>
                </c:pt>
                <c:pt idx="69">
                  <c:v>7613.1865786151575</c:v>
                </c:pt>
                <c:pt idx="70">
                  <c:v>7610.5574242239927</c:v>
                </c:pt>
                <c:pt idx="71">
                  <c:v>7608.8468704813731</c:v>
                </c:pt>
                <c:pt idx="72">
                  <c:v>7607.9553270623792</c:v>
                </c:pt>
                <c:pt idx="73">
                  <c:v>7607.781134611887</c:v>
                </c:pt>
                <c:pt idx="74">
                  <c:v>7608.2228919771078</c:v>
                </c:pt>
                <c:pt idx="75">
                  <c:v>7609.1814431593393</c:v>
                </c:pt>
                <c:pt idx="76">
                  <c:v>7610.5615367081009</c:v>
                </c:pt>
                <c:pt idx="77">
                  <c:v>7612.273173368696</c:v>
                </c:pt>
                <c:pt idx="78">
                  <c:v>7614.2326604291547</c:v>
                </c:pt>
                <c:pt idx="79">
                  <c:v>7616.3633934298705</c:v>
                </c:pt>
                <c:pt idx="80">
                  <c:v>7618.5963877065778</c:v>
                </c:pt>
                <c:pt idx="81">
                  <c:v>7620.8705836267136</c:v>
                </c:pt>
                <c:pt idx="82">
                  <c:v>7623.1329503378538</c:v>
                </c:pt>
                <c:pt idx="83">
                  <c:v>7625.3384133649106</c:v>
                </c:pt>
                <c:pt idx="84">
                  <c:v>7627.4496314689395</c:v>
                </c:pt>
                <c:pt idx="85">
                  <c:v>7629.4366478253714</c:v>
                </c:pt>
                <c:pt idx="86">
                  <c:v>7631.2764398170348</c:v>
                </c:pt>
                <c:pt idx="87">
                  <c:v>7632.9523906040449</c:v>
                </c:pt>
                <c:pt idx="88">
                  <c:v>7634.4537041759804</c:v>
                </c:pt>
                <c:pt idx="89">
                  <c:v>7635.774783867746</c:v>
                </c:pt>
                <c:pt idx="90">
                  <c:v>7636.9145923905635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D89-47E0-B06D-396E9F480CE4}"/>
            </c:ext>
          </c:extLst>
        </c:ser>
        <c:ser>
          <c:idx val="7"/>
          <c:order val="7"/>
          <c:tx>
            <c:strRef>
              <c:f>'Phase plot R'!$AF$7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R'!$AE$8:$AE$98</c:f>
              <c:numCache>
                <c:formatCode>General</c:formatCode>
                <c:ptCount val="91"/>
                <c:pt idx="0">
                  <c:v>16578</c:v>
                </c:pt>
                <c:pt idx="1">
                  <c:v>13589.561691487181</c:v>
                </c:pt>
                <c:pt idx="2">
                  <c:v>11991.609243582541</c:v>
                </c:pt>
                <c:pt idx="3">
                  <c:v>11254.059917039707</c:v>
                </c:pt>
                <c:pt idx="4">
                  <c:v>11054.357752477696</c:v>
                </c:pt>
                <c:pt idx="5">
                  <c:v>11197.954557318788</c:v>
                </c:pt>
                <c:pt idx="6">
                  <c:v>11565.300699931555</c:v>
                </c:pt>
                <c:pt idx="7">
                  <c:v>12080.435433923207</c:v>
                </c:pt>
                <c:pt idx="8">
                  <c:v>12693.071619195081</c:v>
                </c:pt>
                <c:pt idx="9">
                  <c:v>13368.440766328704</c:v>
                </c:pt>
                <c:pt idx="10">
                  <c:v>14081.482126697594</c:v>
                </c:pt>
                <c:pt idx="11">
                  <c:v>14813.455707821166</c:v>
                </c:pt>
                <c:pt idx="12">
                  <c:v>15549.919357244908</c:v>
                </c:pt>
                <c:pt idx="13">
                  <c:v>16279.485095100004</c:v>
                </c:pt>
                <c:pt idx="14">
                  <c:v>16993.029380544962</c:v>
                </c:pt>
                <c:pt idx="15">
                  <c:v>17683.174145841804</c:v>
                </c:pt>
                <c:pt idx="16">
                  <c:v>18343.933983272447</c:v>
                </c:pt>
                <c:pt idx="17">
                  <c:v>18970.468755019512</c:v>
                </c:pt>
                <c:pt idx="18">
                  <c:v>19558.905678234965</c:v>
                </c:pt>
                <c:pt idx="19">
                  <c:v>20106.209055701842</c:v>
                </c:pt>
                <c:pt idx="20">
                  <c:v>20610.083906693595</c:v>
                </c:pt>
                <c:pt idx="21">
                  <c:v>21068.904378603795</c:v>
                </c:pt>
                <c:pt idx="22">
                  <c:v>21481.660444120251</c:v>
                </c:pt>
                <c:pt idx="23">
                  <c:v>21847.917852166029</c:v>
                </c:pt>
                <c:pt idx="24">
                  <c:v>22167.787103860741</c:v>
                </c:pt>
                <c:pt idx="25">
                  <c:v>22441.897677891746</c:v>
                </c:pt>
                <c:pt idx="26">
                  <c:v>22671.374035845602</c:v>
                </c:pt>
                <c:pt idx="27">
                  <c:v>22857.810235633835</c:v>
                </c:pt>
                <c:pt idx="28">
                  <c:v>23003.240364348942</c:v>
                </c:pt>
                <c:pt idx="29">
                  <c:v>23110.102528000505</c:v>
                </c:pt>
                <c:pt idx="30">
                  <c:v>23181.194825823393</c:v>
                </c:pt>
                <c:pt idx="31">
                  <c:v>23219.622575611807</c:v>
                </c:pt>
                <c:pt idx="32">
                  <c:v>23228.736992849765</c:v>
                </c:pt>
                <c:pt idx="33">
                  <c:v>23212.066480146783</c:v>
                </c:pt>
                <c:pt idx="34">
                  <c:v>23173.242557086916</c:v>
                </c:pt>
                <c:pt idx="35">
                  <c:v>23115.92315527251</c:v>
                </c:pt>
                <c:pt idx="36">
                  <c:v>23043.716436891547</c:v>
                </c:pt>
                <c:pt idx="37">
                  <c:v>22960.108417527637</c:v>
                </c:pt>
                <c:pt idx="38">
                  <c:v>22868.397476958122</c:v>
                </c:pt>
                <c:pt idx="39">
                  <c:v>22771.63836034586</c:v>
                </c:pt>
                <c:pt idx="40">
                  <c:v>22672.597577610559</c:v>
                </c:pt>
                <c:pt idx="41">
                  <c:v>22573.72129439878</c:v>
                </c:pt>
                <c:pt idx="42">
                  <c:v>22477.115973260399</c:v>
                </c:pt>
                <c:pt idx="43">
                  <c:v>22384.541257647499</c:v>
                </c:pt>
                <c:pt idx="44">
                  <c:v>22297.41396163774</c:v>
                </c:pt>
                <c:pt idx="45">
                  <c:v>22216.82157449166</c:v>
                </c:pt>
                <c:pt idx="46">
                  <c:v>22143.543422922172</c:v>
                </c:pt>
                <c:pt idx="47">
                  <c:v>22078.077543323456</c:v>
                </c:pt>
                <c:pt idx="48">
                  <c:v>22020.671372679022</c:v>
                </c:pt>
                <c:pt idx="49">
                  <c:v>21971.354533182985</c:v>
                </c:pt>
                <c:pt idx="50">
                  <c:v>21929.97222266817</c:v>
                </c:pt>
                <c:pt idx="51">
                  <c:v>21896.217994991879</c:v>
                </c:pt>
                <c:pt idx="52">
                  <c:v>21869.664992337111</c:v>
                </c:pt>
                <c:pt idx="53">
                  <c:v>21849.794953488836</c:v>
                </c:pt>
                <c:pt idx="54">
                  <c:v>21836.024554755048</c:v>
                </c:pt>
                <c:pt idx="55">
                  <c:v>21827.728836174872</c:v>
                </c:pt>
                <c:pt idx="56">
                  <c:v>21824.261623025592</c:v>
                </c:pt>
                <c:pt idx="57">
                  <c:v>21824.972973081738</c:v>
                </c:pt>
                <c:pt idx="58">
                  <c:v>21829.223767519492</c:v>
                </c:pt>
                <c:pt idx="59">
                  <c:v>21836.397622852313</c:v>
                </c:pt>
                <c:pt idx="60">
                  <c:v>21845.910338183443</c:v>
                </c:pt>
                <c:pt idx="61">
                  <c:v>21857.217111470112</c:v>
                </c:pt>
                <c:pt idx="62">
                  <c:v>21869.817764941647</c:v>
                </c:pt>
                <c:pt idx="63">
                  <c:v>21883.260217101819</c:v>
                </c:pt>
                <c:pt idx="64">
                  <c:v>21897.14242992254</c:v>
                </c:pt>
                <c:pt idx="65">
                  <c:v>21911.113047237111</c:v>
                </c:pt>
                <c:pt idx="66">
                  <c:v>21924.87092567853</c:v>
                </c:pt>
                <c:pt idx="67">
                  <c:v>21938.163743973517</c:v>
                </c:pt>
                <c:pt idx="68">
                  <c:v>21950.785860774533</c:v>
                </c:pt>
                <c:pt idx="69">
                  <c:v>21962.575575955503</c:v>
                </c:pt>
                <c:pt idx="70">
                  <c:v>21973.411935651497</c:v>
                </c:pt>
                <c:pt idx="71">
                  <c:v>21983.211207375021</c:v>
                </c:pt>
                <c:pt idx="72">
                  <c:v>21991.923138284914</c:v>
                </c:pt>
                <c:pt idx="73">
                  <c:v>21999.527097062321</c:v>
                </c:pt>
                <c:pt idx="74">
                  <c:v>22006.028187791137</c:v>
                </c:pt>
                <c:pt idx="75">
                  <c:v>22011.453412683153</c:v>
                </c:pt>
                <c:pt idx="76">
                  <c:v>22015.847949387695</c:v>
                </c:pt>
                <c:pt idx="77">
                  <c:v>22019.271597965177</c:v>
                </c:pt>
                <c:pt idx="78">
                  <c:v>22021.795442394927</c:v>
                </c:pt>
                <c:pt idx="79">
                  <c:v>22023.498761766074</c:v>
                </c:pt>
                <c:pt idx="80">
                  <c:v>22024.466217121033</c:v>
                </c:pt>
                <c:pt idx="81">
                  <c:v>22024.785331350562</c:v>
                </c:pt>
                <c:pt idx="82">
                  <c:v>22024.544271647796</c:v>
                </c:pt>
                <c:pt idx="83">
                  <c:v>22023.829936882623</c:v>
                </c:pt>
                <c:pt idx="84">
                  <c:v>22022.726345913921</c:v>
                </c:pt>
                <c:pt idx="85">
                  <c:v>22021.313317357391</c:v>
                </c:pt>
                <c:pt idx="86">
                  <c:v>22019.665426694348</c:v>
                </c:pt>
                <c:pt idx="87">
                  <c:v>22017.851222845624</c:v>
                </c:pt>
                <c:pt idx="88">
                  <c:v>22015.932683427854</c:v>
                </c:pt>
                <c:pt idx="89">
                  <c:v>22013.964885821701</c:v>
                </c:pt>
                <c:pt idx="90">
                  <c:v>22011.995869860431</c:v>
                </c:pt>
              </c:numCache>
            </c:numRef>
          </c:xVal>
          <c:yVal>
            <c:numRef>
              <c:f>'Phase plot R'!$AF$8:$AF$98</c:f>
              <c:numCache>
                <c:formatCode>General</c:formatCode>
                <c:ptCount val="91"/>
                <c:pt idx="0">
                  <c:v>33422</c:v>
                </c:pt>
                <c:pt idx="1">
                  <c:v>30646.816386145954</c:v>
                </c:pt>
                <c:pt idx="2">
                  <c:v>27442.482257746793</c:v>
                </c:pt>
                <c:pt idx="3">
                  <c:v>24287.79659213718</c:v>
                </c:pt>
                <c:pt idx="4">
                  <c:v>21403.093044393849</c:v>
                </c:pt>
                <c:pt idx="5">
                  <c:v>18866.896468274528</c:v>
                </c:pt>
                <c:pt idx="6">
                  <c:v>16686.418841542079</c:v>
                </c:pt>
                <c:pt idx="7">
                  <c:v>14836.331975082827</c:v>
                </c:pt>
                <c:pt idx="8">
                  <c:v>13278.993923283657</c:v>
                </c:pt>
                <c:pt idx="9">
                  <c:v>11974.499444213734</c:v>
                </c:pt>
                <c:pt idx="10">
                  <c:v>10885.328588498918</c:v>
                </c:pt>
                <c:pt idx="11">
                  <c:v>9978.2011393489065</c:v>
                </c:pt>
                <c:pt idx="12">
                  <c:v>9224.5327490611471</c:v>
                </c:pt>
                <c:pt idx="13">
                  <c:v>8600.230049547612</c:v>
                </c:pt>
                <c:pt idx="14">
                  <c:v>8085.2081445875801</c:v>
                </c:pt>
                <c:pt idx="15">
                  <c:v>7662.8247388909331</c:v>
                </c:pt>
                <c:pt idx="16">
                  <c:v>7319.3246402314116</c:v>
                </c:pt>
                <c:pt idx="17">
                  <c:v>7043.3355715530588</c:v>
                </c:pt>
                <c:pt idx="18">
                  <c:v>6825.4291433027365</c:v>
                </c:pt>
                <c:pt idx="19">
                  <c:v>6657.7475725400718</c:v>
                </c:pt>
                <c:pt idx="20">
                  <c:v>6533.6908385324296</c:v>
                </c:pt>
                <c:pt idx="21">
                  <c:v>6447.6569167062844</c:v>
                </c:pt>
                <c:pt idx="22">
                  <c:v>6394.8276154531013</c:v>
                </c:pt>
                <c:pt idx="23">
                  <c:v>6370.9933089976976</c:v>
                </c:pt>
                <c:pt idx="24">
                  <c:v>6372.4109481312298</c:v>
                </c:pt>
                <c:pt idx="25">
                  <c:v>6395.6908340828904</c:v>
                </c:pt>
                <c:pt idx="26">
                  <c:v>6437.7085972391706</c:v>
                </c:pt>
                <c:pt idx="27">
                  <c:v>6495.5395503385635</c:v>
                </c:pt>
                <c:pt idx="28">
                  <c:v>6566.413052718367</c:v>
                </c:pt>
                <c:pt idx="29">
                  <c:v>6647.6847304521389</c:v>
                </c:pt>
                <c:pt idx="30">
                  <c:v>6736.8243778489332</c:v>
                </c:pt>
                <c:pt idx="31">
                  <c:v>6831.4171751382937</c:v>
                </c:pt>
                <c:pt idx="32">
                  <c:v>6929.1755720439614</c:v>
                </c:pt>
                <c:pt idx="33">
                  <c:v>7027.9588963777314</c:v>
                </c:pt>
                <c:pt idx="34">
                  <c:v>7125.7975401528147</c:v>
                </c:pt>
                <c:pt idx="35">
                  <c:v>7220.9185288628514</c:v>
                </c:pt>
                <c:pt idx="36">
                  <c:v>7311.769441648411</c:v>
                </c:pt>
                <c:pt idx="37">
                  <c:v>7397.0380344361038</c:v>
                </c:pt>
                <c:pt idx="38">
                  <c:v>7475.6654998645527</c:v>
                </c:pt>
                <c:pt idx="39">
                  <c:v>7546.8520187863296</c:v>
                </c:pt>
                <c:pt idx="40">
                  <c:v>7610.054038614524</c:v>
                </c:pt>
                <c:pt idx="41">
                  <c:v>7664.9734676696999</c:v>
                </c:pt>
                <c:pt idx="42">
                  <c:v>7711.5396248218813</c:v>
                </c:pt>
                <c:pt idx="43">
                  <c:v>7749.8852738549458</c:v>
                </c:pt>
                <c:pt idx="44">
                  <c:v>7780.3183732067137</c:v>
                </c:pt>
                <c:pt idx="45">
                  <c:v>7803.2912829629331</c:v>
                </c:pt>
                <c:pt idx="46">
                  <c:v>7819.369114353799</c:v>
                </c:pt>
                <c:pt idx="47">
                  <c:v>7829.1987202586297</c:v>
                </c:pt>
                <c:pt idx="48">
                  <c:v>7833.4795531530162</c:v>
                </c:pt>
                <c:pt idx="49">
                  <c:v>7832.9373037272753</c:v>
                </c:pt>
                <c:pt idx="50">
                  <c:v>7828.3009170825862</c:v>
                </c:pt>
                <c:pt idx="51">
                  <c:v>7820.2832926666815</c:v>
                </c:pt>
                <c:pt idx="52">
                  <c:v>7809.5657274110836</c:v>
                </c:pt>
                <c:pt idx="53">
                  <c:v>7796.7859678950317</c:v>
                </c:pt>
                <c:pt idx="54">
                  <c:v>7782.5295981541531</c:v>
                </c:pt>
                <c:pt idx="55">
                  <c:v>7767.3244008915217</c:v>
                </c:pt>
                <c:pt idx="56">
                  <c:v>7751.6372839524302</c:v>
                </c:pt>
                <c:pt idx="57">
                  <c:v>7735.8733521268605</c:v>
                </c:pt>
                <c:pt idx="58">
                  <c:v>7720.3767176602714</c:v>
                </c:pt>
                <c:pt idx="59">
                  <c:v>7705.4326730778521</c:v>
                </c:pt>
                <c:pt idx="60">
                  <c:v>7691.2708901299902</c:v>
                </c:pt>
                <c:pt idx="61">
                  <c:v>7678.0693533815256</c:v>
                </c:pt>
                <c:pt idx="62">
                  <c:v>7665.9587821665527</c:v>
                </c:pt>
                <c:pt idx="63">
                  <c:v>7655.0273375698089</c:v>
                </c:pt>
                <c:pt idx="64">
                  <c:v>7645.3254500963394</c:v>
                </c:pt>
                <c:pt idx="65">
                  <c:v>7636.8706379058503</c:v>
                </c:pt>
                <c:pt idx="66">
                  <c:v>7629.6522146793577</c:v>
                </c:pt>
                <c:pt idx="67">
                  <c:v>7623.635810532337</c:v>
                </c:pt>
                <c:pt idx="68">
                  <c:v>7618.7676493281979</c:v>
                </c:pt>
                <c:pt idx="69">
                  <c:v>7614.9785418522679</c:v>
                </c:pt>
                <c:pt idx="70">
                  <c:v>7612.1875671992211</c:v>
                </c:pt>
                <c:pt idx="71">
                  <c:v>7610.3054250092882</c:v>
                </c:pt>
                <c:pt idx="72">
                  <c:v>7609.2374494074811</c:v>
                </c:pt>
                <c:pt idx="73">
                  <c:v>7608.886282123658</c:v>
                </c:pt>
                <c:pt idx="74">
                  <c:v>7609.1542076798787</c:v>
                </c:pt>
                <c:pt idx="75">
                  <c:v>7609.9451580183231</c:v>
                </c:pt>
                <c:pt idx="76">
                  <c:v>7611.1663977207927</c:v>
                </c:pt>
                <c:pt idx="77">
                  <c:v>7612.7299041828737</c:v>
                </c:pt>
                <c:pt idx="78">
                  <c:v>7614.5534598396698</c:v>
                </c:pt>
                <c:pt idx="79">
                  <c:v>7616.5614758404508</c:v>
                </c:pt>
                <c:pt idx="80">
                  <c:v>7618.6855684527836</c:v>
                </c:pt>
                <c:pt idx="81">
                  <c:v>7620.8649109415564</c:v>
                </c:pt>
                <c:pt idx="82">
                  <c:v>7623.046384706995</c:v>
                </c:pt>
                <c:pt idx="83">
                  <c:v>7625.1845540714157</c:v>
                </c:pt>
                <c:pt idx="84">
                  <c:v>7627.241489277083</c:v>
                </c:pt>
                <c:pt idx="85">
                  <c:v>7629.1864620074011</c:v>
                </c:pt>
                <c:pt idx="86">
                  <c:v>7630.9955370929765</c:v>
                </c:pt>
                <c:pt idx="87">
                  <c:v>7632.6510830469124</c:v>
                </c:pt>
                <c:pt idx="88">
                  <c:v>7634.1412227345127</c:v>
                </c:pt>
                <c:pt idx="89">
                  <c:v>7635.4592438742184</c:v>
                </c:pt>
                <c:pt idx="90">
                  <c:v>7636.6029872474182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D89-47E0-B06D-396E9F480CE4}"/>
            </c:ext>
          </c:extLst>
        </c:ser>
        <c:ser>
          <c:idx val="8"/>
          <c:order val="8"/>
          <c:tx>
            <c:strRef>
              <c:f>'Phase plot R'!$AI$7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R'!$AH$8:$AH$98</c:f>
              <c:numCache>
                <c:formatCode>General</c:formatCode>
                <c:ptCount val="91"/>
                <c:pt idx="0">
                  <c:v>567</c:v>
                </c:pt>
                <c:pt idx="1">
                  <c:v>2878.7490545080077</c:v>
                </c:pt>
                <c:pt idx="2">
                  <c:v>4537.199468323236</c:v>
                </c:pt>
                <c:pt idx="3">
                  <c:v>5893.4247932843573</c:v>
                </c:pt>
                <c:pt idx="4">
                  <c:v>7105.0355770421138</c:v>
                </c:pt>
                <c:pt idx="5">
                  <c:v>8243.8658439205265</c:v>
                </c:pt>
                <c:pt idx="6">
                  <c:v>9342.3290848151591</c:v>
                </c:pt>
                <c:pt idx="7">
                  <c:v>10413.877100900241</c:v>
                </c:pt>
                <c:pt idx="8">
                  <c:v>11462.523818531976</c:v>
                </c:pt>
                <c:pt idx="9">
                  <c:v>12487.537850019817</c:v>
                </c:pt>
                <c:pt idx="10">
                  <c:v>13485.873689279371</c:v>
                </c:pt>
                <c:pt idx="11">
                  <c:v>14453.480348573998</c:v>
                </c:pt>
                <c:pt idx="12">
                  <c:v>15386.021799300248</c:v>
                </c:pt>
                <c:pt idx="13">
                  <c:v>16279.275037490652</c:v>
                </c:pt>
                <c:pt idx="14">
                  <c:v>17129.345719497269</c:v>
                </c:pt>
                <c:pt idx="15">
                  <c:v>17932.778979242597</c:v>
                </c:pt>
                <c:pt idx="16">
                  <c:v>18686.610411942533</c:v>
                </c:pt>
                <c:pt idx="17">
                  <c:v>19388.384169165172</c:v>
                </c:pt>
                <c:pt idx="18">
                  <c:v>20036.154587519311</c:v>
                </c:pt>
                <c:pt idx="19">
                  <c:v>20628.481307575359</c:v>
                </c:pt>
                <c:pt idx="20">
                  <c:v>21164.423656443614</c:v>
                </c:pt>
                <c:pt idx="21">
                  <c:v>21643.537217894162</c:v>
                </c:pt>
                <c:pt idx="22">
                  <c:v>22065.8734762118</c:v>
                </c:pt>
                <c:pt idx="23">
                  <c:v>22431.981908534312</c:v>
                </c:pt>
                <c:pt idx="24">
                  <c:v>22742.912769970302</c:v>
                </c:pt>
                <c:pt idx="25">
                  <c:v>23000.218009119835</c:v>
                </c:pt>
                <c:pt idx="26">
                  <c:v>23205.947266180079</c:v>
                </c:pt>
                <c:pt idx="27">
                  <c:v>23362.635767455209</c:v>
                </c:pt>
                <c:pt idx="28">
                  <c:v>23473.281168785627</c:v>
                </c:pt>
                <c:pt idx="29">
                  <c:v>23541.307027232157</c:v>
                </c:pt>
                <c:pt idx="30">
                  <c:v>23570.511567746365</c:v>
                </c:pt>
                <c:pt idx="31">
                  <c:v>23565.001680900492</c:v>
                </c:pt>
                <c:pt idx="32">
                  <c:v>23529.113508137027</c:v>
                </c:pt>
                <c:pt idx="33">
                  <c:v>23467.322371663326</c:v>
                </c:pt>
                <c:pt idx="34">
                  <c:v>23384.146001480483</c:v>
                </c:pt>
                <c:pt idx="35">
                  <c:v>23284.045834505956</c:v>
                </c:pt>
                <c:pt idx="36">
                  <c:v>23171.331493325339</c:v>
                </c:pt>
                <c:pt idx="37">
                  <c:v>23050.073352031271</c:v>
                </c:pt>
                <c:pt idx="38">
                  <c:v>22924.027403405074</c:v>
                </c:pt>
                <c:pt idx="39">
                  <c:v>22796.575567411248</c:v>
                </c:pt>
                <c:pt idx="40">
                  <c:v>22670.683285555537</c:v>
                </c:pt>
                <c:pt idx="41">
                  <c:v>22548.874904539876</c:v>
                </c:pt>
                <c:pt idx="42">
                  <c:v>22433.226125033605</c:v>
                </c:pt>
                <c:pt idx="43">
                  <c:v>22325.371796425705</c:v>
                </c:pt>
                <c:pt idx="44">
                  <c:v>22226.526643297708</c:v>
                </c:pt>
                <c:pt idx="45">
                  <c:v>22137.51612936574</c:v>
                </c:pt>
                <c:pt idx="46">
                  <c:v>22058.814572601397</c:v>
                </c:pt>
                <c:pt idx="47">
                  <c:v>21990.587765867316</c:v>
                </c:pt>
                <c:pt idx="48">
                  <c:v>21932.737662470056</c:v>
                </c:pt>
                <c:pt idx="49">
                  <c:v>21884.947087233912</c:v>
                </c:pt>
                <c:pt idx="50">
                  <c:v>21846.722871572252</c:v>
                </c:pt>
                <c:pt idx="51">
                  <c:v>21817.436239696133</c:v>
                </c:pt>
                <c:pt idx="52">
                  <c:v>21796.359661452392</c:v>
                </c:pt>
                <c:pt idx="53">
                  <c:v>21782.699717745367</c:v>
                </c:pt>
                <c:pt idx="54">
                  <c:v>21775.625790399488</c:v>
                </c:pt>
                <c:pt idx="55">
                  <c:v>21774.294590853198</c:v>
                </c:pt>
                <c:pt idx="56">
                  <c:v>21777.870687397623</c:v>
                </c:pt>
                <c:pt idx="57">
                  <c:v>21785.543287532324</c:v>
                </c:pt>
                <c:pt idx="58">
                  <c:v>21796.539589969689</c:v>
                </c:pt>
                <c:pt idx="59">
                  <c:v>21810.135049085155</c:v>
                </c:pt>
                <c:pt idx="60">
                  <c:v>21825.660901347361</c:v>
                </c:pt>
                <c:pt idx="61">
                  <c:v>21842.509295279266</c:v>
                </c:pt>
                <c:pt idx="62">
                  <c:v>21860.136349190081</c:v>
                </c:pt>
                <c:pt idx="63">
                  <c:v>21878.063438344929</c:v>
                </c:pt>
                <c:pt idx="64">
                  <c:v>21895.876988319746</c:v>
                </c:pt>
                <c:pt idx="65">
                  <c:v>21913.227025990833</c:v>
                </c:pt>
                <c:pt idx="66">
                  <c:v>21929.824715157371</c:v>
                </c:pt>
                <c:pt idx="67">
                  <c:v>21945.43908085944</c:v>
                </c:pt>
                <c:pt idx="68">
                  <c:v>21959.893105306357</c:v>
                </c:pt>
                <c:pt idx="69">
                  <c:v>21973.059358977775</c:v>
                </c:pt>
                <c:pt idx="70">
                  <c:v>21984.855312750668</c:v>
                </c:pt>
                <c:pt idx="71">
                  <c:v>21995.238460605793</c:v>
                </c:pt>
                <c:pt idx="72">
                  <c:v>22004.201367322374</c:v>
                </c:pt>
                <c:pt idx="73">
                  <c:v>22011.76674134253</c:v>
                </c:pt>
                <c:pt idx="74">
                  <c:v>22017.982619483839</c:v>
                </c:pt>
                <c:pt idx="75">
                  <c:v>22022.917737262476</c:v>
                </c:pt>
                <c:pt idx="76">
                  <c:v>22026.657146184512</c:v>
                </c:pt>
                <c:pt idx="77">
                  <c:v>22029.298127449518</c:v>
                </c:pt>
                <c:pt idx="78">
                  <c:v>22030.946440118085</c:v>
                </c:pt>
                <c:pt idx="79">
                  <c:v>22031.712930988891</c:v>
                </c:pt>
                <c:pt idx="80">
                  <c:v>22031.710523301404</c:v>
                </c:pt>
                <c:pt idx="81">
                  <c:v>22031.051592026772</c:v>
                </c:pt>
                <c:pt idx="82">
                  <c:v>22029.845725030416</c:v>
                </c:pt>
                <c:pt idx="83">
                  <c:v>22028.197861870693</c:v>
                </c:pt>
                <c:pt idx="84">
                  <c:v>22026.206795504775</c:v>
                </c:pt>
                <c:pt idx="85">
                  <c:v>22023.964016745718</c:v>
                </c:pt>
                <c:pt idx="86">
                  <c:v>22021.552876965343</c:v>
                </c:pt>
                <c:pt idx="87">
                  <c:v>22019.048041249964</c:v>
                </c:pt>
                <c:pt idx="88">
                  <c:v>22016.515201946549</c:v>
                </c:pt>
                <c:pt idx="89">
                  <c:v>22014.011021219139</c:v>
                </c:pt>
                <c:pt idx="90">
                  <c:v>22011.583270783307</c:v>
                </c:pt>
              </c:numCache>
            </c:numRef>
          </c:xVal>
          <c:yVal>
            <c:numRef>
              <c:f>'Phase plot R'!$AI$8:$AI$98</c:f>
              <c:numCache>
                <c:formatCode>General</c:formatCode>
                <c:ptCount val="91"/>
                <c:pt idx="0">
                  <c:v>49433</c:v>
                </c:pt>
                <c:pt idx="1">
                  <c:v>39439.520697089625</c:v>
                </c:pt>
                <c:pt idx="2">
                  <c:v>32068.589305728721</c:v>
                </c:pt>
                <c:pt idx="3">
                  <c:v>26488.594951280087</c:v>
                </c:pt>
                <c:pt idx="4">
                  <c:v>22187.954022310096</c:v>
                </c:pt>
                <c:pt idx="5">
                  <c:v>18830.617771785724</c:v>
                </c:pt>
                <c:pt idx="6">
                  <c:v>16184.178619946173</c:v>
                </c:pt>
                <c:pt idx="7">
                  <c:v>14082.06466719029</c:v>
                </c:pt>
                <c:pt idx="8">
                  <c:v>12401.966622321459</c:v>
                </c:pt>
                <c:pt idx="9">
                  <c:v>11052.554501045046</c:v>
                </c:pt>
                <c:pt idx="10">
                  <c:v>9964.7889367355911</c:v>
                </c:pt>
                <c:pt idx="11">
                  <c:v>9085.9798381791425</c:v>
                </c:pt>
                <c:pt idx="12">
                  <c:v>8375.5936480262517</c:v>
                </c:pt>
                <c:pt idx="13">
                  <c:v>7802.2276981729492</c:v>
                </c:pt>
                <c:pt idx="14">
                  <c:v>7341.3908629581201</c:v>
                </c:pt>
                <c:pt idx="15">
                  <c:v>6973.8550312514872</c:v>
                </c:pt>
                <c:pt idx="16">
                  <c:v>6684.4177587312115</c:v>
                </c:pt>
                <c:pt idx="17">
                  <c:v>6460.9648793545912</c:v>
                </c:pt>
                <c:pt idx="18">
                  <c:v>6293.7541107037605</c:v>
                </c:pt>
                <c:pt idx="19">
                  <c:v>6174.8628951680612</c:v>
                </c:pt>
                <c:pt idx="20">
                  <c:v>6097.7593984101604</c:v>
                </c:pt>
                <c:pt idx="21">
                  <c:v>6056.9668733245517</c:v>
                </c:pt>
                <c:pt idx="22">
                  <c:v>6047.7998401693449</c:v>
                </c:pt>
                <c:pt idx="23">
                  <c:v>6066.1566065318721</c:v>
                </c:pt>
                <c:pt idx="24">
                  <c:v>6108.3571291200415</c:v>
                </c:pt>
                <c:pt idx="25">
                  <c:v>6171.0184816156079</c:v>
                </c:pt>
                <c:pt idx="26">
                  <c:v>6250.9624889535562</c:v>
                </c:pt>
                <c:pt idx="27">
                  <c:v>6345.1515885427234</c:v>
                </c:pt>
                <c:pt idx="28">
                  <c:v>6450.6498113323723</c:v>
                </c:pt>
                <c:pt idx="29">
                  <c:v>6564.6060564444952</c:v>
                </c:pt>
                <c:pt idx="30">
                  <c:v>6684.2566879984415</c:v>
                </c:pt>
                <c:pt idx="31">
                  <c:v>6806.9440580857199</c:v>
                </c:pt>
                <c:pt idx="32">
                  <c:v>6930.1470216652979</c:v>
                </c:pt>
                <c:pt idx="33">
                  <c:v>7051.5190301328867</c:v>
                </c:pt>
                <c:pt idx="34">
                  <c:v>7168.9291274531661</c:v>
                </c:pt>
                <c:pt idx="35">
                  <c:v>7280.5012416123463</c:v>
                </c:pt>
                <c:pt idx="36">
                  <c:v>7384.6476174985655</c:v>
                </c:pt>
                <c:pt idx="37">
                  <c:v>7480.0930549247023</c:v>
                </c:pt>
                <c:pt idx="38">
                  <c:v>7565.8877092864968</c:v>
                </c:pt>
                <c:pt idx="39">
                  <c:v>7641.4074460793508</c:v>
                </c:pt>
                <c:pt idx="40">
                  <c:v>7706.3419590695048</c:v>
                </c:pt>
                <c:pt idx="41">
                  <c:v>7760.6719223380451</c:v>
                </c:pt>
                <c:pt idx="42">
                  <c:v>7804.6372429016837</c:v>
                </c:pt>
                <c:pt idx="43">
                  <c:v>7838.6989585389674</c:v>
                </c:pt>
                <c:pt idx="44">
                  <c:v>7863.4974827341821</c:v>
                </c:pt>
                <c:pt idx="45">
                  <c:v>7879.8097766213823</c:v>
                </c:pt>
                <c:pt idx="46">
                  <c:v>7888.5076958160671</c:v>
                </c:pt>
                <c:pt idx="47">
                  <c:v>7890.5192985424437</c:v>
                </c:pt>
                <c:pt idx="48">
                  <c:v>7886.7943875616293</c:v>
                </c:pt>
                <c:pt idx="49">
                  <c:v>7878.2750557104273</c:v>
                </c:pt>
                <c:pt idx="50">
                  <c:v>7865.8715586273365</c:v>
                </c:pt>
                <c:pt idx="51">
                  <c:v>7850.4434747753849</c:v>
                </c:pt>
                <c:pt idx="52">
                  <c:v>7832.7858419620552</c:v>
                </c:pt>
                <c:pt idx="53">
                  <c:v>7813.6197784971864</c:v>
                </c:pt>
                <c:pt idx="54">
                  <c:v>7793.586995089212</c:v>
                </c:pt>
                <c:pt idx="55">
                  <c:v>7773.2475655335702</c:v>
                </c:pt>
                <c:pt idx="56">
                  <c:v>7753.0803340408183</c:v>
                </c:pt>
                <c:pt idx="57">
                  <c:v>7733.4853794947021</c:v>
                </c:pt>
                <c:pt idx="58">
                  <c:v>7714.7880190018468</c:v>
                </c:pt>
                <c:pt idx="59">
                  <c:v>7697.2439044567163</c:v>
                </c:pt>
                <c:pt idx="60">
                  <c:v>7681.0448388691029</c:v>
                </c:pt>
                <c:pt idx="61">
                  <c:v>7666.3250086982798</c:v>
                </c:pt>
                <c:pt idx="62">
                  <c:v>7653.1673912470178</c:v>
                </c:pt>
                <c:pt idx="63">
                  <c:v>7641.6101507021731</c:v>
                </c:pt>
                <c:pt idx="64">
                  <c:v>7631.6528822224745</c:v>
                </c:pt>
                <c:pt idx="65">
                  <c:v>7623.2626008974212</c:v>
                </c:pt>
                <c:pt idx="66">
                  <c:v>7616.3794022363445</c:v>
                </c:pt>
                <c:pt idx="67">
                  <c:v>7610.9217441413948</c:v>
                </c:pt>
                <c:pt idx="68">
                  <c:v>7606.7913182005896</c:v>
                </c:pt>
                <c:pt idx="69">
                  <c:v>7603.8774917030842</c:v>
                </c:pt>
                <c:pt idx="70">
                  <c:v>7602.0613120222688</c:v>
                </c:pt>
                <c:pt idx="71">
                  <c:v>7601.2190727852658</c:v>
                </c:pt>
                <c:pt idx="72">
                  <c:v>7601.2254472449367</c:v>
                </c:pt>
                <c:pt idx="73">
                  <c:v>7601.9561990307438</c:v>
                </c:pt>
                <c:pt idx="74">
                  <c:v>7603.2904843702954</c:v>
                </c:pt>
                <c:pt idx="75">
                  <c:v>7605.1127632094403</c:v>
                </c:pt>
                <c:pt idx="76">
                  <c:v>7607.3143395749366</c:v>
                </c:pt>
                <c:pt idx="77">
                  <c:v>7609.7945540973506</c:v>
                </c:pt>
                <c:pt idx="78">
                  <c:v>7612.461653860666</c:v>
                </c:pt>
                <c:pt idx="79">
                  <c:v>7615.2333666481818</c:v>
                </c:pt>
                <c:pt idx="80">
                  <c:v>7618.0372081706182</c:v>
                </c:pt>
                <c:pt idx="81">
                  <c:v>7620.8105519456794</c:v>
                </c:pt>
                <c:pt idx="82">
                  <c:v>7623.5004921088757</c:v>
                </c:pt>
                <c:pt idx="83">
                  <c:v>7626.0635295478314</c:v>
                </c:pt>
                <c:pt idx="84">
                  <c:v>7628.465111360274</c:v>
                </c:pt>
                <c:pt idx="85">
                  <c:v>7630.6790527539688</c:v>
                </c:pt>
                <c:pt idx="86">
                  <c:v>7632.6868691695117</c:v>
                </c:pt>
                <c:pt idx="87">
                  <c:v>7634.4770446661942</c:v>
                </c:pt>
                <c:pt idx="88">
                  <c:v>7636.0442605327489</c:v>
                </c:pt>
                <c:pt idx="89">
                  <c:v>7637.3886057436102</c:v>
                </c:pt>
                <c:pt idx="90">
                  <c:v>7638.5147883567888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D89-47E0-B06D-396E9F480CE4}"/>
            </c:ext>
          </c:extLst>
        </c:ser>
        <c:ser>
          <c:idx val="9"/>
          <c:order val="9"/>
          <c:tx>
            <c:strRef>
              <c:f>'Phase plot R'!$AL$7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R'!$AK$8:$AK$98</c:f>
              <c:numCache>
                <c:formatCode>General</c:formatCode>
                <c:ptCount val="91"/>
                <c:pt idx="0">
                  <c:v>4356</c:v>
                </c:pt>
                <c:pt idx="1">
                  <c:v>7406.5268282503657</c:v>
                </c:pt>
                <c:pt idx="2">
                  <c:v>10253.157549791084</c:v>
                </c:pt>
                <c:pt idx="3">
                  <c:v>12909.524404902122</c:v>
                </c:pt>
                <c:pt idx="4">
                  <c:v>15388.345896900253</c:v>
                </c:pt>
                <c:pt idx="5">
                  <c:v>17701.488896322771</c:v>
                </c:pt>
                <c:pt idx="6">
                  <c:v>19860.026112192918</c:v>
                </c:pt>
                <c:pt idx="7">
                  <c:v>21874.289451811237</c:v>
                </c:pt>
                <c:pt idx="8">
                  <c:v>23753.919654780526</c:v>
                </c:pt>
                <c:pt idx="9">
                  <c:v>25507.912507951798</c:v>
                </c:pt>
                <c:pt idx="10">
                  <c:v>27144.661898316142</c:v>
                </c:pt>
                <c:pt idx="11">
                  <c:v>28671.99992676434</c:v>
                </c:pt>
                <c:pt idx="12">
                  <c:v>30097.234279932651</c:v>
                </c:pt>
                <c:pt idx="13">
                  <c:v>31427.183036186369</c:v>
                </c:pt>
                <c:pt idx="14">
                  <c:v>32668.207062945618</c:v>
                </c:pt>
                <c:pt idx="15">
                  <c:v>33826.240144621821</c:v>
                </c:pt>
                <c:pt idx="16">
                  <c:v>34906.816962363693</c:v>
                </c:pt>
                <c:pt idx="17">
                  <c:v>35915.099027672542</c:v>
                </c:pt>
                <c:pt idx="18">
                  <c:v>36855.898650747149</c:v>
                </c:pt>
                <c:pt idx="19">
                  <c:v>37733.700999979323</c:v>
                </c:pt>
                <c:pt idx="20">
                  <c:v>38552.684279849498</c:v>
                </c:pt>
                <c:pt idx="21">
                  <c:v>39316.738018614349</c:v>
                </c:pt>
                <c:pt idx="22">
                  <c:v>40029.479412041568</c:v>
                </c:pt>
                <c:pt idx="23">
                  <c:v>40694.267611563395</c:v>
                </c:pt>
                <c:pt idx="24">
                  <c:v>41314.215769941482</c:v>
                </c:pt>
                <c:pt idx="25">
                  <c:v>41892.200558630277</c:v>
                </c:pt>
                <c:pt idx="26">
                  <c:v>42430.868740156184</c:v>
                </c:pt>
                <c:pt idx="27">
                  <c:v>42932.640204879812</c:v>
                </c:pt>
                <c:pt idx="28">
                  <c:v>43399.706649744279</c:v>
                </c:pt>
                <c:pt idx="29">
                  <c:v>43834.024767670344</c:v>
                </c:pt>
                <c:pt idx="30">
                  <c:v>44237.302405011709</c:v>
                </c:pt>
                <c:pt idx="31">
                  <c:v>44610.975598928737</c:v>
                </c:pt>
                <c:pt idx="32">
                  <c:v>44956.173687072624</c:v>
                </c:pt>
                <c:pt idx="33">
                  <c:v>45273.668741809146</c:v>
                </c:pt>
                <c:pt idx="34">
                  <c:v>45563.804369463913</c:v>
                </c:pt>
                <c:pt idx="35">
                  <c:v>45826.397385385753</c:v>
                </c:pt>
                <c:pt idx="36">
                  <c:v>46060.604005679663</c:v>
                </c:pt>
                <c:pt idx="37">
                  <c:v>46264.740027770924</c:v>
                </c:pt>
                <c:pt idx="38">
                  <c:v>46436.042186125218</c:v>
                </c:pt>
                <c:pt idx="39">
                  <c:v>46570.355927036529</c:v>
                </c:pt>
                <c:pt idx="40">
                  <c:v>46661.73422779754</c:v>
                </c:pt>
                <c:pt idx="41">
                  <c:v>46701.934684823173</c:v>
                </c:pt>
                <c:pt idx="42">
                  <c:v>46679.811312154656</c:v>
                </c:pt>
                <c:pt idx="43">
                  <c:v>46580.619000721628</c:v>
                </c:pt>
                <c:pt idx="44">
                  <c:v>46385.291037825402</c:v>
                </c:pt>
                <c:pt idx="45">
                  <c:v>46069.824907610353</c:v>
                </c:pt>
                <c:pt idx="46">
                  <c:v>45605.029939554908</c:v>
                </c:pt>
                <c:pt idx="47">
                  <c:v>44957.05338125382</c:v>
                </c:pt>
                <c:pt idx="48">
                  <c:v>44089.278718478366</c:v>
                </c:pt>
                <c:pt idx="49">
                  <c:v>42966.284587972521</c:v>
                </c:pt>
                <c:pt idx="50">
                  <c:v>41560.369076765055</c:v>
                </c:pt>
                <c:pt idx="51">
                  <c:v>39860.418619588949</c:v>
                </c:pt>
                <c:pt idx="52">
                  <c:v>37881.49340425658</c:v>
                </c:pt>
                <c:pt idx="53">
                  <c:v>35671.788327201561</c:v>
                </c:pt>
                <c:pt idx="54">
                  <c:v>33312.798936870182</c:v>
                </c:pt>
                <c:pt idx="55">
                  <c:v>30910.069467336623</c:v>
                </c:pt>
                <c:pt idx="56">
                  <c:v>28576.01264597823</c:v>
                </c:pt>
                <c:pt idx="57">
                  <c:v>26410.618539725663</c:v>
                </c:pt>
                <c:pt idx="58">
                  <c:v>24487.023169934349</c:v>
                </c:pt>
                <c:pt idx="59">
                  <c:v>22845.921201034034</c:v>
                </c:pt>
                <c:pt idx="60">
                  <c:v>21498.237521331204</c:v>
                </c:pt>
                <c:pt idx="61">
                  <c:v>20432.56698036442</c:v>
                </c:pt>
                <c:pt idx="62">
                  <c:v>19623.667941244192</c:v>
                </c:pt>
                <c:pt idx="63">
                  <c:v>19039.656736633755</c:v>
                </c:pt>
                <c:pt idx="64">
                  <c:v>18647.064254740144</c:v>
                </c:pt>
                <c:pt idx="65">
                  <c:v>18413.878690305566</c:v>
                </c:pt>
                <c:pt idx="66">
                  <c:v>18311.080223789708</c:v>
                </c:pt>
                <c:pt idx="67">
                  <c:v>18313.200856912528</c:v>
                </c:pt>
                <c:pt idx="68">
                  <c:v>18398.327207823404</c:v>
                </c:pt>
                <c:pt idx="69">
                  <c:v>18547.826556703294</c:v>
                </c:pt>
                <c:pt idx="70">
                  <c:v>18745.96477807844</c:v>
                </c:pt>
                <c:pt idx="71">
                  <c:v>18979.508174010258</c:v>
                </c:pt>
                <c:pt idx="72">
                  <c:v>19237.353859386658</c:v>
                </c:pt>
                <c:pt idx="73">
                  <c:v>19510.206360091328</c:v>
                </c:pt>
                <c:pt idx="74">
                  <c:v>19790.303881433385</c:v>
                </c:pt>
                <c:pt idx="75">
                  <c:v>20071.190954487261</c:v>
                </c:pt>
                <c:pt idx="76">
                  <c:v>20347.531491053338</c:v>
                </c:pt>
                <c:pt idx="77">
                  <c:v>20614.95567468744</c:v>
                </c:pt>
                <c:pt idx="78">
                  <c:v>20869.934468782416</c:v>
                </c:pt>
                <c:pt idx="79">
                  <c:v>21109.676243808812</c:v>
                </c:pt>
                <c:pt idx="80">
                  <c:v>21332.040825716515</c:v>
                </c:pt>
                <c:pt idx="81">
                  <c:v>21535.467020773645</c:v>
                </c:pt>
                <c:pt idx="82">
                  <c:v>21718.910337716865</c:v>
                </c:pt>
                <c:pt idx="83">
                  <c:v>21881.78820508733</c:v>
                </c:pt>
                <c:pt idx="84">
                  <c:v>22023.930485227535</c:v>
                </c:pt>
                <c:pt idx="85">
                  <c:v>22145.533535271989</c:v>
                </c:pt>
                <c:pt idx="86">
                  <c:v>22247.116475326002</c:v>
                </c:pt>
                <c:pt idx="87">
                  <c:v>22329.478704892706</c:v>
                </c:pt>
                <c:pt idx="88">
                  <c:v>22393.658063968909</c:v>
                </c:pt>
                <c:pt idx="89">
                  <c:v>22440.889362611331</c:v>
                </c:pt>
                <c:pt idx="90">
                  <c:v>22472.563295168307</c:v>
                </c:pt>
              </c:numCache>
            </c:numRef>
          </c:xVal>
          <c:yVal>
            <c:numRef>
              <c:f>'Phase plot R'!$AL$8:$AL$98</c:f>
              <c:numCache>
                <c:formatCode>General</c:formatCode>
                <c:ptCount val="91"/>
                <c:pt idx="0">
                  <c:v>1</c:v>
                </c:pt>
                <c:pt idx="1">
                  <c:v>0.83258547744468581</c:v>
                </c:pt>
                <c:pt idx="2">
                  <c:v>0.71656810153661066</c:v>
                </c:pt>
                <c:pt idx="3">
                  <c:v>0.63624518843562194</c:v>
                </c:pt>
                <c:pt idx="4">
                  <c:v>0.58169301868299217</c:v>
                </c:pt>
                <c:pt idx="5">
                  <c:v>0.54659033988729955</c:v>
                </c:pt>
                <c:pt idx="6">
                  <c:v>0.52694128361171744</c:v>
                </c:pt>
                <c:pt idx="7">
                  <c:v>0.52031625006319571</c:v>
                </c:pt>
                <c:pt idx="8">
                  <c:v>0.52540036929007228</c:v>
                </c:pt>
                <c:pt idx="9">
                  <c:v>0.54173164271531493</c:v>
                </c:pt>
                <c:pt idx="10">
                  <c:v>0.56956224999408656</c:v>
                </c:pt>
                <c:pt idx="11">
                  <c:v>0.60980599705371541</c:v>
                </c:pt>
                <c:pt idx="12">
                  <c:v>0.66405258748164631</c:v>
                </c:pt>
                <c:pt idx="13">
                  <c:v>0.73464078442877201</c:v>
                </c:pt>
                <c:pt idx="14">
                  <c:v>0.82479066081699115</c:v>
                </c:pt>
                <c:pt idx="15">
                  <c:v>0.93880183699123754</c:v>
                </c:pt>
                <c:pt idx="16">
                  <c:v>1.0823310722963362</c:v>
                </c:pt>
                <c:pt idx="17">
                  <c:v>1.262769715611636</c:v>
                </c:pt>
                <c:pt idx="18">
                  <c:v>1.4897501489993692</c:v>
                </c:pt>
                <c:pt idx="19">
                  <c:v>1.7758213516731558</c:v>
                </c:pt>
                <c:pt idx="20">
                  <c:v>2.1373481108587402</c:v>
                </c:pt>
                <c:pt idx="21">
                  <c:v>2.5957075375041438</c:v>
                </c:pt>
                <c:pt idx="22">
                  <c:v>3.1788821478770251</c:v>
                </c:pt>
                <c:pt idx="23">
                  <c:v>3.9235831621084771</c:v>
                </c:pt>
                <c:pt idx="24">
                  <c:v>4.8780839454410456</c:v>
                </c:pt>
                <c:pt idx="25">
                  <c:v>6.106005825016064</c:v>
                </c:pt>
                <c:pt idx="26">
                  <c:v>7.6913823960387369</c:v>
                </c:pt>
                <c:pt idx="27">
                  <c:v>9.7454412561633941</c:v>
                </c:pt>
                <c:pt idx="28">
                  <c:v>12.415693607536205</c:v>
                </c:pt>
                <c:pt idx="29">
                  <c:v>15.898125055393901</c:v>
                </c:pt>
                <c:pt idx="30">
                  <c:v>20.453551559439681</c:v>
                </c:pt>
                <c:pt idx="31">
                  <c:v>26.429563391093229</c:v>
                </c:pt>
                <c:pt idx="32">
                  <c:v>34.289951956860094</c:v>
                </c:pt>
                <c:pt idx="33">
                  <c:v>44.654127678977268</c:v>
                </c:pt>
                <c:pt idx="34">
                  <c:v>58.349820117941256</c:v>
                </c:pt>
                <c:pt idx="35">
                  <c:v>76.483324742815228</c:v>
                </c:pt>
                <c:pt idx="36">
                  <c:v>100.53272019968747</c:v>
                </c:pt>
                <c:pt idx="37">
                  <c:v>132.47076387243567</c:v>
                </c:pt>
                <c:pt idx="38">
                  <c:v>174.92540045396311</c:v>
                </c:pt>
                <c:pt idx="39">
                  <c:v>231.38657578069331</c:v>
                </c:pt>
                <c:pt idx="40">
                  <c:v>306.46750385935434</c:v>
                </c:pt>
                <c:pt idx="41">
                  <c:v>406.2251332322877</c:v>
                </c:pt>
                <c:pt idx="42">
                  <c:v>538.53557947824766</c:v>
                </c:pt>
                <c:pt idx="43">
                  <c:v>713.50131125191479</c:v>
                </c:pt>
                <c:pt idx="44">
                  <c:v>943.83138587263261</c:v>
                </c:pt>
                <c:pt idx="45">
                  <c:v>1245.0759322742058</c:v>
                </c:pt>
                <c:pt idx="46">
                  <c:v>1635.5048126955153</c:v>
                </c:pt>
                <c:pt idx="47">
                  <c:v>2135.3017840282537</c:v>
                </c:pt>
                <c:pt idx="48">
                  <c:v>2764.632162814496</c:v>
                </c:pt>
                <c:pt idx="49">
                  <c:v>3540.1232423150068</c:v>
                </c:pt>
                <c:pt idx="50">
                  <c:v>4469.5383384390234</c:v>
                </c:pt>
                <c:pt idx="51">
                  <c:v>5545.1281653252772</c:v>
                </c:pt>
                <c:pt idx="52">
                  <c:v>6737.3562970188277</c:v>
                </c:pt>
                <c:pt idx="53">
                  <c:v>7991.9788334295026</c:v>
                </c:pt>
                <c:pt idx="54">
                  <c:v>9233.7002458382376</c:v>
                </c:pt>
                <c:pt idx="55">
                  <c:v>10377.646409740148</c:v>
                </c:pt>
                <c:pt idx="56">
                  <c:v>11345.944297558666</c:v>
                </c:pt>
                <c:pt idx="57">
                  <c:v>12083.300894389033</c:v>
                </c:pt>
                <c:pt idx="58">
                  <c:v>12565.589089520106</c:v>
                </c:pt>
                <c:pt idx="59">
                  <c:v>12799.235656854769</c:v>
                </c:pt>
                <c:pt idx="60">
                  <c:v>12813.641758106894</c:v>
                </c:pt>
                <c:pt idx="61">
                  <c:v>12650.955651863294</c:v>
                </c:pt>
                <c:pt idx="62">
                  <c:v>12356.861449836937</c:v>
                </c:pt>
                <c:pt idx="63">
                  <c:v>11974.16717953757</c:v>
                </c:pt>
                <c:pt idx="64">
                  <c:v>11539.348534479461</c:v>
                </c:pt>
                <c:pt idx="65">
                  <c:v>11081.372055359789</c:v>
                </c:pt>
                <c:pt idx="66">
                  <c:v>10621.941306044766</c:v>
                </c:pt>
                <c:pt idx="67">
                  <c:v>10176.457819458405</c:v>
                </c:pt>
                <c:pt idx="68">
                  <c:v>9755.2233963737035</c:v>
                </c:pt>
                <c:pt idx="69">
                  <c:v>9364.6154043619572</c:v>
                </c:pt>
                <c:pt idx="70">
                  <c:v>9008.1093833382802</c:v>
                </c:pt>
                <c:pt idx="71">
                  <c:v>8687.1089735578462</c:v>
                </c:pt>
                <c:pt idx="72">
                  <c:v>8401.5882499030831</c:v>
                </c:pt>
                <c:pt idx="73">
                  <c:v>8150.5713796844648</c:v>
                </c:pt>
                <c:pt idx="74">
                  <c:v>7932.4803010289934</c:v>
                </c:pt>
                <c:pt idx="75">
                  <c:v>7745.3799306959227</c:v>
                </c:pt>
                <c:pt idx="76">
                  <c:v>7587.1463345802667</c:v>
                </c:pt>
                <c:pt idx="77">
                  <c:v>7455.5784824978218</c:v>
                </c:pt>
                <c:pt idx="78">
                  <c:v>7348.4696765815279</c:v>
                </c:pt>
                <c:pt idx="79">
                  <c:v>7263.6508833980015</c:v>
                </c:pt>
                <c:pt idx="80">
                  <c:v>7199.0150923726733</c:v>
                </c:pt>
                <c:pt idx="81">
                  <c:v>7152.5294032015408</c:v>
                </c:pt>
                <c:pt idx="82">
                  <c:v>7122.2396969651336</c:v>
                </c:pt>
                <c:pt idx="83">
                  <c:v>7106.2713474460206</c:v>
                </c:pt>
                <c:pt idx="84">
                  <c:v>7102.8283719535266</c:v>
                </c:pt>
                <c:pt idx="85">
                  <c:v>7110.1926165931109</c:v>
                </c:pt>
                <c:pt idx="86">
                  <c:v>7126.7239525075402</c:v>
                </c:pt>
                <c:pt idx="87">
                  <c:v>7150.861979481755</c:v>
                </c:pt>
                <c:pt idx="88">
                  <c:v>7181.1293596606083</c:v>
                </c:pt>
                <c:pt idx="89">
                  <c:v>7216.1366174121331</c:v>
                </c:pt>
                <c:pt idx="90">
                  <c:v>7254.5880305468945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D89-47E0-B06D-396E9F480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60816"/>
        <c:axId val="1246156656"/>
      </c:scatterChart>
      <c:valAx>
        <c:axId val="124616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56656"/>
        <c:crosses val="autoZero"/>
        <c:crossBetween val="midCat"/>
      </c:valAx>
      <c:valAx>
        <c:axId val="12461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6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1" i="0" u="none" strike="noStrike" baseline="0">
                <a:effectLst/>
              </a:rPr>
              <a:t>Phase plot for solutions obtained using Ralston's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'Phase plot R'!$BA$7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'Phase plot R'!$AZ$8:$AZ$98</c:f>
              <c:numCache>
                <c:formatCode>General</c:formatCode>
                <c:ptCount val="91"/>
                <c:pt idx="0">
                  <c:v>0</c:v>
                </c:pt>
                <c:pt idx="1">
                  <c:v>5698.2834105621314</c:v>
                </c:pt>
                <c:pt idx="2">
                  <c:v>10693.392826394349</c:v>
                </c:pt>
                <c:pt idx="3">
                  <c:v>15094.497607262951</c:v>
                </c:pt>
                <c:pt idx="4">
                  <c:v>18985.056196885347</c:v>
                </c:pt>
                <c:pt idx="5">
                  <c:v>22431.701650204603</c:v>
                </c:pt>
                <c:pt idx="6">
                  <c:v>25489.392676766129</c:v>
                </c:pt>
                <c:pt idx="7">
                  <c:v>28204.537155925391</c:v>
                </c:pt>
                <c:pt idx="8">
                  <c:v>30616.976993394768</c:v>
                </c:pt>
                <c:pt idx="9">
                  <c:v>32761.312172127331</c:v>
                </c:pt>
                <c:pt idx="10">
                  <c:v>34667.828280913396</c:v>
                </c:pt>
                <c:pt idx="11">
                  <c:v>36363.177553572183</c:v>
                </c:pt>
                <c:pt idx="12">
                  <c:v>37870.900752333102</c:v>
                </c:pt>
                <c:pt idx="13">
                  <c:v>39211.842025855251</c:v>
                </c:pt>
                <c:pt idx="14">
                  <c:v>40404.488689244201</c:v>
                </c:pt>
                <c:pt idx="15">
                  <c:v>41465.256070698837</c:v>
                </c:pt>
                <c:pt idx="16">
                  <c:v>42408.730532247049</c:v>
                </c:pt>
                <c:pt idx="17">
                  <c:v>43247.879492293883</c:v>
                </c:pt>
                <c:pt idx="18">
                  <c:v>43994.234619515664</c:v>
                </c:pt>
                <c:pt idx="19">
                  <c:v>44658.052677898442</c:v>
                </c:pt>
                <c:pt idx="20">
                  <c:v>45248.457400315703</c:v>
                </c:pt>
                <c:pt idx="21">
                  <c:v>45773.565027484408</c:v>
                </c:pt>
                <c:pt idx="22">
                  <c:v>46240.595635300211</c:v>
                </c:pt>
                <c:pt idx="23">
                  <c:v>46655.972004446659</c:v>
                </c:pt>
                <c:pt idx="24">
                  <c:v>47025.40751144848</c:v>
                </c:pt>
                <c:pt idx="25">
                  <c:v>47353.984308685496</c:v>
                </c:pt>
                <c:pt idx="26">
                  <c:v>47646.222892571277</c:v>
                </c:pt>
                <c:pt idx="27">
                  <c:v>47906.144021510161</c:v>
                </c:pt>
                <c:pt idx="28">
                  <c:v>48137.323830169596</c:v>
                </c:pt>
                <c:pt idx="29">
                  <c:v>48342.94288859373</c:v>
                </c:pt>
                <c:pt idx="30">
                  <c:v>48525.829870038557</c:v>
                </c:pt>
                <c:pt idx="31">
                  <c:v>48688.50041754423</c:v>
                </c:pt>
                <c:pt idx="32">
                  <c:v>48833.191734318105</c:v>
                </c:pt>
                <c:pt idx="33">
                  <c:v>48961.893365599295</c:v>
                </c:pt>
                <c:pt idx="34">
                  <c:v>49076.374588750019</c:v>
                </c:pt>
                <c:pt idx="35">
                  <c:v>49178.208783027396</c:v>
                </c:pt>
                <c:pt idx="36">
                  <c:v>49268.795110143816</c:v>
                </c:pt>
                <c:pt idx="37">
                  <c:v>49349.377800748378</c:v>
                </c:pt>
                <c:pt idx="38">
                  <c:v>49421.0633098654</c:v>
                </c:pt>
                <c:pt idx="39">
                  <c:v>49484.835575683246</c:v>
                </c:pt>
                <c:pt idx="40">
                  <c:v>49541.569590524639</c:v>
                </c:pt>
                <c:pt idx="41">
                  <c:v>49592.043470019344</c:v>
                </c:pt>
                <c:pt idx="42">
                  <c:v>49636.949186148711</c:v>
                </c:pt>
                <c:pt idx="43">
                  <c:v>49676.902111678661</c:v>
                </c:pt>
                <c:pt idx="44">
                  <c:v>49712.449507309677</c:v>
                </c:pt>
                <c:pt idx="45">
                  <c:v>49744.078068440562</c:v>
                </c:pt>
                <c:pt idx="46">
                  <c:v>49772.220635580568</c:v>
                </c:pt>
                <c:pt idx="47">
                  <c:v>49797.262160983504</c:v>
                </c:pt>
                <c:pt idx="48">
                  <c:v>49819.545013868577</c:v>
                </c:pt>
                <c:pt idx="49">
                  <c:v>49839.373697500407</c:v>
                </c:pt>
                <c:pt idx="50">
                  <c:v>49857.019043305307</c:v>
                </c:pt>
                <c:pt idx="51">
                  <c:v>49872.721939994342</c:v>
                </c:pt>
                <c:pt idx="52">
                  <c:v>49886.696649249388</c:v>
                </c:pt>
                <c:pt idx="53">
                  <c:v>49899.133753820694</c:v>
                </c:pt>
                <c:pt idx="54">
                  <c:v>49910.202778805826</c:v>
                </c:pt>
                <c:pt idx="55">
                  <c:v>49920.054522361708</c:v>
                </c:pt>
                <c:pt idx="56">
                  <c:v>49928.823128082768</c:v>
                </c:pt>
                <c:pt idx="57">
                  <c:v>49936.627927703434</c:v>
                </c:pt>
                <c:pt idx="58">
                  <c:v>49943.575079604481</c:v>
                </c:pt>
                <c:pt idx="59">
                  <c:v>49949.759025775624</c:v>
                </c:pt>
                <c:pt idx="60">
                  <c:v>49955.263787373035</c:v>
                </c:pt>
                <c:pt idx="61">
                  <c:v>49960.164116775493</c:v>
                </c:pt>
                <c:pt idx="62">
                  <c:v>49964.526522055545</c:v>
                </c:pt>
                <c:pt idx="63">
                  <c:v>49968.410178015343</c:v>
                </c:pt>
                <c:pt idx="64">
                  <c:v>49971.867736366214</c:v>
                </c:pt>
                <c:pt idx="65">
                  <c:v>49974.946046234625</c:v>
                </c:pt>
                <c:pt idx="66">
                  <c:v>49977.686794935908</c:v>
                </c:pt>
                <c:pt idx="67">
                  <c:v>49980.1270778537</c:v>
                </c:pt>
                <c:pt idx="68">
                  <c:v>49982.299905282081</c:v>
                </c:pt>
                <c:pt idx="69">
                  <c:v>49984.234653215441</c:v>
                </c:pt>
                <c:pt idx="70">
                  <c:v>49985.957464296043</c:v>
                </c:pt>
                <c:pt idx="71">
                  <c:v>49987.491604440147</c:v>
                </c:pt>
                <c:pt idx="72">
                  <c:v>49988.857780051076</c:v>
                </c:pt>
                <c:pt idx="73">
                  <c:v>49990.074420183213</c:v>
                </c:pt>
                <c:pt idx="74">
                  <c:v>49991.157927536864</c:v>
                </c:pt>
                <c:pt idx="75">
                  <c:v>49992.122901733645</c:v>
                </c:pt>
                <c:pt idx="76">
                  <c:v>49992.982337939662</c:v>
                </c:pt>
                <c:pt idx="77">
                  <c:v>49993.747803563747</c:v>
                </c:pt>
                <c:pt idx="78">
                  <c:v>49994.429595455615</c:v>
                </c:pt>
                <c:pt idx="79">
                  <c:v>49995.036879760322</c:v>
                </c:pt>
                <c:pt idx="80">
                  <c:v>49995.577816346369</c:v>
                </c:pt>
                <c:pt idx="81">
                  <c:v>49996.05966951244</c:v>
                </c:pt>
                <c:pt idx="82">
                  <c:v>49996.488906489016</c:v>
                </c:pt>
                <c:pt idx="83">
                  <c:v>49996.871285083173</c:v>
                </c:pt>
                <c:pt idx="84">
                  <c:v>49997.211931665697</c:v>
                </c:pt>
                <c:pt idx="85">
                  <c:v>49997.515410566877</c:v>
                </c:pt>
                <c:pt idx="86">
                  <c:v>49997.785785829401</c:v>
                </c:pt>
                <c:pt idx="87">
                  <c:v>49998.02667616184</c:v>
                </c:pt>
                <c:pt idx="88">
                  <c:v>49998.241303842973</c:v>
                </c:pt>
                <c:pt idx="89">
                  <c:v>49998.432538244218</c:v>
                </c:pt>
                <c:pt idx="90">
                  <c:v>49998.602934563693</c:v>
                </c:pt>
              </c:numCache>
            </c:numRef>
          </c:xVal>
          <c:yVal>
            <c:numRef>
              <c:f>'Phase plot R'!$BA$8:$BA$98</c:f>
              <c:numCache>
                <c:formatCode>General</c:formatCode>
                <c:ptCount val="91"/>
                <c:pt idx="0">
                  <c:v>5010</c:v>
                </c:pt>
                <c:pt idx="1">
                  <c:v>3808.1576663609467</c:v>
                </c:pt>
                <c:pt idx="2">
                  <c:v>2947.2389788652199</c:v>
                </c:pt>
                <c:pt idx="3">
                  <c:v>2317.7041781625048</c:v>
                </c:pt>
                <c:pt idx="4">
                  <c:v>1848.7300455672323</c:v>
                </c:pt>
                <c:pt idx="5">
                  <c:v>1493.4272363085533</c:v>
                </c:pt>
                <c:pt idx="6">
                  <c:v>1220.0829610978719</c:v>
                </c:pt>
                <c:pt idx="7">
                  <c:v>1006.8293216518127</c:v>
                </c:pt>
                <c:pt idx="8">
                  <c:v>838.31740576225184</c:v>
                </c:pt>
                <c:pt idx="9">
                  <c:v>703.59670753811008</c:v>
                </c:pt>
                <c:pt idx="10">
                  <c:v>594.73591613495728</c:v>
                </c:pt>
                <c:pt idx="11">
                  <c:v>505.90940545296985</c:v>
                </c:pt>
                <c:pt idx="12">
                  <c:v>432.78193841916129</c:v>
                </c:pt>
                <c:pt idx="13">
                  <c:v>372.08774170769004</c:v>
                </c:pt>
                <c:pt idx="14">
                  <c:v>321.33835714457155</c:v>
                </c:pt>
                <c:pt idx="15">
                  <c:v>278.61711938924492</c:v>
                </c:pt>
                <c:pt idx="16">
                  <c:v>242.43273873621916</c:v>
                </c:pt>
                <c:pt idx="17">
                  <c:v>211.61375045303097</c:v>
                </c:pt>
                <c:pt idx="18">
                  <c:v>185.23157427403044</c:v>
                </c:pt>
                <c:pt idx="19">
                  <c:v>162.54383936136429</c:v>
                </c:pt>
                <c:pt idx="20">
                  <c:v>142.95222298340047</c:v>
                </c:pt>
                <c:pt idx="21">
                  <c:v>125.97079215662188</c:v>
                </c:pt>
                <c:pt idx="22">
                  <c:v>111.20202072272593</c:v>
                </c:pt>
                <c:pt idx="23">
                  <c:v>98.31846775481678</c:v>
                </c:pt>
                <c:pt idx="24">
                  <c:v>87.048668487861832</c:v>
                </c:pt>
                <c:pt idx="25">
                  <c:v>77.166185900465564</c:v>
                </c:pt>
                <c:pt idx="26">
                  <c:v>68.481052522211144</c:v>
                </c:pt>
                <c:pt idx="27">
                  <c:v>60.833033464172608</c:v>
                </c:pt>
                <c:pt idx="28">
                  <c:v>54.086287100162949</c:v>
                </c:pt>
                <c:pt idx="29">
                  <c:v>48.125105712439947</c:v>
                </c:pt>
                <c:pt idx="30">
                  <c:v>42.850496127130057</c:v>
                </c:pt>
                <c:pt idx="31">
                  <c:v>38.177417832058353</c:v>
                </c:pt>
                <c:pt idx="32">
                  <c:v>34.032538873794927</c:v>
                </c:pt>
                <c:pt idx="33">
                  <c:v>30.352401932079946</c:v>
                </c:pt>
                <c:pt idx="34">
                  <c:v>27.081917201832667</c:v>
                </c:pt>
                <c:pt idx="35">
                  <c:v>24.173117118545999</c:v>
                </c:pt>
                <c:pt idx="36">
                  <c:v>21.584122025821046</c:v>
                </c:pt>
                <c:pt idx="37">
                  <c:v>19.27827668950825</c:v>
                </c:pt>
                <c:pt idx="38">
                  <c:v>17.223425910765126</c:v>
                </c:pt>
                <c:pt idx="39">
                  <c:v>15.391303972855612</c:v>
                </c:pt>
                <c:pt idx="40">
                  <c:v>13.757017715651575</c:v>
                </c:pt>
                <c:pt idx="41">
                  <c:v>12.298606999130586</c:v>
                </c:pt>
                <c:pt idx="42">
                  <c:v>10.996669442865928</c:v>
                </c:pt>
                <c:pt idx="43">
                  <c:v>9.8340388023373855</c:v>
                </c:pt>
                <c:pt idx="44">
                  <c:v>8.7955083095288469</c:v>
                </c:pt>
                <c:pt idx="45">
                  <c:v>7.8675918755560774</c:v>
                </c:pt>
                <c:pt idx="46">
                  <c:v>7.0383173122882852</c:v>
                </c:pt>
                <c:pt idx="47">
                  <c:v>6.2970467440318103</c:v>
                </c:pt>
                <c:pt idx="48">
                  <c:v>5.6343202005228727</c:v>
                </c:pt>
                <c:pt idx="49">
                  <c:v>5.0417190486260246</c:v>
                </c:pt>
                <c:pt idx="50">
                  <c:v>4.511746463472468</c:v>
                </c:pt>
                <c:pt idx="51">
                  <c:v>4.0377225848133085</c:v>
                </c:pt>
                <c:pt idx="52">
                  <c:v>3.6136923704300639</c:v>
                </c:pt>
                <c:pt idx="53">
                  <c:v>3.2343444608218377</c:v>
                </c:pt>
                <c:pt idx="54">
                  <c:v>2.8949396202058999</c:v>
                </c:pt>
                <c:pt idx="55">
                  <c:v>2.5912475277864715</c:v>
                </c:pt>
                <c:pt idx="56">
                  <c:v>2.3194908679846877</c:v>
                </c:pt>
                <c:pt idx="57">
                  <c:v>2.0762958150701052</c:v>
                </c:pt>
                <c:pt idx="58">
                  <c:v>1.8586481313695511</c:v>
                </c:pt>
                <c:pt idx="59">
                  <c:v>1.6638542029714496</c:v>
                </c:pt>
                <c:pt idx="60">
                  <c:v>1.4895064258479835</c:v>
                </c:pt>
                <c:pt idx="61">
                  <c:v>1.3334524312291411</c:v>
                </c:pt>
                <c:pt idx="62">
                  <c:v>1.1937677040395678</c:v>
                </c:pt>
                <c:pt idx="63">
                  <c:v>1.068731204017388</c:v>
                </c:pt>
                <c:pt idx="64">
                  <c:v>0.95680364722470557</c:v>
                </c:pt>
                <c:pt idx="65">
                  <c:v>0.8566081472286593</c:v>
                </c:pt>
                <c:pt idx="66">
                  <c:v>0.76691295126981984</c:v>
                </c:pt>
                <c:pt idx="67">
                  <c:v>0.68661603806386284</c:v>
                </c:pt>
                <c:pt idx="68">
                  <c:v>0.61473137118871113</c:v>
                </c:pt>
                <c:pt idx="69">
                  <c:v>0.55037662586682212</c:v>
                </c:pt>
                <c:pt idx="70">
                  <c:v>0.49276222784339063</c:v>
                </c:pt>
                <c:pt idx="71">
                  <c:v>0.44118156139277093</c:v>
                </c:pt>
                <c:pt idx="72">
                  <c:v>0.39500221960180665</c:v>
                </c:pt>
                <c:pt idx="73">
                  <c:v>0.35365818427259826</c:v>
                </c:pt>
                <c:pt idx="74">
                  <c:v>0.31664283530803167</c:v>
                </c:pt>
                <c:pt idx="75">
                  <c:v>0.28350270050461196</c:v>
                </c:pt>
                <c:pt idx="76">
                  <c:v>0.25383186646205169</c:v>
                </c:pt>
                <c:pt idx="77">
                  <c:v>0.22726697998548478</c:v>
                </c:pt>
                <c:pt idx="78">
                  <c:v>0.20348277704045933</c:v>
                </c:pt>
                <c:pt idx="79">
                  <c:v>0.1821880831411381</c:v>
                </c:pt>
                <c:pt idx="80">
                  <c:v>0.1631222351110318</c:v>
                </c:pt>
                <c:pt idx="81">
                  <c:v>0.14605187954250295</c:v>
                </c:pt>
                <c:pt idx="82">
                  <c:v>0.13076810807426359</c:v>
                </c:pt>
                <c:pt idx="83">
                  <c:v>0.11708389387345576</c:v>
                </c:pt>
                <c:pt idx="84">
                  <c:v>0.10483179751055501</c:v>
                </c:pt>
                <c:pt idx="85">
                  <c:v>9.3861913803910138E-2</c:v>
                </c:pt>
                <c:pt idx="86">
                  <c:v>8.4040034232561317E-2</c:v>
                </c:pt>
                <c:pt idx="87">
                  <c:v>7.5246002211913243E-2</c:v>
                </c:pt>
                <c:pt idx="88">
                  <c:v>6.737224093295506E-2</c:v>
                </c:pt>
                <c:pt idx="89">
                  <c:v>6.0322435613909486E-2</c:v>
                </c:pt>
                <c:pt idx="90">
                  <c:v>5.4010353931700519E-2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56-431E-8C47-26EF71D903B2}"/>
            </c:ext>
          </c:extLst>
        </c:ser>
        <c:ser>
          <c:idx val="1"/>
          <c:order val="1"/>
          <c:tx>
            <c:strRef>
              <c:f>'Phase plot R'!$BD$7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'Phase plot R'!$BC$8:$BC$98</c:f>
              <c:numCache>
                <c:formatCode>General</c:formatCode>
                <c:ptCount val="91"/>
                <c:pt idx="0">
                  <c:v>0</c:v>
                </c:pt>
                <c:pt idx="1">
                  <c:v>5410.2359048875742</c:v>
                </c:pt>
                <c:pt idx="2">
                  <c:v>9868.0783257044313</c:v>
                </c:pt>
                <c:pt idx="3">
                  <c:v>13690.24346156978</c:v>
                </c:pt>
                <c:pt idx="4">
                  <c:v>17052.980145307669</c:v>
                </c:pt>
                <c:pt idx="5">
                  <c:v>20059.976301198807</c:v>
                </c:pt>
                <c:pt idx="6">
                  <c:v>22775.768315515714</c:v>
                </c:pt>
                <c:pt idx="7">
                  <c:v>25243.022664814827</c:v>
                </c:pt>
                <c:pt idx="8">
                  <c:v>27491.829522466294</c:v>
                </c:pt>
                <c:pt idx="9">
                  <c:v>29544.846610965134</c:v>
                </c:pt>
                <c:pt idx="10">
                  <c:v>31420.204425368294</c:v>
                </c:pt>
                <c:pt idx="11">
                  <c:v>33133.168928466097</c:v>
                </c:pt>
                <c:pt idx="12">
                  <c:v>34697.100566713736</c:v>
                </c:pt>
                <c:pt idx="13">
                  <c:v>36124.009733920313</c:v>
                </c:pt>
                <c:pt idx="14">
                  <c:v>37424.87953783921</c:v>
                </c:pt>
                <c:pt idx="15">
                  <c:v>38609.854612090341</c:v>
                </c:pt>
                <c:pt idx="16">
                  <c:v>39688.353538647651</c:v>
                </c:pt>
                <c:pt idx="17">
                  <c:v>40669.13851839913</c:v>
                </c:pt>
                <c:pt idx="18">
                  <c:v>41560.361854348477</c:v>
                </c:pt>
                <c:pt idx="19">
                  <c:v>42369.60047846887</c:v>
                </c:pt>
                <c:pt idx="20">
                  <c:v>43103.884811206924</c:v>
                </c:pt>
                <c:pt idx="21">
                  <c:v>43769.725325249849</c:v>
                </c:pt>
                <c:pt idx="22">
                  <c:v>44373.13848357767</c:v>
                </c:pt>
                <c:pt idx="23">
                  <c:v>44919.672751428501</c:v>
                </c:pt>
                <c:pt idx="24">
                  <c:v>45414.434849674035</c:v>
                </c:pt>
                <c:pt idx="25">
                  <c:v>45862.116145186366</c:v>
                </c:pt>
                <c:pt idx="26">
                  <c:v>46267.018953649545</c:v>
                </c:pt>
                <c:pt idx="27">
                  <c:v>46633.082496033407</c:v>
                </c:pt>
                <c:pt idx="28">
                  <c:v>46963.908261824683</c:v>
                </c:pt>
                <c:pt idx="29">
                  <c:v>47262.784566400354</c:v>
                </c:pt>
                <c:pt idx="30">
                  <c:v>47532.710132817723</c:v>
                </c:pt>
                <c:pt idx="31">
                  <c:v>47776.416572028582</c:v>
                </c:pt>
                <c:pt idx="32">
                  <c:v>47996.389676018342</c:v>
                </c:pt>
                <c:pt idx="33">
                  <c:v>48194.88947373697</c:v>
                </c:pt>
                <c:pt idx="34">
                  <c:v>48373.969029316831</c:v>
                </c:pt>
                <c:pt idx="35">
                  <c:v>48535.491986064873</c:v>
                </c:pt>
                <c:pt idx="36">
                  <c:v>48681.148878543434</c:v>
                </c:pt>
                <c:pt idx="37">
                  <c:v>48812.472249349135</c:v>
                </c:pt>
                <c:pt idx="38">
                  <c:v>48930.850617637938</c:v>
                </c:pt>
                <c:pt idx="39">
                  <c:v>49037.541353679757</c:v>
                </c:pt>
                <c:pt idx="40">
                  <c:v>49133.682518352391</c:v>
                </c:pt>
                <c:pt idx="41">
                  <c:v>49220.303729025123</c:v>
                </c:pt>
                <c:pt idx="42">
                  <c:v>49298.336114186008</c:v>
                </c:pt>
                <c:pt idx="43">
                  <c:v>49368.621418809606</c:v>
                </c:pt>
                <c:pt idx="44">
                  <c:v>49431.920321156744</c:v>
                </c:pt>
                <c:pt idx="45">
                  <c:v>49488.920019698635</c:v>
                </c:pt>
                <c:pt idx="46">
                  <c:v>49540.241146370397</c:v>
                </c:pt>
                <c:pt idx="47">
                  <c:v>49586.444059547553</c:v>
                </c:pt>
                <c:pt idx="48">
                  <c:v>49628.034567132294</c:v>
                </c:pt>
                <c:pt idx="49">
                  <c:v>49665.469127034841</c:v>
                </c:pt>
                <c:pt idx="50">
                  <c:v>49699.159569216019</c:v>
                </c:pt>
                <c:pt idx="51">
                  <c:v>49729.477380377743</c:v>
                </c:pt>
                <c:pt idx="52">
                  <c:v>49756.757589391542</c:v>
                </c:pt>
                <c:pt idx="53">
                  <c:v>49781.302288671344</c:v>
                </c:pt>
                <c:pt idx="54">
                  <c:v>49803.383823946613</c:v>
                </c:pt>
                <c:pt idx="55">
                  <c:v>49823.247682288173</c:v>
                </c:pt>
                <c:pt idx="56">
                  <c:v>49841.115105789489</c:v>
                </c:pt>
                <c:pt idx="57">
                  <c:v>49857.185456012739</c:v>
                </c:pt>
                <c:pt idx="58">
                  <c:v>49871.638352171838</c:v>
                </c:pt>
                <c:pt idx="59">
                  <c:v>49884.635604039679</c:v>
                </c:pt>
                <c:pt idx="60">
                  <c:v>49896.322958729834</c:v>
                </c:pt>
                <c:pt idx="61">
                  <c:v>49906.831678807219</c:v>
                </c:pt>
                <c:pt idx="62">
                  <c:v>49916.279967620583</c:v>
                </c:pt>
                <c:pt idx="63">
                  <c:v>49924.774256314959</c:v>
                </c:pt>
                <c:pt idx="64">
                  <c:v>49932.41036566611</c:v>
                </c:pt>
                <c:pt idx="65">
                  <c:v>49939.274554673997</c:v>
                </c:pt>
                <c:pt idx="66">
                  <c:v>49945.444466750349</c:v>
                </c:pt>
                <c:pt idx="67">
                  <c:v>49950.989983329506</c:v>
                </c:pt>
                <c:pt idx="68">
                  <c:v>49955.973993813808</c:v>
                </c:pt>
                <c:pt idx="69">
                  <c:v>49960.453089928793</c:v>
                </c:pt>
                <c:pt idx="70">
                  <c:v>49964.478191802351</c:v>
                </c:pt>
                <c:pt idx="71">
                  <c:v>49968.095112389659</c:v>
                </c:pt>
                <c:pt idx="72">
                  <c:v>49971.345066236747</c:v>
                </c:pt>
                <c:pt idx="73">
                  <c:v>49974.265128004023</c:v>
                </c:pt>
                <c:pt idx="74">
                  <c:v>49976.888645652645</c:v>
                </c:pt>
                <c:pt idx="75">
                  <c:v>49979.245612726256</c:v>
                </c:pt>
                <c:pt idx="76">
                  <c:v>49981.363003734019</c:v>
                </c:pt>
                <c:pt idx="77">
                  <c:v>49983.265076254691</c:v>
                </c:pt>
                <c:pt idx="78">
                  <c:v>49984.973643031277</c:v>
                </c:pt>
                <c:pt idx="79">
                  <c:v>49986.508317008993</c:v>
                </c:pt>
                <c:pt idx="80">
                  <c:v>49987.88673198258</c:v>
                </c:pt>
                <c:pt idx="81">
                  <c:v>49989.124741259373</c:v>
                </c:pt>
                <c:pt idx="82">
                  <c:v>49990.236596510033</c:v>
                </c:pt>
                <c:pt idx="83">
                  <c:v>49991.235108766639</c:v>
                </c:pt>
                <c:pt idx="84">
                  <c:v>49992.131793336092</c:v>
                </c:pt>
                <c:pt idx="85">
                  <c:v>49992.937000223465</c:v>
                </c:pt>
                <c:pt idx="86">
                  <c:v>49993.660031503503</c:v>
                </c:pt>
                <c:pt idx="87">
                  <c:v>49994.309246936973</c:v>
                </c:pt>
                <c:pt idx="88">
                  <c:v>49994.892159001036</c:v>
                </c:pt>
                <c:pt idx="89">
                  <c:v>49995.415518387461</c:v>
                </c:pt>
                <c:pt idx="90">
                  <c:v>49995.885390918556</c:v>
                </c:pt>
              </c:numCache>
            </c:numRef>
          </c:xVal>
          <c:yVal>
            <c:numRef>
              <c:f>'Phase plot R'!$BD$8:$BD$98</c:f>
              <c:numCache>
                <c:formatCode>General</c:formatCode>
                <c:ptCount val="91"/>
                <c:pt idx="0">
                  <c:v>38476</c:v>
                </c:pt>
                <c:pt idx="1">
                  <c:v>29246.04278860355</c:v>
                </c:pt>
                <c:pt idx="2">
                  <c:v>22592.858457637998</c:v>
                </c:pt>
                <c:pt idx="3">
                  <c:v>17697.129428448723</c:v>
                </c:pt>
                <c:pt idx="4">
                  <c:v>14032.64382709171</c:v>
                </c:pt>
                <c:pt idx="5">
                  <c:v>11249.275071702254</c:v>
                </c:pt>
                <c:pt idx="6">
                  <c:v>9107.613913456009</c:v>
                </c:pt>
                <c:pt idx="7">
                  <c:v>7440.3621668309634</c:v>
                </c:pt>
                <c:pt idx="8">
                  <c:v>6128.500995698776</c:v>
                </c:pt>
                <c:pt idx="9">
                  <c:v>5086.0579476572957</c:v>
                </c:pt>
                <c:pt idx="10">
                  <c:v>4250.0968138495455</c:v>
                </c:pt>
                <c:pt idx="11">
                  <c:v>3573.9904949988918</c:v>
                </c:pt>
                <c:pt idx="12">
                  <c:v>3022.8154277203757</c:v>
                </c:pt>
                <c:pt idx="13">
                  <c:v>2570.1483814695507</c:v>
                </c:pt>
                <c:pt idx="14">
                  <c:v>2195.8078612361132</c:v>
                </c:pt>
                <c:pt idx="15">
                  <c:v>1884.2420492603023</c:v>
                </c:pt>
                <c:pt idx="16">
                  <c:v>1623.3654728281963</c:v>
                </c:pt>
                <c:pt idx="17">
                  <c:v>1403.7109701109284</c:v>
                </c:pt>
                <c:pt idx="18">
                  <c:v>1217.8056763043967</c:v>
                </c:pt>
                <c:pt idx="19">
                  <c:v>1059.7078031718499</c:v>
                </c:pt>
                <c:pt idx="20">
                  <c:v>924.65992117034409</c:v>
                </c:pt>
                <c:pt idx="21">
                  <c:v>808.82739870265084</c:v>
                </c:pt>
                <c:pt idx="22">
                  <c:v>709.09960379175288</c:v>
                </c:pt>
                <c:pt idx="23">
                  <c:v>622.93772646793911</c:v>
                </c:pt>
                <c:pt idx="24">
                  <c:v>548.2574902665142</c:v>
                </c:pt>
                <c:pt idx="25">
                  <c:v>483.33815928514076</c:v>
                </c:pt>
                <c:pt idx="26">
                  <c:v>426.75149882096565</c:v>
                </c:pt>
                <c:pt idx="27">
                  <c:v>377.30597588379237</c:v>
                </c:pt>
                <c:pt idx="28">
                  <c:v>334.00267224036827</c:v>
                </c:pt>
                <c:pt idx="29">
                  <c:v>296.00025320533143</c:v>
                </c:pt>
                <c:pt idx="30">
                  <c:v>262.58697858735468</c:v>
                </c:pt>
                <c:pt idx="31">
                  <c:v>233.1582205200171</c:v>
                </c:pt>
                <c:pt idx="32">
                  <c:v>207.19831085397084</c:v>
                </c:pt>
                <c:pt idx="33">
                  <c:v>184.26581027032228</c:v>
                </c:pt>
                <c:pt idx="34">
                  <c:v>163.98149533499731</c:v>
                </c:pt>
                <c:pt idx="35">
                  <c:v>146.01851509539318</c:v>
                </c:pt>
                <c:pt idx="36">
                  <c:v>130.09428777100118</c:v>
                </c:pt>
                <c:pt idx="37">
                  <c:v>115.96379962100116</c:v>
                </c:pt>
                <c:pt idx="38">
                  <c:v>103.414038854707</c:v>
                </c:pt>
                <c:pt idx="39">
                  <c:v>92.259352450787148</c:v>
                </c:pt>
                <c:pt idx="40">
                  <c:v>82.337556685111579</c:v>
                </c:pt>
                <c:pt idx="41">
                  <c:v>73.506665831578729</c:v>
                </c:pt>
                <c:pt idx="42">
                  <c:v>65.642130010556741</c:v>
                </c:pt>
                <c:pt idx="43">
                  <c:v>58.634494123320017</c:v>
                </c:pt>
                <c:pt idx="44">
                  <c:v>52.387406455846836</c:v>
                </c:pt>
                <c:pt idx="45">
                  <c:v>46.815918803515054</c:v>
                </c:pt>
                <c:pt idx="46">
                  <c:v>41.845030585451823</c:v>
                </c:pt>
                <c:pt idx="47">
                  <c:v>37.408437945291929</c:v>
                </c:pt>
                <c:pt idx="48">
                  <c:v>33.447455710374378</c:v>
                </c:pt>
                <c:pt idx="49">
                  <c:v>29.910085644480301</c:v>
                </c:pt>
                <c:pt idx="50">
                  <c:v>26.750208946745659</c:v>
                </c:pt>
                <c:pt idx="51">
                  <c:v>23.926884630951875</c:v>
                </c:pt>
                <c:pt idx="52">
                  <c:v>21.403738430309101</c:v>
                </c:pt>
                <c:pt idx="53">
                  <c:v>19.14842934392567</c:v>
                </c:pt>
                <c:pt idx="54">
                  <c:v>17.132182976281502</c:v>
                </c:pt>
                <c:pt idx="55">
                  <c:v>15.329382502940863</c:v>
                </c:pt>
                <c:pt idx="56">
                  <c:v>13.717209490571284</c:v>
                </c:pt>
                <c:pt idx="57">
                  <c:v>12.27532796007594</c:v>
                </c:pt>
                <c:pt idx="58">
                  <c:v>10.98560605089955</c:v>
                </c:pt>
                <c:pt idx="59">
                  <c:v>9.8318704566816617</c:v>
                </c:pt>
                <c:pt idx="60">
                  <c:v>8.7996894851812257</c:v>
                </c:pt>
                <c:pt idx="61">
                  <c:v>7.8761811713067189</c:v>
                </c:pt>
                <c:pt idx="62">
                  <c:v>7.0498433594751821</c:v>
                </c:pt>
                <c:pt idx="63">
                  <c:v>6.3104030853326263</c:v>
                </c:pt>
                <c:pt idx="64">
                  <c:v>5.6486829393189062</c:v>
                </c:pt>
                <c:pt idx="65">
                  <c:v>5.0564823956786444</c:v>
                </c:pt>
                <c:pt idx="66">
                  <c:v>4.526472348555429</c:v>
                </c:pt>
                <c:pt idx="67">
                  <c:v>4.0521013185667512</c:v>
                </c:pt>
                <c:pt idx="68">
                  <c:v>3.6275119843762513</c:v>
                </c:pt>
                <c:pt idx="69">
                  <c:v>3.2474668589353257</c:v>
                </c:pt>
                <c:pt idx="70">
                  <c:v>2.9072820731528148</c:v>
                </c:pt>
                <c:pt idx="71">
                  <c:v>2.6027683540226541</c:v>
                </c:pt>
                <c:pt idx="72">
                  <c:v>2.330178392420553</c:v>
                </c:pt>
                <c:pt idx="73">
                  <c:v>2.086159890162715</c:v>
                </c:pt>
                <c:pt idx="74">
                  <c:v>1.8677136584333041</c:v>
                </c:pt>
                <c:pt idx="75">
                  <c:v>1.6721562119657989</c:v>
                </c:pt>
                <c:pt idx="76">
                  <c:v>1.4970863667915333</c:v>
                </c:pt>
                <c:pt idx="77">
                  <c:v>1.3403554051249964</c:v>
                </c:pt>
                <c:pt idx="78">
                  <c:v>1.2000404200453036</c:v>
                </c:pt>
                <c:pt idx="79">
                  <c:v>1.0744204959171559</c:v>
                </c:pt>
                <c:pt idx="80">
                  <c:v>0.96195541871105061</c:v>
                </c:pt>
                <c:pt idx="81">
                  <c:v>0.86126664416705179</c:v>
                </c:pt>
                <c:pt idx="82">
                  <c:v>0.77112028164749247</c:v>
                </c:pt>
                <c:pt idx="83">
                  <c:v>0.69041187801602277</c:v>
                </c:pt>
                <c:pt idx="84">
                  <c:v>0.61815280937493211</c:v>
                </c:pt>
                <c:pt idx="85">
                  <c:v>0.55345810934737483</c:v>
                </c:pt>
                <c:pt idx="86">
                  <c:v>0.49553558111769525</c:v>
                </c:pt>
                <c:pt idx="87">
                  <c:v>0.44367605691360312</c:v>
                </c:pt>
                <c:pt idx="88">
                  <c:v>0.39724468326658369</c:v>
                </c:pt>
                <c:pt idx="89">
                  <c:v>0.35567312343031965</c:v>
                </c:pt>
                <c:pt idx="90">
                  <c:v>0.3184525799542971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56-431E-8C47-26EF71D903B2}"/>
            </c:ext>
          </c:extLst>
        </c:ser>
        <c:ser>
          <c:idx val="2"/>
          <c:order val="2"/>
          <c:tx>
            <c:strRef>
              <c:f>'Phase plot R'!$BJ$7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'Phase plot R'!$BI$8:$BI$98</c:f>
              <c:numCache>
                <c:formatCode>General</c:formatCode>
                <c:ptCount val="91"/>
                <c:pt idx="0">
                  <c:v>9471</c:v>
                </c:pt>
                <c:pt idx="1">
                  <c:v>12794.250757723334</c:v>
                </c:pt>
                <c:pt idx="2">
                  <c:v>15731.519239236117</c:v>
                </c:pt>
                <c:pt idx="3">
                  <c:v>18399.370466576591</c:v>
                </c:pt>
                <c:pt idx="4">
                  <c:v>20860.016659659555</c:v>
                </c:pt>
                <c:pt idx="5">
                  <c:v>23147.631528142363</c:v>
                </c:pt>
                <c:pt idx="6">
                  <c:v>25281.734559168606</c:v>
                </c:pt>
                <c:pt idx="7">
                  <c:v>27274.237339860232</c:v>
                </c:pt>
                <c:pt idx="8">
                  <c:v>29133.224929165546</c:v>
                </c:pt>
                <c:pt idx="9">
                  <c:v>30864.989166996744</c:v>
                </c:pt>
                <c:pt idx="10">
                  <c:v>32475.100992326057</c:v>
                </c:pt>
                <c:pt idx="11">
                  <c:v>33968.947275373648</c:v>
                </c:pt>
                <c:pt idx="12">
                  <c:v>35351.969519297425</c:v>
                </c:pt>
                <c:pt idx="13">
                  <c:v>36629.739664339504</c:v>
                </c:pt>
                <c:pt idx="14">
                  <c:v>37807.950868285086</c:v>
                </c:pt>
                <c:pt idx="15">
                  <c:v>38892.368076229504</c:v>
                </c:pt>
                <c:pt idx="16">
                  <c:v>39888.763802120222</c:v>
                </c:pt>
                <c:pt idx="17">
                  <c:v>40802.853069335841</c:v>
                </c:pt>
                <c:pt idx="18">
                  <c:v>41640.234665356387</c:v>
                </c:pt>
                <c:pt idx="19">
                  <c:v>42406.341884650392</c:v>
                </c:pt>
                <c:pt idx="20">
                  <c:v>43106.403653824025</c:v>
                </c:pt>
                <c:pt idx="21">
                  <c:v>43745.415683041254</c:v>
                </c:pt>
                <c:pt idx="22">
                  <c:v>44328.12065748898</c:v>
                </c:pt>
                <c:pt idx="23">
                  <c:v>44858.996219611436</c:v>
                </c:pt>
                <c:pt idx="24">
                  <c:v>45342.249441175496</c:v>
                </c:pt>
                <c:pt idx="25">
                  <c:v>45781.816548248848</c:v>
                </c:pt>
                <c:pt idx="26">
                  <c:v>46181.366783698279</c:v>
                </c:pt>
                <c:pt idx="27">
                  <c:v>46544.309436147632</c:v>
                </c:pt>
                <c:pt idx="28">
                  <c:v>46873.803211434453</c:v>
                </c:pt>
                <c:pt idx="29">
                  <c:v>47172.767261517256</c:v>
                </c:pt>
                <c:pt idx="30">
                  <c:v>47443.893311119653</c:v>
                </c:pt>
                <c:pt idx="31">
                  <c:v>47689.658432093369</c:v>
                </c:pt>
                <c:pt idx="32">
                  <c:v>47912.338109408825</c:v>
                </c:pt>
                <c:pt idx="33">
                  <c:v>48114.019321764274</c:v>
                </c:pt>
                <c:pt idx="34">
                  <c:v>48296.613425482799</c:v>
                </c:pt>
                <c:pt idx="35">
                  <c:v>48461.868684274858</c:v>
                </c:pt>
                <c:pt idx="36">
                  <c:v>48611.382331220637</c:v>
                </c:pt>
                <c:pt idx="37">
                  <c:v>48746.612084512257</c:v>
                </c:pt>
                <c:pt idx="38">
                  <c:v>48868.887066483119</c:v>
                </c:pt>
                <c:pt idx="39">
                  <c:v>48979.418097465772</c:v>
                </c:pt>
                <c:pt idx="40">
                  <c:v>49079.307353119482</c:v>
                </c:pt>
                <c:pt idx="41">
                  <c:v>49169.557386955683</c:v>
                </c:pt>
                <c:pt idx="42">
                  <c:v>49251.079529623043</c:v>
                </c:pt>
                <c:pt idx="43">
                  <c:v>49324.701683728461</c:v>
                </c:pt>
                <c:pt idx="44">
                  <c:v>49391.175538091607</c:v>
                </c:pt>
                <c:pt idx="45">
                  <c:v>49451.183228791786</c:v>
                </c:pt>
                <c:pt idx="46">
                  <c:v>49505.343476521761</c:v>
                </c:pt>
                <c:pt idx="47">
                  <c:v>49554.217230902832</c:v>
                </c:pt>
                <c:pt idx="48">
                  <c:v>49598.31285277343</c:v>
                </c:pt>
                <c:pt idx="49">
                  <c:v>49638.090865228762</c:v>
                </c:pt>
                <c:pt idx="50">
                  <c:v>49673.968303513691</c:v>
                </c:pt>
                <c:pt idx="51">
                  <c:v>49706.322692875925</c:v>
                </c:pt>
                <c:pt idx="52">
                  <c:v>49735.495682267931</c:v>
                </c:pt>
                <c:pt idx="53">
                  <c:v>49761.796360419787</c:v>
                </c:pt>
                <c:pt idx="54">
                  <c:v>49785.504279350083</c:v>
                </c:pt>
                <c:pt idx="55">
                  <c:v>49806.872208884066</c:v>
                </c:pt>
                <c:pt idx="56">
                  <c:v>49826.12864424273</c:v>
                </c:pt>
                <c:pt idx="57">
                  <c:v>49843.480087279109</c:v>
                </c:pt>
                <c:pt idx="58">
                  <c:v>49859.113120488866</c:v>
                </c:pt>
                <c:pt idx="59">
                  <c:v>49873.196291524793</c:v>
                </c:pt>
                <c:pt idx="60">
                  <c:v>49885.881824608921</c:v>
                </c:pt>
                <c:pt idx="61">
                  <c:v>49897.307173967725</c:v>
                </c:pt>
                <c:pt idx="62">
                  <c:v>49907.59643321886</c:v>
                </c:pt>
                <c:pt idx="63">
                  <c:v>49916.86161351372</c:v>
                </c:pt>
                <c:pt idx="64">
                  <c:v>49925.203802188655</c:v>
                </c:pt>
                <c:pt idx="65">
                  <c:v>49932.714212697763</c:v>
                </c:pt>
                <c:pt idx="66">
                  <c:v>49939.47513568982</c:v>
                </c:pt>
                <c:pt idx="67">
                  <c:v>49945.560800248328</c:v>
                </c:pt>
                <c:pt idx="68">
                  <c:v>49951.038153533977</c:v>
                </c:pt>
                <c:pt idx="69">
                  <c:v>49955.967566349551</c:v>
                </c:pt>
                <c:pt idx="70">
                  <c:v>49960.403471485035</c:v>
                </c:pt>
                <c:pt idx="71">
                  <c:v>49964.394941091887</c:v>
                </c:pt>
                <c:pt idx="72">
                  <c:v>49967.986208776776</c:v>
                </c:pt>
                <c:pt idx="73">
                  <c:v>49971.217141592839</c:v>
                </c:pt>
                <c:pt idx="74">
                  <c:v>49974.123666637563</c:v>
                </c:pt>
                <c:pt idx="75">
                  <c:v>49976.738156537598</c:v>
                </c:pt>
                <c:pt idx="76">
                  <c:v>49979.089777708876</c:v>
                </c:pt>
                <c:pt idx="77">
                  <c:v>49981.204804922832</c:v>
                </c:pt>
                <c:pt idx="78">
                  <c:v>49983.106905383225</c:v>
                </c:pt>
                <c:pt idx="79">
                  <c:v>49984.817395220722</c:v>
                </c:pt>
                <c:pt idx="80">
                  <c:v>49986.355471041665</c:v>
                </c:pt>
                <c:pt idx="81">
                  <c:v>49987.738418920926</c:v>
                </c:pt>
                <c:pt idx="82">
                  <c:v>49988.981803004564</c:v>
                </c:pt>
                <c:pt idx="83">
                  <c:v>49990.09963568423</c:v>
                </c:pt>
                <c:pt idx="84">
                  <c:v>49991.10453111997</c:v>
                </c:pt>
                <c:pt idx="85">
                  <c:v>49992.007843719992</c:v>
                </c:pt>
                <c:pt idx="86">
                  <c:v>49992.819793033152</c:v>
                </c:pt>
                <c:pt idx="87">
                  <c:v>49993.549576371464</c:v>
                </c:pt>
                <c:pt idx="88">
                  <c:v>49994.205470354151</c:v>
                </c:pt>
                <c:pt idx="89">
                  <c:v>49994.794922450899</c:v>
                </c:pt>
                <c:pt idx="90">
                  <c:v>49995.324633498632</c:v>
                </c:pt>
              </c:numCache>
            </c:numRef>
          </c:xVal>
          <c:yVal>
            <c:numRef>
              <c:f>'Phase plot R'!$BJ$8:$BJ$98</c:f>
              <c:numCache>
                <c:formatCode>General</c:formatCode>
                <c:ptCount val="91"/>
                <c:pt idx="0">
                  <c:v>40529</c:v>
                </c:pt>
                <c:pt idx="1">
                  <c:v>31671.933763589601</c:v>
                </c:pt>
                <c:pt idx="2">
                  <c:v>25013.711897331214</c:v>
                </c:pt>
                <c:pt idx="3">
                  <c:v>19945.719202688007</c:v>
                </c:pt>
                <c:pt idx="4">
                  <c:v>16046.002598178598</c:v>
                </c:pt>
                <c:pt idx="5">
                  <c:v>13015.614290302719</c:v>
                </c:pt>
                <c:pt idx="6">
                  <c:v>10639.234084521906</c:v>
                </c:pt>
                <c:pt idx="7">
                  <c:v>8759.7148240135393</c:v>
                </c:pt>
                <c:pt idx="8">
                  <c:v>7261.0844389270987</c:v>
                </c:pt>
                <c:pt idx="9">
                  <c:v>6056.9179889278985</c:v>
                </c:pt>
                <c:pt idx="10">
                  <c:v>5082.2361990501176</c:v>
                </c:pt>
                <c:pt idx="11">
                  <c:v>4287.7791749113867</c:v>
                </c:pt>
                <c:pt idx="12">
                  <c:v>3635.9110264677633</c:v>
                </c:pt>
                <c:pt idx="13">
                  <c:v>3097.661398640254</c:v>
                </c:pt>
                <c:pt idx="14">
                  <c:v>2650.5693022014311</c:v>
                </c:pt>
                <c:pt idx="15">
                  <c:v>2277.0989756571244</c:v>
                </c:pt>
                <c:pt idx="16">
                  <c:v>1963.4672735920351</c:v>
                </c:pt>
                <c:pt idx="17">
                  <c:v>1698.7695092089366</c:v>
                </c:pt>
                <c:pt idx="18">
                  <c:v>1474.3233613857656</c:v>
                </c:pt>
                <c:pt idx="19">
                  <c:v>1283.1732257601868</c:v>
                </c:pt>
                <c:pt idx="20">
                  <c:v>1119.7134017305909</c:v>
                </c:pt>
                <c:pt idx="21">
                  <c:v>979.39986120584012</c:v>
                </c:pt>
                <c:pt idx="22">
                  <c:v>858.52845593855807</c:v>
                </c:pt>
                <c:pt idx="23">
                  <c:v>754.06325467020838</c:v>
                </c:pt>
                <c:pt idx="24">
                  <c:v>663.50292542710827</c:v>
                </c:pt>
                <c:pt idx="25">
                  <c:v>584.77615556564399</c:v>
                </c:pt>
                <c:pt idx="26">
                  <c:v>516.15935735246001</c:v>
                </c:pt>
                <c:pt idx="27">
                  <c:v>456.21156917162006</c:v>
                </c:pt>
                <c:pt idx="28">
                  <c:v>403.72269465068268</c:v>
                </c:pt>
                <c:pt idx="29">
                  <c:v>357.67214039863086</c:v>
                </c:pt>
                <c:pt idx="30">
                  <c:v>317.19560123767582</c:v>
                </c:pt>
                <c:pt idx="31">
                  <c:v>281.55826019634702</c:v>
                </c:pt>
                <c:pt idx="32">
                  <c:v>250.13306300743199</c:v>
                </c:pt>
                <c:pt idx="33">
                  <c:v>222.38302548567043</c:v>
                </c:pt>
                <c:pt idx="34">
                  <c:v>197.84676049109993</c:v>
                </c:pt>
                <c:pt idx="35">
                  <c:v>176.12658659106097</c:v>
                </c:pt>
                <c:pt idx="36">
                  <c:v>156.87871590552831</c:v>
                </c:pt>
                <c:pt idx="37">
                  <c:v>139.80512356310831</c:v>
                </c:pt>
                <c:pt idx="38">
                  <c:v>124.64678290340999</c:v>
                </c:pt>
                <c:pt idx="39">
                  <c:v>111.17801444935756</c:v>
                </c:pt>
                <c:pt idx="40">
                  <c:v>99.201746832899971</c:v>
                </c:pt>
                <c:pt idx="41">
                  <c:v>88.545527397178176</c:v>
                </c:pt>
                <c:pt idx="42">
                  <c:v>79.058151487774325</c:v>
                </c:pt>
                <c:pt idx="43">
                  <c:v>70.606804300736428</c:v>
                </c:pt>
                <c:pt idx="44">
                  <c:v>63.074628972133411</c:v>
                </c:pt>
                <c:pt idx="45">
                  <c:v>56.358650451459667</c:v>
                </c:pt>
                <c:pt idx="46">
                  <c:v>50.367997435504336</c:v>
                </c:pt>
                <c:pt idx="47">
                  <c:v>45.022374901181728</c:v>
                </c:pt>
                <c:pt idx="48">
                  <c:v>40.250748073735679</c:v>
                </c:pt>
                <c:pt idx="49">
                  <c:v>35.990205399311201</c:v>
                </c:pt>
                <c:pt idx="50">
                  <c:v>32.184973571747278</c:v>
                </c:pt>
                <c:pt idx="51">
                  <c:v>28.785562140145924</c:v>
                </c:pt>
                <c:pt idx="52">
                  <c:v>25.748018892371608</c:v>
                </c:pt>
                <c:pt idx="53">
                  <c:v>23.033280225890049</c:v>
                </c:pt>
                <c:pt idx="54">
                  <c:v>20.606603205388723</c:v>
                </c:pt>
                <c:pt idx="55">
                  <c:v>18.437068065641366</c:v>
                </c:pt>
                <c:pt idx="56">
                  <c:v>16.497141627610901</c:v>
                </c:pt>
                <c:pt idx="57">
                  <c:v>14.762293519759744</c:v>
                </c:pt>
                <c:pt idx="58">
                  <c:v>13.210658286490292</c:v>
                </c:pt>
                <c:pt idx="59">
                  <c:v>11.822737463232784</c:v>
                </c:pt>
                <c:pt idx="60">
                  <c:v>10.581136536702392</c:v>
                </c:pt>
                <c:pt idx="61">
                  <c:v>9.4703324167098621</c:v>
                </c:pt>
                <c:pt idx="62">
                  <c:v>8.476467644999639</c:v>
                </c:pt>
                <c:pt idx="63">
                  <c:v>7.5871680751858506</c:v>
                </c:pt>
                <c:pt idx="64">
                  <c:v>6.7913811909386759</c:v>
                </c:pt>
                <c:pt idx="65">
                  <c:v>6.0792325994483107</c:v>
                </c:pt>
                <c:pt idx="66">
                  <c:v>5.4418985540010949</c:v>
                </c:pt>
                <c:pt idx="67">
                  <c:v>4.8714926316197502</c:v>
                </c:pt>
                <c:pt idx="68">
                  <c:v>4.3609649260880223</c:v>
                </c:pt>
                <c:pt idx="69">
                  <c:v>3.904012319066255</c:v>
                </c:pt>
                <c:pt idx="70">
                  <c:v>3.4949985672137562</c:v>
                </c:pt>
                <c:pt idx="71">
                  <c:v>3.1288830952817972</c:v>
                </c:pt>
                <c:pt idx="72">
                  <c:v>2.801157517392991</c:v>
                </c:pt>
                <c:pt idx="73">
                  <c:v>2.5077890240073346</c:v>
                </c:pt>
                <c:pt idx="74">
                  <c:v>2.2451698727769047</c:v>
                </c:pt>
                <c:pt idx="75">
                  <c:v>2.0100723096261746</c:v>
                </c:pt>
                <c:pt idx="76">
                  <c:v>1.7996083236726534</c:v>
                </c:pt>
                <c:pt idx="77">
                  <c:v>1.611193707476781</c:v>
                </c:pt>
                <c:pt idx="78">
                  <c:v>1.4425159538205701</c:v>
                </c:pt>
                <c:pt idx="79">
                  <c:v>1.2915055728216174</c:v>
                </c:pt>
                <c:pt idx="80">
                  <c:v>1.1563104596021623</c:v>
                </c:pt>
                <c:pt idx="81">
                  <c:v>1.03527298373372</c:v>
                </c:pt>
                <c:pt idx="82">
                  <c:v>0.9269095079405919</c:v>
                </c:pt>
                <c:pt idx="83">
                  <c:v>0.82989207565290757</c:v>
                </c:pt>
                <c:pt idx="84">
                  <c:v>0.74303203545661034</c:v>
                </c:pt>
                <c:pt idx="85">
                  <c:v>0.66526539573239507</c:v>
                </c:pt>
                <c:pt idx="86">
                  <c:v>0.59563972518963704</c:v>
                </c:pt>
                <c:pt idx="87">
                  <c:v>0.5333024349176797</c:v>
                </c:pt>
                <c:pt idx="88">
                  <c:v>0.47749029528637643</c:v>
                </c:pt>
                <c:pt idx="89">
                  <c:v>0.42752005678526001</c:v>
                </c:pt>
                <c:pt idx="90">
                  <c:v>0.38278005791960201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56-431E-8C47-26EF71D903B2}"/>
            </c:ext>
          </c:extLst>
        </c:ser>
        <c:ser>
          <c:idx val="3"/>
          <c:order val="3"/>
          <c:tx>
            <c:strRef>
              <c:f>'Phase plot R'!$BG$7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R'!$BF$8:$BF$98</c:f>
              <c:numCache>
                <c:formatCode>General</c:formatCode>
                <c:ptCount val="91"/>
                <c:pt idx="0">
                  <c:v>0</c:v>
                </c:pt>
                <c:pt idx="1">
                  <c:v>5727.1690685147933</c:v>
                </c:pt>
                <c:pt idx="2">
                  <c:v>10780.375352159394</c:v>
                </c:pt>
                <c:pt idx="3">
                  <c:v>15246.428430063543</c:v>
                </c:pt>
                <c:pt idx="4">
                  <c:v>19197.844052330162</c:v>
                </c:pt>
                <c:pt idx="5">
                  <c:v>22696.409528014014</c:v>
                </c:pt>
                <c:pt idx="6">
                  <c:v>25795.473957584389</c:v>
                </c:pt>
                <c:pt idx="7">
                  <c:v>28541.508782223435</c:v>
                </c:pt>
                <c:pt idx="8">
                  <c:v>30975.232391308586</c:v>
                </c:pt>
                <c:pt idx="9">
                  <c:v>33132.461870201172</c:v>
                </c:pt>
                <c:pt idx="10">
                  <c:v>35044.785307039492</c:v>
                </c:pt>
                <c:pt idx="11">
                  <c:v>36740.109981352412</c:v>
                </c:pt>
                <c:pt idx="12">
                  <c:v>38243.120404023211</c:v>
                </c:pt>
                <c:pt idx="13">
                  <c:v>39575.66790811791</c:v>
                </c:pt>
                <c:pt idx="14">
                  <c:v>40757.106254171806</c:v>
                </c:pt>
                <c:pt idx="15">
                  <c:v>41804.583325422631</c:v>
                </c:pt>
                <c:pt idx="16">
                  <c:v>42733.296244410303</c:v>
                </c:pt>
                <c:pt idx="17">
                  <c:v>43556.715467229165</c:v>
                </c:pt>
                <c:pt idx="18">
                  <c:v>44286.782220214023</c:v>
                </c:pt>
                <c:pt idx="19">
                  <c:v>44934.082812283021</c:v>
                </c:pt>
                <c:pt idx="20">
                  <c:v>45508.002752469329</c:v>
                </c:pt>
                <c:pt idx="21">
                  <c:v>46016.86314699598</c:v>
                </c:pt>
                <c:pt idx="22">
                  <c:v>46468.041495022269</c:v>
                </c:pt>
                <c:pt idx="23">
                  <c:v>46868.078716600539</c:v>
                </c:pt>
                <c:pt idx="24">
                  <c:v>47222.774011078676</c:v>
                </c:pt>
                <c:pt idx="25">
                  <c:v>47537.268946504148</c:v>
                </c:pt>
                <c:pt idx="26">
                  <c:v>47816.122012010215</c:v>
                </c:pt>
                <c:pt idx="27">
                  <c:v>48063.37471978354</c:v>
                </c:pt>
                <c:pt idx="28">
                  <c:v>48282.610216788722</c:v>
                </c:pt>
                <c:pt idx="29">
                  <c:v>48477.00525582111</c:v>
                </c:pt>
                <c:pt idx="30">
                  <c:v>48649.376278272721</c:v>
                </c:pt>
                <c:pt idx="31">
                  <c:v>48802.220275334483</c:v>
                </c:pt>
                <c:pt idx="32">
                  <c:v>48937.751018688163</c:v>
                </c:pt>
                <c:pt idx="33">
                  <c:v>49057.931184795685</c:v>
                </c:pt>
                <c:pt idx="34">
                  <c:v>49164.500837603257</c:v>
                </c:pt>
                <c:pt idx="35">
                  <c:v>49259.002681929756</c:v>
                </c:pt>
                <c:pt idx="36">
                  <c:v>49342.804453214441</c:v>
                </c:pt>
                <c:pt idx="37">
                  <c:v>49417.118767971588</c:v>
                </c:pt>
                <c:pt idx="38">
                  <c:v>49483.020722636815</c:v>
                </c:pt>
                <c:pt idx="39">
                  <c:v>49541.4634959627</c:v>
                </c:pt>
                <c:pt idx="40">
                  <c:v>49593.292181262157</c:v>
                </c:pt>
                <c:pt idx="41">
                  <c:v>49639.256049193384</c:v>
                </c:pt>
                <c:pt idx="42">
                  <c:v>49680.019419064301</c:v>
                </c:pt>
                <c:pt idx="43">
                  <c:v>49716.171296481778</c:v>
                </c:pt>
                <c:pt idx="44">
                  <c:v>49748.233917294107</c:v>
                </c:pt>
                <c:pt idx="45">
                  <c:v>49776.670321917612</c:v>
                </c:pt>
                <c:pt idx="46">
                  <c:v>49801.891070073296</c:v>
                </c:pt>
                <c:pt idx="47">
                  <c:v>49824.260193485039</c:v>
                </c:pt>
                <c:pt idx="48">
                  <c:v>49844.100473027836</c:v>
                </c:pt>
                <c:pt idx="49">
                  <c:v>49861.698117003973</c:v>
                </c:pt>
                <c:pt idx="50">
                  <c:v>49877.306908525541</c:v>
                </c:pt>
                <c:pt idx="51">
                  <c:v>49891.151882267739</c:v>
                </c:pt>
                <c:pt idx="52">
                  <c:v>49903.43258401785</c:v>
                </c:pt>
                <c:pt idx="53">
                  <c:v>49914.325960380651</c:v>
                </c:pt>
                <c:pt idx="54">
                  <c:v>49923.988920624586</c:v>
                </c:pt>
                <c:pt idx="55">
                  <c:v>49932.560607886677</c:v>
                </c:pt>
                <c:pt idx="56">
                  <c:v>49940.1644127283</c:v>
                </c:pt>
                <c:pt idx="57">
                  <c:v>49946.909758288159</c:v>
                </c:pt>
                <c:pt idx="58">
                  <c:v>49952.893682957736</c:v>
                </c:pt>
                <c:pt idx="59">
                  <c:v>49958.202243560816</c:v>
                </c:pt>
                <c:pt idx="60">
                  <c:v>49962.911759408977</c:v>
                </c:pt>
                <c:pt idx="61">
                  <c:v>49967.089915291865</c:v>
                </c:pt>
                <c:pt idx="62">
                  <c:v>49970.796739410325</c:v>
                </c:pt>
                <c:pt idx="63">
                  <c:v>49974.085470442908</c:v>
                </c:pt>
                <c:pt idx="64">
                  <c:v>49977.003326325088</c:v>
                </c:pt>
                <c:pt idx="65">
                  <c:v>49979.592185892143</c:v>
                </c:pt>
                <c:pt idx="66">
                  <c:v>49981.889193270865</c:v>
                </c:pt>
                <c:pt idx="67">
                  <c:v>49983.927293782835</c:v>
                </c:pt>
                <c:pt idx="68">
                  <c:v>49985.735709127475</c:v>
                </c:pt>
                <c:pt idx="69">
                  <c:v>49987.340358731111</c:v>
                </c:pt>
                <c:pt idx="70">
                  <c:v>49988.76423336687</c:v>
                </c:pt>
                <c:pt idx="71">
                  <c:v>49990.027726457243</c:v>
                </c:pt>
                <c:pt idx="72">
                  <c:v>49991.148927857037</c:v>
                </c:pt>
                <c:pt idx="73">
                  <c:v>49992.143884370023</c:v>
                </c:pt>
                <c:pt idx="74">
                  <c:v>49993.026830770039</c:v>
                </c:pt>
                <c:pt idx="75">
                  <c:v>49993.810394669395</c:v>
                </c:pt>
                <c:pt idx="76">
                  <c:v>49994.505778198327</c:v>
                </c:pt>
                <c:pt idx="77">
                  <c:v>49995.122919122994</c:v>
                </c:pt>
                <c:pt idx="78">
                  <c:v>49995.670633731555</c:v>
                </c:pt>
                <c:pt idx="79">
                  <c:v>49996.156743553649</c:v>
                </c:pt>
                <c:pt idx="80">
                  <c:v>49996.588187744404</c:v>
                </c:pt>
                <c:pt idx="81">
                  <c:v>49996.971122756513</c:v>
                </c:pt>
                <c:pt idx="82">
                  <c:v>49997.311010739875</c:v>
                </c:pt>
                <c:pt idx="83">
                  <c:v>49997.612697945056</c:v>
                </c:pt>
                <c:pt idx="84">
                  <c:v>49997.880484262234</c:v>
                </c:pt>
                <c:pt idx="85">
                  <c:v>49998.118184899024</c:v>
                </c:pt>
                <c:pt idx="86">
                  <c:v>49998.329185086899</c:v>
                </c:pt>
                <c:pt idx="87">
                  <c:v>49998.516488605062</c:v>
                </c:pt>
                <c:pt idx="88">
                  <c:v>49998.682760821364</c:v>
                </c:pt>
                <c:pt idx="89">
                  <c:v>49998.830366870476</c:v>
                </c:pt>
                <c:pt idx="90">
                  <c:v>49998.961405519447</c:v>
                </c:pt>
              </c:numCache>
            </c:numRef>
          </c:xVal>
          <c:yVal>
            <c:numRef>
              <c:f>'Phase plot R'!$BG$8:$BG$98</c:f>
              <c:numCache>
                <c:formatCode>General</c:formatCode>
                <c:ptCount val="91"/>
                <c:pt idx="0">
                  <c:v>1654</c:v>
                </c:pt>
                <c:pt idx="1">
                  <c:v>1257.224107816568</c:v>
                </c:pt>
                <c:pt idx="2">
                  <c:v>973.18482333912971</c:v>
                </c:pt>
                <c:pt idx="3">
                  <c:v>765.63329981210154</c:v>
                </c:pt>
                <c:pt idx="4">
                  <c:v>611.10812627893222</c:v>
                </c:pt>
                <c:pt idx="5">
                  <c:v>494.08056549110131</c:v>
                </c:pt>
                <c:pt idx="6">
                  <c:v>404.05837084218177</c:v>
                </c:pt>
                <c:pt idx="7">
                  <c:v>333.81607199314556</c:v>
                </c:pt>
                <c:pt idx="8">
                  <c:v>278.2894009340219</c:v>
                </c:pt>
                <c:pt idx="9">
                  <c:v>233.87032671939494</c:v>
                </c:pt>
                <c:pt idx="10">
                  <c:v>197.94890313073549</c:v>
                </c:pt>
                <c:pt idx="11">
                  <c:v>168.61019678499275</c:v>
                </c:pt>
                <c:pt idx="12">
                  <c:v>144.43046097277059</c:v>
                </c:pt>
                <c:pt idx="13">
                  <c:v>124.33792150337142</c:v>
                </c:pt>
                <c:pt idx="14">
                  <c:v>107.51630798060258</c:v>
                </c:pt>
                <c:pt idx="15">
                  <c:v>93.337093546173605</c:v>
                </c:pt>
                <c:pt idx="16">
                  <c:v>81.311290519656254</c:v>
                </c:pt>
                <c:pt idx="17">
                  <c:v>71.054745822433176</c:v>
                </c:pt>
                <c:pt idx="18">
                  <c:v>62.262873058036099</c:v>
                </c:pt>
                <c:pt idx="19">
                  <c:v>54.692059368362763</c:v>
                </c:pt>
                <c:pt idx="20">
                  <c:v>48.145846366414894</c:v>
                </c:pt>
                <c:pt idx="21">
                  <c:v>42.464561738484193</c:v>
                </c:pt>
                <c:pt idx="22">
                  <c:v>37.517469826551576</c:v>
                </c:pt>
                <c:pt idx="23">
                  <c:v>33.196778380640168</c:v>
                </c:pt>
                <c:pt idx="24">
                  <c:v>29.413025262875184</c:v>
                </c:pt>
                <c:pt idx="25">
                  <c:v>26.091499726023734</c:v>
                </c:pt>
                <c:pt idx="26">
                  <c:v>23.169445547670595</c:v>
                </c:pt>
                <c:pt idx="27">
                  <c:v>20.593859538456833</c:v>
                </c:pt>
                <c:pt idx="28">
                  <c:v>18.319746717130148</c:v>
                </c:pt>
                <c:pt idx="29">
                  <c:v>16.308728196213075</c:v>
                </c:pt>
                <c:pt idx="30">
                  <c:v>14.527923304405945</c:v>
                </c:pt>
                <c:pt idx="31">
                  <c:v>12.949046301020381</c:v>
                </c:pt>
                <c:pt idx="32">
                  <c:v>11.547672052276234</c:v>
                </c:pt>
                <c:pt idx="33">
                  <c:v>10.302635542521188</c:v>
                </c:pt>
                <c:pt idx="34">
                  <c:v>9.1955380168784604</c:v>
                </c:pt>
                <c:pt idx="35">
                  <c:v>8.2103385665206421</c:v>
                </c:pt>
                <c:pt idx="36">
                  <c:v>7.3330145607136883</c:v>
                </c:pt>
                <c:pt idx="37">
                  <c:v>6.5512778569676371</c:v>
                </c:pt>
                <c:pt idx="38">
                  <c:v>5.8543364440818104</c:v>
                </c:pt>
                <c:pt idx="39">
                  <c:v>5.2326932866864002</c:v>
                </c:pt>
                <c:pt idx="40">
                  <c:v>4.6779757887542122</c:v>
                </c:pt>
                <c:pt idx="41">
                  <c:v>4.1827905859889931</c:v>
                </c:pt>
                <c:pt idx="42">
                  <c:v>3.7405993948135747</c:v>
                </c:pt>
                <c:pt idx="43">
                  <c:v>3.345612450916903</c:v>
                </c:pt>
                <c:pt idx="44">
                  <c:v>2.9926967102458848</c:v>
                </c:pt>
                <c:pt idx="45">
                  <c:v>2.6772964961422301</c:v>
                </c:pt>
                <c:pt idx="46">
                  <c:v>2.3953646858696378</c:v>
                </c:pt>
                <c:pt idx="47">
                  <c:v>2.1433028595646233</c:v>
                </c:pt>
                <c:pt idx="48">
                  <c:v>1.9179091013645635</c:v>
                </c:pt>
                <c:pt idx="49">
                  <c:v>1.7163323591192456</c:v>
                </c:pt>
                <c:pt idx="50">
                  <c:v>1.5360324458424541</c:v>
                </c:pt>
                <c:pt idx="51">
                  <c:v>1.3747449108858925</c:v>
                </c:pt>
                <c:pt idx="52">
                  <c:v>1.2304501280029141</c:v>
                </c:pt>
                <c:pt idx="53">
                  <c:v>1.1013460459811906</c:v>
                </c:pt>
                <c:pt idx="54">
                  <c:v>0.98582412930129892</c:v>
                </c:pt>
                <c:pt idx="55">
                  <c:v>0.88244808445786094</c:v>
                </c:pt>
                <c:pt idx="56">
                  <c:v>0.78993502466540444</c:v>
                </c:pt>
                <c:pt idx="57">
                  <c:v>0.70713877366915201</c:v>
                </c:pt>
                <c:pt idx="58">
                  <c:v>0.63303504990496884</c:v>
                </c:pt>
                <c:pt idx="59">
                  <c:v>0.56670830660460658</c:v>
                </c:pt>
                <c:pt idx="60">
                  <c:v>0.50734003267634942</c:v>
                </c:pt>
                <c:pt idx="61">
                  <c:v>0.45419834416386262</c:v>
                </c:pt>
                <c:pt idx="62">
                  <c:v>0.40662871749616497</c:v>
                </c:pt>
                <c:pt idx="63">
                  <c:v>0.36404573416117281</c:v>
                </c:pt>
                <c:pt idx="64">
                  <c:v>0.32592572233422179</c:v>
                </c:pt>
                <c:pt idx="65">
                  <c:v>0.29180019475908353</c:v>
                </c:pt>
                <c:pt idx="66">
                  <c:v>0.26124999413334649</c:v>
                </c:pt>
                <c:pt idx="67">
                  <c:v>0.23390006765956356</c:v>
                </c:pt>
                <c:pt idx="68">
                  <c:v>0.20941480151109762</c:v>
                </c:pt>
                <c:pt idx="69">
                  <c:v>0.18749385391383586</c:v>
                </c:pt>
                <c:pt idx="70">
                  <c:v>0.16786843251896863</c:v>
                </c:pt>
                <c:pt idx="71">
                  <c:v>0.15029796787051136</c:v>
                </c:pt>
                <c:pt idx="72">
                  <c:v>0.13456714016665977</c:v>
                </c:pt>
                <c:pt idx="73">
                  <c:v>0.12048322127213262</c:v>
                </c:pt>
                <c:pt idx="74">
                  <c:v>0.10787369814112355</c:v>
                </c:pt>
                <c:pt idx="75">
                  <c:v>9.6584147527433356E-2</c:v>
                </c:pt>
                <c:pt idx="76">
                  <c:v>8.6476335150052319E-2</c:v>
                </c:pt>
                <c:pt idx="77">
                  <c:v>7.7426515400910612E-2</c:v>
                </c:pt>
                <c:pt idx="78">
                  <c:v>6.9323910271722328E-2</c:v>
                </c:pt>
                <c:pt idx="79">
                  <c:v>6.2069348477878955E-2</c:v>
                </c:pt>
                <c:pt idx="80">
                  <c:v>5.5574047803207488E-2</c:v>
                </c:pt>
                <c:pt idx="81">
                  <c:v>4.9758525509764805E-2</c:v>
                </c:pt>
                <c:pt idx="82">
                  <c:v>4.4551623277649263E-2</c:v>
                </c:pt>
                <c:pt idx="83">
                  <c:v>3.9889634583821422E-2</c:v>
                </c:pt>
                <c:pt idx="84">
                  <c:v>3.5715523716123215E-2</c:v>
                </c:pt>
                <c:pt idx="85">
                  <c:v>3.1978226766655807E-2</c:v>
                </c:pt>
                <c:pt idx="86">
                  <c:v>2.8632025972923431E-2</c:v>
                </c:pt>
                <c:pt idx="87">
                  <c:v>2.5635989689362881E-2</c:v>
                </c:pt>
                <c:pt idx="88">
                  <c:v>2.2953471088158803E-2</c:v>
                </c:pt>
                <c:pt idx="89">
                  <c:v>2.0551659417308545E-2</c:v>
                </c:pt>
                <c:pt idx="90">
                  <c:v>1.8401178295244909E-2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56-431E-8C47-26EF71D903B2}"/>
            </c:ext>
          </c:extLst>
        </c:ser>
        <c:ser>
          <c:idx val="5"/>
          <c:order val="4"/>
          <c:tx>
            <c:strRef>
              <c:f>'Phase plot R'!$BM$7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R'!$BL$8:$BL$98</c:f>
              <c:numCache>
                <c:formatCode>General</c:formatCode>
                <c:ptCount val="91"/>
                <c:pt idx="0">
                  <c:v>29931</c:v>
                </c:pt>
                <c:pt idx="1">
                  <c:v>30394.042044544702</c:v>
                </c:pt>
                <c:pt idx="2">
                  <c:v>31076.936231411972</c:v>
                </c:pt>
                <c:pt idx="3">
                  <c:v>31903.562476572195</c:v>
                </c:pt>
                <c:pt idx="4">
                  <c:v>32819.150594797487</c:v>
                </c:pt>
                <c:pt idx="5">
                  <c:v>33783.820649972651</c:v>
                </c:pt>
                <c:pt idx="6">
                  <c:v>34768.35190057828</c:v>
                </c:pt>
                <c:pt idx="7">
                  <c:v>35751.328224577759</c:v>
                </c:pt>
                <c:pt idx="8">
                  <c:v>36717.153783886417</c:v>
                </c:pt>
                <c:pt idx="9">
                  <c:v>37654.633829393671</c:v>
                </c:pt>
                <c:pt idx="10">
                  <c:v>38555.933387581055</c:v>
                </c:pt>
                <c:pt idx="11">
                  <c:v>39415.796362879904</c:v>
                </c:pt>
                <c:pt idx="12">
                  <c:v>40230.949498245122</c:v>
                </c:pt>
                <c:pt idx="13">
                  <c:v>40999.641221609148</c:v>
                </c:pt>
                <c:pt idx="14">
                  <c:v>41721.281335344975</c:v>
                </c:pt>
                <c:pt idx="15">
                  <c:v>42396.157652668109</c:v>
                </c:pt>
                <c:pt idx="16">
                  <c:v>43025.212317720172</c:v>
                </c:pt>
                <c:pt idx="17">
                  <c:v>43609.86500632672</c:v>
                </c:pt>
                <c:pt idx="18">
                  <c:v>44151.873293818433</c:v>
                </c:pt>
                <c:pt idx="19">
                  <c:v>44653.222680045859</c:v>
                </c:pt>
                <c:pt idx="20">
                  <c:v>45116.040377868427</c:v>
                </c:pt>
                <c:pt idx="21">
                  <c:v>45542.528186372321</c:v>
                </c:pt>
                <c:pt idx="22">
                  <c:v>45934.910702950991</c:v>
                </c:pt>
                <c:pt idx="23">
                  <c:v>46295.395857123251</c:v>
                </c:pt>
                <c:pt idx="24">
                  <c:v>46626.145326011654</c:v>
                </c:pt>
                <c:pt idx="25">
                  <c:v>46929.252853076076</c:v>
                </c:pt>
                <c:pt idx="26">
                  <c:v>47206.728863890705</c:v>
                </c:pt>
                <c:pt idx="27">
                  <c:v>47460.490074453992</c:v>
                </c:pt>
                <c:pt idx="28">
                  <c:v>47692.353033007355</c:v>
                </c:pt>
                <c:pt idx="29">
                  <c:v>47904.030736580069</c:v>
                </c:pt>
                <c:pt idx="30">
                  <c:v>48097.131627056668</c:v>
                </c:pt>
                <c:pt idx="31">
                  <c:v>48273.160405288298</c:v>
                </c:pt>
                <c:pt idx="32">
                  <c:v>48433.520211103052</c:v>
                </c:pt>
                <c:pt idx="33">
                  <c:v>48579.515806428448</c:v>
                </c:pt>
                <c:pt idx="34">
                  <c:v>48712.357471715739</c:v>
                </c:pt>
                <c:pt idx="35">
                  <c:v>48833.165385386033</c:v>
                </c:pt>
                <c:pt idx="36">
                  <c:v>48942.97430450761</c:v>
                </c:pt>
                <c:pt idx="37">
                  <c:v>49042.73840433803</c:v>
                </c:pt>
                <c:pt idx="38">
                  <c:v>49133.336166347275</c:v>
                </c:pt>
                <c:pt idx="39">
                  <c:v>49215.575230215843</c:v>
                </c:pt>
                <c:pt idx="40">
                  <c:v>49290.197146174542</c:v>
                </c:pt>
                <c:pt idx="41">
                  <c:v>49357.881980826489</c:v>
                </c:pt>
                <c:pt idx="42">
                  <c:v>49419.252743012155</c:v>
                </c:pt>
                <c:pt idx="43">
                  <c:v>49474.879606959432</c:v>
                </c:pt>
                <c:pt idx="44">
                  <c:v>49525.283918407265</c:v>
                </c:pt>
                <c:pt idx="45">
                  <c:v>49570.941976019058</c:v>
                </c:pt>
                <c:pt idx="46">
                  <c:v>49612.288585552349</c:v>
                </c:pt>
                <c:pt idx="47">
                  <c:v>49649.72038820423</c:v>
                </c:pt>
                <c:pt idx="48">
                  <c:v>49683.598967538186</c:v>
                </c:pt>
                <c:pt idx="49">
                  <c:v>49714.253741605913</c:v>
                </c:pt>
                <c:pt idx="50">
                  <c:v>49741.984648461672</c:v>
                </c:pt>
                <c:pt idx="51">
                  <c:v>49767.064634353621</c:v>
                </c:pt>
                <c:pt idx="52">
                  <c:v>49789.741954568846</c:v>
                </c:pt>
                <c:pt idx="53">
                  <c:v>49810.242297291414</c:v>
                </c:pt>
                <c:pt idx="54">
                  <c:v>49828.770740973363</c:v>
                </c:pt>
                <c:pt idx="55">
                  <c:v>49845.513555673264</c:v>
                </c:pt>
                <c:pt idx="56">
                  <c:v>49860.63985863018</c:v>
                </c:pt>
                <c:pt idx="57">
                  <c:v>49874.303134049507</c:v>
                </c:pt>
                <c:pt idx="58">
                  <c:v>49886.642626709501</c:v>
                </c:pt>
                <c:pt idx="59">
                  <c:v>49897.784618577258</c:v>
                </c:pt>
                <c:pt idx="60">
                  <c:v>49907.84359716878</c:v>
                </c:pt>
                <c:pt idx="61">
                  <c:v>49916.923323913907</c:v>
                </c:pt>
                <c:pt idx="62">
                  <c:v>49925.117810305113</c:v>
                </c:pt>
                <c:pt idx="63">
                  <c:v>49932.512209127955</c:v>
                </c:pt>
                <c:pt idx="64">
                  <c:v>49939.183627597267</c:v>
                </c:pt>
                <c:pt idx="65">
                  <c:v>49945.201868761906</c:v>
                </c:pt>
                <c:pt idx="66">
                  <c:v>49950.630107095858</c:v>
                </c:pt>
                <c:pt idx="67">
                  <c:v>49955.525503767094</c:v>
                </c:pt>
                <c:pt idx="68">
                  <c:v>49959.93976666969</c:v>
                </c:pt>
                <c:pt idx="69">
                  <c:v>49963.919659920262</c:v>
                </c:pt>
                <c:pt idx="70">
                  <c:v>49967.507467157397</c:v>
                </c:pt>
                <c:pt idx="71">
                  <c:v>49970.741412642092</c:v>
                </c:pt>
                <c:pt idx="72">
                  <c:v>49973.656043838666</c:v>
                </c:pt>
                <c:pt idx="73">
                  <c:v>49976.282578857892</c:v>
                </c:pt>
                <c:pt idx="74">
                  <c:v>49978.649221867243</c:v>
                </c:pt>
                <c:pt idx="75">
                  <c:v>49980.78144931572</c:v>
                </c:pt>
                <c:pt idx="76">
                  <c:v>49982.702269582311</c:v>
                </c:pt>
                <c:pt idx="77">
                  <c:v>49984.432458436408</c:v>
                </c:pt>
                <c:pt idx="78">
                  <c:v>49985.990772494704</c:v>
                </c:pt>
                <c:pt idx="79">
                  <c:v>49987.394142671073</c:v>
                </c:pt>
                <c:pt idx="80">
                  <c:v>49988.657849442818</c:v>
                </c:pt>
                <c:pt idx="81">
                  <c:v>49989.795681597461</c:v>
                </c:pt>
                <c:pt idx="82">
                  <c:v>49990.820079977835</c:v>
                </c:pt>
                <c:pt idx="83">
                  <c:v>49991.742267609028</c:v>
                </c:pt>
                <c:pt idx="84">
                  <c:v>49992.572367467663</c:v>
                </c:pt>
                <c:pt idx="85">
                  <c:v>49993.31950904111</c:v>
                </c:pt>
                <c:pt idx="86">
                  <c:v>49993.991924721071</c:v>
                </c:pt>
                <c:pt idx="87">
                  <c:v>49994.597036981642</c:v>
                </c:pt>
                <c:pt idx="88">
                  <c:v>49995.141537205629</c:v>
                </c:pt>
                <c:pt idx="89">
                  <c:v>49995.631456944211</c:v>
                </c:pt>
                <c:pt idx="90">
                  <c:v>49996.072232323117</c:v>
                </c:pt>
              </c:numCache>
            </c:numRef>
          </c:xVal>
          <c:yVal>
            <c:numRef>
              <c:f>'Phase plot R'!$BM$8:$BM$98</c:f>
              <c:numCache>
                <c:formatCode>General</c:formatCode>
                <c:ptCount val="91"/>
                <c:pt idx="0">
                  <c:v>20069</c:v>
                </c:pt>
                <c:pt idx="1">
                  <c:v>16741.23360392989</c:v>
                </c:pt>
                <c:pt idx="2">
                  <c:v>13995.233185331657</c:v>
                </c:pt>
                <c:pt idx="3">
                  <c:v>11731.865198026975</c:v>
                </c:pt>
                <c:pt idx="4">
                  <c:v>9865.4410995895578</c:v>
                </c:pt>
                <c:pt idx="5">
                  <c:v>8323.9155366235282</c:v>
                </c:pt>
                <c:pt idx="6">
                  <c:v>7047.7262851461419</c:v>
                </c:pt>
                <c:pt idx="7">
                  <c:v>5988.1374723716362</c:v>
                </c:pt>
                <c:pt idx="8">
                  <c:v>5105.5157383102232</c:v>
                </c:pt>
                <c:pt idx="9">
                  <c:v>4367.736617010486</c:v>
                </c:pt>
                <c:pt idx="10">
                  <c:v>3748.7966151980249</c:v>
                </c:pt>
                <c:pt idx="11">
                  <c:v>3227.6452326119934</c:v>
                </c:pt>
                <c:pt idx="12">
                  <c:v>2787.2226071452055</c:v>
                </c:pt>
                <c:pt idx="13">
                  <c:v>2413.6771239437398</c:v>
                </c:pt>
                <c:pt idx="14">
                  <c:v>2095.734713390892</c:v>
                </c:pt>
                <c:pt idx="15">
                  <c:v>1824.193079734225</c:v>
                </c:pt>
                <c:pt idx="16">
                  <c:v>1591.5173121721027</c:v>
                </c:pt>
                <c:pt idx="17">
                  <c:v>1391.5169872335816</c:v>
                </c:pt>
                <c:pt idx="18">
                  <c:v>1219.0883777901468</c:v>
                </c:pt>
                <c:pt idx="19">
                  <c:v>1070.0084885092965</c:v>
                </c:pt>
                <c:pt idx="20">
                  <c:v>940.77026668231554</c:v>
                </c:pt>
                <c:pt idx="21">
                  <c:v>828.4505042453743</c:v>
                </c:pt>
                <c:pt idx="22">
                  <c:v>730.60370180469488</c:v>
                </c:pt>
                <c:pt idx="23">
                  <c:v>645.17657061969817</c:v>
                </c:pt>
                <c:pt idx="24">
                  <c:v>570.43896504017209</c:v>
                </c:pt>
                <c:pt idx="25">
                  <c:v>504.92792078845343</c:v>
                </c:pt>
                <c:pt idx="26">
                  <c:v>447.40217055141937</c:v>
                </c:pt>
                <c:pt idx="27">
                  <c:v>396.80505627330314</c:v>
                </c:pt>
                <c:pt idx="28">
                  <c:v>352.23418862453315</c:v>
                </c:pt>
                <c:pt idx="29">
                  <c:v>312.91654336945129</c:v>
                </c:pt>
                <c:pt idx="30">
                  <c:v>278.18795156188907</c:v>
                </c:pt>
                <c:pt idx="31">
                  <c:v>247.47615123893499</c:v>
                </c:pt>
                <c:pt idx="32">
                  <c:v>220.28673476989223</c:v>
                </c:pt>
                <c:pt idx="33">
                  <c:v>196.19145779823484</c:v>
                </c:pt>
                <c:pt idx="34">
                  <c:v>174.81848024816088</c:v>
                </c:pt>
                <c:pt idx="35">
                  <c:v>155.8441929786371</c:v>
                </c:pt>
                <c:pt idx="36">
                  <c:v>138.98634990658974</c:v>
                </c:pt>
                <c:pt idx="37">
                  <c:v>123.99827834455272</c:v>
                </c:pt>
                <c:pt idx="38">
                  <c:v>110.66398269160014</c:v>
                </c:pt>
                <c:pt idx="39">
                  <c:v>98.793990663462196</c:v>
                </c:pt>
                <c:pt idx="40">
                  <c:v>88.221818663702933</c:v>
                </c:pt>
                <c:pt idx="41">
                  <c:v>78.800955032883223</c:v>
                </c:pt>
                <c:pt idx="42">
                  <c:v>70.402277831717328</c:v>
                </c:pt>
                <c:pt idx="43">
                  <c:v>62.911838359260216</c:v>
                </c:pt>
                <c:pt idx="44">
                  <c:v>56.228953445217421</c:v>
                </c:pt>
                <c:pt idx="45">
                  <c:v>50.264559216347898</c:v>
                </c:pt>
                <c:pt idx="46">
                  <c:v>44.939786942391002</c:v>
                </c:pt>
                <c:pt idx="47">
                  <c:v>40.184728053536361</c:v>
                </c:pt>
                <c:pt idx="48">
                  <c:v>35.937360758352348</c:v>
                </c:pt>
                <c:pt idx="49">
                  <c:v>32.142615094105359</c:v>
                </c:pt>
                <c:pt idx="50">
                  <c:v>28.751556883961676</c:v>
                </c:pt>
                <c:pt idx="51">
                  <c:v>25.720674097351949</c:v>
                </c:pt>
                <c:pt idx="52">
                  <c:v>23.011251623564881</c:v>
                </c:pt>
                <c:pt idx="53">
                  <c:v>20.58882256566913</c:v>
                </c:pt>
                <c:pt idx="54">
                  <c:v>18.422685916141663</c:v>
                </c:pt>
                <c:pt idx="55">
                  <c:v>16.485481947255792</c:v>
                </c:pt>
                <c:pt idx="56">
                  <c:v>14.752817887353821</c:v>
                </c:pt>
                <c:pt idx="57">
                  <c:v>13.202937498605655</c:v>
                </c:pt>
                <c:pt idx="58">
                  <c:v>11.816429055476174</c:v>
                </c:pt>
                <c:pt idx="59">
                  <c:v>10.575966972743736</c:v>
                </c:pt>
                <c:pt idx="60">
                  <c:v>9.4660829696051145</c:v>
                </c:pt>
                <c:pt idx="61">
                  <c:v>8.4729632003578885</c:v>
                </c:pt>
                <c:pt idx="62">
                  <c:v>7.5842682473924814</c:v>
                </c:pt>
                <c:pt idx="63">
                  <c:v>6.7889732711895441</c:v>
                </c:pt>
                <c:pt idx="64">
                  <c:v>6.0772259550249537</c:v>
                </c:pt>
                <c:pt idx="65">
                  <c:v>5.440220177720164</c:v>
                </c:pt>
                <c:pt idx="66">
                  <c:v>4.8700836032002224</c:v>
                </c:pt>
                <c:pt idx="67">
                  <c:v>4.3597775968217443</c:v>
                </c:pt>
                <c:pt idx="68">
                  <c:v>3.9030080704262686</c:v>
                </c:pt>
                <c:pt idx="69">
                  <c:v>3.4941460250773497</c:v>
                </c:pt>
                <c:pt idx="70">
                  <c:v>3.1281567060052007</c:v>
                </c:pt>
                <c:pt idx="71">
                  <c:v>2.8005364114119589</c:v>
                </c:pt>
                <c:pt idx="72">
                  <c:v>2.5072561080256155</c:v>
                </c:pt>
                <c:pt idx="73">
                  <c:v>2.2447111037900811</c:v>
                </c:pt>
                <c:pt idx="74">
                  <c:v>2.0096761136807508</c:v>
                </c:pt>
                <c:pt idx="75">
                  <c:v>1.7992651299083524</c:v>
                </c:pt>
                <c:pt idx="76">
                  <c:v>1.6108955740617279</c:v>
                </c:pt>
                <c:pt idx="77">
                  <c:v>1.4422562671948465</c:v>
                </c:pt>
                <c:pt idx="78">
                  <c:v>1.291278805475935</c:v>
                </c:pt>
                <c:pt idx="79">
                  <c:v>1.156111974641892</c:v>
                </c:pt>
                <c:pt idx="80">
                  <c:v>1.0350988768778555</c:v>
                </c:pt>
                <c:pt idx="81">
                  <c:v>0.926756479509937</c:v>
                </c:pt>
                <c:pt idx="82">
                  <c:v>0.82975732661439605</c:v>
                </c:pt>
                <c:pt idx="83">
                  <c:v>0.74291318279239915</c:v>
                </c:pt>
                <c:pt idx="84">
                  <c:v>0.66516040335753257</c:v>
                </c:pt>
                <c:pt idx="85">
                  <c:v>0.59554684740165931</c:v>
                </c:pt>
                <c:pt idx="86">
                  <c:v>0.5332201699658019</c:v>
                </c:pt>
                <c:pt idx="87">
                  <c:v>0.47741734712903672</c:v>
                </c:pt>
                <c:pt idx="88">
                  <c:v>0.42745530348800453</c:v>
                </c:pt>
                <c:pt idx="89">
                  <c:v>0.38272252545079749</c:v>
                </c:pt>
                <c:pt idx="90">
                  <c:v>0.34267155620386069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56-431E-8C47-26EF71D903B2}"/>
            </c:ext>
          </c:extLst>
        </c:ser>
        <c:ser>
          <c:idx val="6"/>
          <c:order val="5"/>
          <c:tx>
            <c:strRef>
              <c:f>'Phase plot R'!$BP$7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R'!$BO$8:$BO$98</c:f>
              <c:numCache>
                <c:formatCode>General</c:formatCode>
                <c:ptCount val="91"/>
                <c:pt idx="0">
                  <c:v>14302</c:v>
                </c:pt>
                <c:pt idx="1">
                  <c:v>16762.146517472647</c:v>
                </c:pt>
                <c:pt idx="2">
                  <c:v>19072.331206076062</c:v>
                </c:pt>
                <c:pt idx="3">
                  <c:v>21261.317594696462</c:v>
                </c:pt>
                <c:pt idx="4">
                  <c:v>23341.461962997746</c:v>
                </c:pt>
                <c:pt idx="5">
                  <c:v>25317.254118703728</c:v>
                </c:pt>
                <c:pt idx="6">
                  <c:v>27189.76336858256</c:v>
                </c:pt>
                <c:pt idx="7">
                  <c:v>28958.958229241078</c:v>
                </c:pt>
                <c:pt idx="8">
                  <c:v>30624.880400214915</c:v>
                </c:pt>
                <c:pt idx="9">
                  <c:v>32188.188138690821</c:v>
                </c:pt>
                <c:pt idx="10">
                  <c:v>33650.351739312311</c:v>
                </c:pt>
                <c:pt idx="11">
                  <c:v>35013.661234000319</c:v>
                </c:pt>
                <c:pt idx="12">
                  <c:v>36281.138643209299</c:v>
                </c:pt>
                <c:pt idx="13">
                  <c:v>37456.408194450625</c:v>
                </c:pt>
                <c:pt idx="14">
                  <c:v>38543.554981005873</c:v>
                </c:pt>
                <c:pt idx="15">
                  <c:v>39546.988802132946</c:v>
                </c:pt>
                <c:pt idx="16">
                  <c:v>40471.321678632245</c:v>
                </c:pt>
                <c:pt idx="17">
                  <c:v>41321.262627651908</c:v>
                </c:pt>
                <c:pt idx="18">
                  <c:v>42101.530426751349</c:v>
                </c:pt>
                <c:pt idx="19">
                  <c:v>42816.783514193819</c:v>
                </c:pt>
                <c:pt idx="20">
                  <c:v>43471.565370305922</c:v>
                </c:pt>
                <c:pt idx="21">
                  <c:v>44070.263394936519</c:v>
                </c:pt>
                <c:pt idx="22">
                  <c:v>44617.079243678076</c:v>
                </c:pt>
                <c:pt idx="23">
                  <c:v>45116.008687987283</c:v>
                </c:pt>
                <c:pt idx="24">
                  <c:v>45570.829245383458</c:v>
                </c:pt>
                <c:pt idx="25">
                  <c:v>45985.094038969582</c:v>
                </c:pt>
                <c:pt idx="26">
                  <c:v>46362.130563096973</c:v>
                </c:pt>
                <c:pt idx="27">
                  <c:v>46705.043238648344</c:v>
                </c:pt>
                <c:pt idx="28">
                  <c:v>47016.718829282836</c:v>
                </c:pt>
                <c:pt idx="29">
                  <c:v>47299.833955851282</c:v>
                </c:pt>
                <c:pt idx="30">
                  <c:v>47556.864089588642</c:v>
                </c:pt>
                <c:pt idx="31">
                  <c:v>47790.093526715842</c:v>
                </c:pt>
                <c:pt idx="32">
                  <c:v>48001.625949623623</c:v>
                </c:pt>
                <c:pt idx="33">
                  <c:v>48193.395265086321</c:v>
                </c:pt>
                <c:pt idx="34">
                  <c:v>48367.176480235335</c:v>
                </c:pt>
                <c:pt idx="35">
                  <c:v>48524.596434477869</c:v>
                </c:pt>
                <c:pt idx="36">
                  <c:v>48667.144252157494</c:v>
                </c:pt>
                <c:pt idx="37">
                  <c:v>48796.181418279557</c:v>
                </c:pt>
                <c:pt idx="38">
                  <c:v>48912.951409600872</c:v>
                </c:pt>
                <c:pt idx="39">
                  <c:v>49018.588837126052</c:v>
                </c:pt>
                <c:pt idx="40">
                  <c:v>49114.128074680564</c:v>
                </c:pt>
                <c:pt idx="41">
                  <c:v>49200.51136268401</c:v>
                </c:pt>
                <c:pt idx="42">
                  <c:v>49278.596387312085</c:v>
                </c:pt>
                <c:pt idx="43">
                  <c:v>49349.16334356524</c:v>
                </c:pt>
                <c:pt idx="44">
                  <c:v>49412.921496895055</c:v>
                </c:pt>
                <c:pt idx="45">
                  <c:v>49470.515262419904</c:v>
                </c:pt>
                <c:pt idx="46">
                  <c:v>49522.5298237522</c:v>
                </c:pt>
                <c:pt idx="47">
                  <c:v>49569.496315357108</c:v>
                </c:pt>
                <c:pt idx="48">
                  <c:v>49611.896593407888</c:v>
                </c:pt>
                <c:pt idx="49">
                  <c:v>49650.167620490509</c:v>
                </c:pt>
                <c:pt idx="50">
                  <c:v>49684.705489397449</c:v>
                </c:pt>
                <c:pt idx="51">
                  <c:v>49715.869110763524</c:v>
                </c:pt>
                <c:pt idx="52">
                  <c:v>49743.983588536088</c:v>
                </c:pt>
                <c:pt idx="53">
                  <c:v>49769.343306317875</c:v>
                </c:pt>
                <c:pt idx="54">
                  <c:v>49792.214746536796</c:v>
                </c:pt>
                <c:pt idx="55">
                  <c:v>49812.83906323203</c:v>
                </c:pt>
                <c:pt idx="56">
                  <c:v>49831.434428038978</c:v>
                </c:pt>
                <c:pt idx="57">
                  <c:v>49848.198167736329</c:v>
                </c:pt>
                <c:pt idx="58">
                  <c:v>49863.308710508834</c:v>
                </c:pt>
                <c:pt idx="59">
                  <c:v>49876.927356896667</c:v>
                </c:pt>
                <c:pt idx="60">
                  <c:v>49889.199890258125</c:v>
                </c:pt>
                <c:pt idx="61">
                  <c:v>49900.258040475499</c:v>
                </c:pt>
                <c:pt idx="62">
                  <c:v>49910.220813589964</c:v>
                </c:pt>
                <c:pt idx="63">
                  <c:v>49919.195699063785</c:v>
                </c:pt>
                <c:pt idx="64">
                  <c:v>49927.27976543823</c:v>
                </c:pt>
                <c:pt idx="65">
                  <c:v>49934.560654284505</c:v>
                </c:pt>
                <c:pt idx="66">
                  <c:v>49941.117481531073</c:v>
                </c:pt>
                <c:pt idx="67">
                  <c:v>49947.021654493627</c:v>
                </c:pt>
                <c:pt idx="68">
                  <c:v>49952.337612230753</c:v>
                </c:pt>
                <c:pt idx="69">
                  <c:v>49957.123496197521</c:v>
                </c:pt>
                <c:pt idx="70">
                  <c:v>49961.43175756764</c:v>
                </c:pt>
                <c:pt idx="71">
                  <c:v>49965.309707040287</c:v>
                </c:pt>
                <c:pt idx="72">
                  <c:v>49968.800012436928</c:v>
                </c:pt>
                <c:pt idx="73">
                  <c:v>49971.941148924212</c:v>
                </c:pt>
                <c:pt idx="74">
                  <c:v>49974.767806267984</c:v>
                </c:pt>
                <c:pt idx="75">
                  <c:v>49977.311257128567</c:v>
                </c:pt>
                <c:pt idx="76">
                  <c:v>49979.599690045688</c:v>
                </c:pt>
                <c:pt idx="77">
                  <c:v>49981.658510430374</c:v>
                </c:pt>
                <c:pt idx="78">
                  <c:v>49983.510612578844</c:v>
                </c:pt>
                <c:pt idx="79">
                  <c:v>49985.1766254471</c:v>
                </c:pt>
                <c:pt idx="80">
                  <c:v>49986.675134672965</c:v>
                </c:pt>
                <c:pt idx="81">
                  <c:v>49988.022883102472</c:v>
                </c:pt>
                <c:pt idx="82">
                  <c:v>49989.234951868253</c:v>
                </c:pt>
                <c:pt idx="83">
                  <c:v>49990.32492387676</c:v>
                </c:pt>
                <c:pt idx="84">
                  <c:v>49991.305031387848</c:v>
                </c:pt>
                <c:pt idx="85">
                  <c:v>49992.186289212288</c:v>
                </c:pt>
                <c:pt idx="86">
                  <c:v>49992.978614909429</c:v>
                </c:pt>
                <c:pt idx="87">
                  <c:v>49993.690937236817</c:v>
                </c:pt>
                <c:pt idx="88">
                  <c:v>49994.331293985248</c:v>
                </c:pt>
                <c:pt idx="89">
                  <c:v>49994.906920225192</c:v>
                </c:pt>
                <c:pt idx="90">
                  <c:v>49995.424327893088</c:v>
                </c:pt>
              </c:numCache>
            </c:numRef>
          </c:xVal>
          <c:yVal>
            <c:numRef>
              <c:f>'Phase plot R'!$BP$8:$BP$98</c:f>
              <c:numCache>
                <c:formatCode>General</c:formatCode>
                <c:ptCount val="91"/>
                <c:pt idx="0">
                  <c:v>35698</c:v>
                </c:pt>
                <c:pt idx="1">
                  <c:v>28311.36677315566</c:v>
                </c:pt>
                <c:pt idx="2">
                  <c:v>22638.663512355462</c:v>
                </c:pt>
                <c:pt idx="3">
                  <c:v>18244.502074317221</c:v>
                </c:pt>
                <c:pt idx="4">
                  <c:v>14813.059125424481</c:v>
                </c:pt>
                <c:pt idx="5">
                  <c:v>12112.587975379658</c:v>
                </c:pt>
                <c:pt idx="6">
                  <c:v>9971.4357772369895</c:v>
                </c:pt>
                <c:pt idx="7">
                  <c:v>8261.4244860592044</c:v>
                </c:pt>
                <c:pt idx="8">
                  <c:v>6886.1299242572732</c:v>
                </c:pt>
                <c:pt idx="9">
                  <c:v>5772.5083205312058</c:v>
                </c:pt>
                <c:pt idx="10">
                  <c:v>4864.8546682319447</c:v>
                </c:pt>
                <c:pt idx="11">
                  <c:v>4120.4079793360916</c:v>
                </c:pt>
                <c:pt idx="12">
                  <c:v>3506.1318823850406</c:v>
                </c:pt>
                <c:pt idx="13">
                  <c:v>2996.3410420839946</c:v>
                </c:pt>
                <c:pt idx="14">
                  <c:v>2570.9405651020379</c:v>
                </c:pt>
                <c:pt idx="15">
                  <c:v>2214.1124473342397</c:v>
                </c:pt>
                <c:pt idx="16">
                  <c:v>1913.3299467351696</c:v>
                </c:pt>
                <c:pt idx="17">
                  <c:v>1658.6138480476923</c:v>
                </c:pt>
                <c:pt idx="18">
                  <c:v>1441.9681274777354</c:v>
                </c:pt>
                <c:pt idx="19">
                  <c:v>1256.9493819429754</c:v>
                </c:pt>
                <c:pt idx="20">
                  <c:v>1098.3365243038379</c:v>
                </c:pt>
                <c:pt idx="21">
                  <c:v>961.87602967100588</c:v>
                </c:pt>
                <c:pt idx="22">
                  <c:v>844.08440639201694</c:v>
                </c:pt>
                <c:pt idx="23">
                  <c:v>742.09423433744576</c:v>
                </c:pt>
                <c:pt idx="24">
                  <c:v>653.53354183888337</c:v>
                </c:pt>
                <c:pt idx="25">
                  <c:v>576.43082259352923</c:v>
                </c:pt>
                <c:pt idx="26">
                  <c:v>509.13986954726761</c:v>
                </c:pt>
                <c:pt idx="27">
                  <c:v>450.28000001984378</c:v>
                </c:pt>
                <c:pt idx="28">
                  <c:v>398.68829212143089</c:v>
                </c:pt>
                <c:pt idx="29">
                  <c:v>353.3812389313473</c:v>
                </c:pt>
                <c:pt idx="30">
                  <c:v>313.52382106023651</c:v>
                </c:pt>
                <c:pt idx="31">
                  <c:v>278.40444918434139</c:v>
                </c:pt>
                <c:pt idx="32">
                  <c:v>247.41457199550857</c:v>
                </c:pt>
                <c:pt idx="33">
                  <c:v>220.03200837514515</c:v>
                </c:pt>
                <c:pt idx="34">
                  <c:v>195.80726520878045</c:v>
                </c:pt>
                <c:pt idx="35">
                  <c:v>174.35225880285032</c:v>
                </c:pt>
                <c:pt idx="36">
                  <c:v>155.33097933367401</c:v>
                </c:pt>
                <c:pt idx="37">
                  <c:v>138.45173240172005</c:v>
                </c:pt>
                <c:pt idx="38">
                  <c:v>123.46066580580695</c:v>
                </c:pt>
                <c:pt idx="39">
                  <c:v>110.13634780606225</c:v>
                </c:pt>
                <c:pt idx="40">
                  <c:v>98.285208997112576</c:v>
                </c:pt>
                <c:pt idx="41">
                  <c:v>87.737696202935368</c:v>
                </c:pt>
                <c:pt idx="42">
                  <c:v>78.345015632454945</c:v>
                </c:pt>
                <c:pt idx="43">
                  <c:v>69.976365517481881</c:v>
                </c:pt>
                <c:pt idx="44">
                  <c:v>62.516576841934402</c:v>
                </c:pt>
                <c:pt idx="45">
                  <c:v>55.864095533241937</c:v>
                </c:pt>
                <c:pt idx="46">
                  <c:v>49.929251378620066</c:v>
                </c:pt>
                <c:pt idx="47">
                  <c:v>44.632768540737359</c:v>
                </c:pt>
                <c:pt idx="48">
                  <c:v>39.904480342043556</c:v>
                </c:pt>
                <c:pt idx="49">
                  <c:v>35.68221732893813</c:v>
                </c:pt>
                <c:pt idx="50">
                  <c:v>31.910842803595727</c:v>
                </c:pt>
                <c:pt idx="51">
                  <c:v>28.541414250390602</c:v>
                </c:pt>
                <c:pt idx="52">
                  <c:v>25.530452566423463</c:v>
                </c:pt>
                <c:pt idx="53">
                  <c:v>22.839303875843925</c:v>
                </c:pt>
                <c:pt idx="54">
                  <c:v>20.433581080718842</c:v>
                </c:pt>
                <c:pt idx="55">
                  <c:v>18.2826742694857</c:v>
                </c:pt>
                <c:pt idx="56">
                  <c:v>16.359320741787588</c:v>
                </c:pt>
                <c:pt idx="57">
                  <c:v>14.639226775544437</c:v>
                </c:pt>
                <c:pt idx="58">
                  <c:v>13.100734406826568</c:v>
                </c:pt>
                <c:pt idx="59">
                  <c:v>11.724527454641748</c:v>
                </c:pt>
                <c:pt idx="60">
                  <c:v>10.493371832958463</c:v>
                </c:pt>
                <c:pt idx="61">
                  <c:v>9.3918858770970548</c:v>
                </c:pt>
                <c:pt idx="62">
                  <c:v>8.4063369922063558</c:v>
                </c:pt>
                <c:pt idx="63">
                  <c:v>7.5244614252508653</c:v>
                </c:pt>
                <c:pt idx="64">
                  <c:v>6.7353043830041095</c:v>
                </c:pt>
                <c:pt idx="65">
                  <c:v>6.0290780787028018</c:v>
                </c:pt>
                <c:pt idx="66">
                  <c:v>5.3970355989434378</c:v>
                </c:pt>
                <c:pt idx="67">
                  <c:v>4.831358748110743</c:v>
                </c:pt>
                <c:pt idx="68">
                  <c:v>4.3250582567671678</c:v>
                </c:pt>
                <c:pt idx="69">
                  <c:v>3.8718849385408163</c:v>
                </c:pt>
                <c:pt idx="70">
                  <c:v>3.4662505517474358</c:v>
                </c:pt>
                <c:pt idx="71">
                  <c:v>3.1031572711391289</c:v>
                </c:pt>
                <c:pt idx="72">
                  <c:v>2.7781348050362675</c:v>
                </c:pt>
                <c:pt idx="73">
                  <c:v>2.4871843064042558</c:v>
                </c:pt>
                <c:pt idx="74">
                  <c:v>2.2267283254922976</c:v>
                </c:pt>
                <c:pt idx="75">
                  <c:v>1.9935661384123837</c:v>
                </c:pt>
                <c:pt idx="76">
                  <c:v>1.7848338621637867</c:v>
                </c:pt>
                <c:pt idx="77">
                  <c:v>1.5979688335154612</c:v>
                </c:pt>
                <c:pt idx="78">
                  <c:v>1.4306777880535637</c:v>
                </c:pt>
                <c:pt idx="79">
                  <c:v>1.2809084276179945</c:v>
                </c:pt>
                <c:pt idx="80">
                  <c:v>1.146824010178455</c:v>
                </c:pt>
                <c:pt idx="81">
                  <c:v>1.026780636701552</c:v>
                </c:pt>
                <c:pt idx="82">
                  <c:v>0.91930694539584601</c:v>
                </c:pt>
                <c:pt idx="83">
                  <c:v>0.82308595546242591</c:v>
                </c:pt>
                <c:pt idx="84">
                  <c:v>0.73693883061980392</c:v>
                </c:pt>
                <c:pt idx="85">
                  <c:v>0.65981035764415186</c:v>
                </c:pt>
                <c:pt idx="86">
                  <c:v>0.5907559573441552</c:v>
                </c:pt>
                <c:pt idx="87">
                  <c:v>0.52893006510143781</c:v>
                </c:pt>
                <c:pt idx="88">
                  <c:v>0.47357573563893784</c:v>
                </c:pt>
                <c:pt idx="89">
                  <c:v>0.42401534228173021</c:v>
                </c:pt>
                <c:pt idx="90">
                  <c:v>0.37964225486783898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56-431E-8C47-26EF71D903B2}"/>
            </c:ext>
          </c:extLst>
        </c:ser>
        <c:ser>
          <c:idx val="7"/>
          <c:order val="6"/>
          <c:tx>
            <c:strRef>
              <c:f>'Phase plot R'!$BS$7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R'!$BR$8:$BR$98</c:f>
              <c:numCache>
                <c:formatCode>General</c:formatCode>
                <c:ptCount val="91"/>
                <c:pt idx="0">
                  <c:v>16578</c:v>
                </c:pt>
                <c:pt idx="1">
                  <c:v>18669.487513911732</c:v>
                </c:pt>
                <c:pt idx="2">
                  <c:v>20701.705449041601</c:v>
                </c:pt>
                <c:pt idx="3">
                  <c:v>22672.175704178291</c:v>
                </c:pt>
                <c:pt idx="4">
                  <c:v>24574.729933164315</c:v>
                </c:pt>
                <c:pt idx="5">
                  <c:v>26402.422588049023</c:v>
                </c:pt>
                <c:pt idx="6">
                  <c:v>28148.992516631944</c:v>
                </c:pt>
                <c:pt idx="7">
                  <c:v>29809.532933151822</c:v>
                </c:pt>
                <c:pt idx="8">
                  <c:v>31380.721235908539</c:v>
                </c:pt>
                <c:pt idx="9">
                  <c:v>32860.806252428469</c:v>
                </c:pt>
                <c:pt idx="10">
                  <c:v>34249.468161267097</c:v>
                </c:pt>
                <c:pt idx="11">
                  <c:v>35547.619497579202</c:v>
                </c:pt>
                <c:pt idx="12">
                  <c:v>36757.187706799792</c:v>
                </c:pt>
                <c:pt idx="13">
                  <c:v>37880.902529001178</c:v>
                </c:pt>
                <c:pt idx="14">
                  <c:v>38922.10078885236</c:v>
                </c:pt>
                <c:pt idx="15">
                  <c:v>39884.554508423942</c:v>
                </c:pt>
                <c:pt idx="16">
                  <c:v>40772.324194235218</c:v>
                </c:pt>
                <c:pt idx="17">
                  <c:v>41589.636757249988</c:v>
                </c:pt>
                <c:pt idx="18">
                  <c:v>42340.786208686775</c:v>
                </c:pt>
                <c:pt idx="19">
                  <c:v>43030.054642461277</c:v>
                </c:pt>
                <c:pt idx="20">
                  <c:v>43661.650806646001</c:v>
                </c:pt>
                <c:pt idx="21">
                  <c:v>44239.663610024283</c:v>
                </c:pt>
                <c:pt idx="22">
                  <c:v>44768.028093864763</c:v>
                </c:pt>
                <c:pt idx="23">
                  <c:v>45250.501651911371</c:v>
                </c:pt>
                <c:pt idx="24">
                  <c:v>45690.648558695939</c:v>
                </c:pt>
                <c:pt idx="25">
                  <c:v>46091.831140942333</c:v>
                </c:pt>
                <c:pt idx="26">
                  <c:v>46457.206184044706</c:v>
                </c:pt>
                <c:pt idx="27">
                  <c:v>46789.725397873168</c:v>
                </c:pt>
                <c:pt idx="28">
                  <c:v>47092.138970677886</c:v>
                </c:pt>
                <c:pt idx="29">
                  <c:v>47367.001416635663</c:v>
                </c:pt>
                <c:pt idx="30">
                  <c:v>47616.679073213272</c:v>
                </c:pt>
                <c:pt idx="31">
                  <c:v>47843.358731424072</c:v>
                </c:pt>
                <c:pt idx="32">
                  <c:v>48049.056987962744</c:v>
                </c:pt>
                <c:pt idx="33">
                  <c:v>48235.629995877745</c:v>
                </c:pt>
                <c:pt idx="34">
                  <c:v>48404.783362498929</c:v>
                </c:pt>
                <c:pt idx="35">
                  <c:v>48558.082002164694</c:v>
                </c:pt>
                <c:pt idx="36">
                  <c:v>48696.959799008589</c:v>
                </c:pt>
                <c:pt idx="37">
                  <c:v>48822.728973517558</c:v>
                </c:pt>
                <c:pt idx="38">
                  <c:v>48936.589077350836</c:v>
                </c:pt>
                <c:pt idx="39">
                  <c:v>49039.635565361379</c:v>
                </c:pt>
                <c:pt idx="40">
                  <c:v>49132.867913029222</c:v>
                </c:pt>
                <c:pt idx="41">
                  <c:v>49217.197262552727</c:v>
                </c:pt>
                <c:pt idx="42">
                  <c:v>49293.453592443286</c:v>
                </c:pt>
                <c:pt idx="43">
                  <c:v>49362.392414290218</c:v>
                </c:pt>
                <c:pt idx="44">
                  <c:v>49424.701006947878</c:v>
                </c:pt>
                <c:pt idx="45">
                  <c:v>49481.004203193537</c:v>
                </c:pt>
                <c:pt idx="46">
                  <c:v>49531.869747277095</c:v>
                </c:pt>
                <c:pt idx="47">
                  <c:v>49577.813244031218</c:v>
                </c:pt>
                <c:pt idx="48">
                  <c:v>49619.302721575506</c:v>
                </c:pt>
                <c:pt idx="49">
                  <c:v>49656.762830327614</c:v>
                </c:pt>
                <c:pt idx="50">
                  <c:v>49690.578701187042</c:v>
                </c:pt>
                <c:pt idx="51">
                  <c:v>49721.099485511382</c:v>
                </c:pt>
                <c:pt idx="52">
                  <c:v>49748.641598962902</c:v>
                </c:pt>
                <c:pt idx="53">
                  <c:v>49773.491690547067</c:v>
                </c:pt>
                <c:pt idx="54">
                  <c:v>49795.909357259145</c:v>
                </c:pt>
                <c:pt idx="55">
                  <c:v>49816.129623751309</c:v>
                </c:pt>
                <c:pt idx="56">
                  <c:v>49834.365205370799</c:v>
                </c:pt>
                <c:pt idx="57">
                  <c:v>49850.80857183077</c:v>
                </c:pt>
                <c:pt idx="58">
                  <c:v>49865.633827683181</c:v>
                </c:pt>
                <c:pt idx="59">
                  <c:v>49878.99842468532</c:v>
                </c:pt>
                <c:pt idx="60">
                  <c:v>49891.044720101789</c:v>
                </c:pt>
                <c:pt idx="61">
                  <c:v>49901.901393971246</c:v>
                </c:pt>
                <c:pt idx="62">
                  <c:v>49911.684737398871</c:v>
                </c:pt>
                <c:pt idx="63">
                  <c:v>49920.499823015489</c:v>
                </c:pt>
                <c:pt idx="64">
                  <c:v>49928.441567874928</c:v>
                </c:pt>
                <c:pt idx="65">
                  <c:v>49935.595698243895</c:v>
                </c:pt>
                <c:pt idx="66">
                  <c:v>49942.039624973215</c:v>
                </c:pt>
                <c:pt idx="67">
                  <c:v>49947.843237424917</c:v>
                </c:pt>
                <c:pt idx="68">
                  <c:v>49953.069623265081</c:v>
                </c:pt>
                <c:pt idx="69">
                  <c:v>49957.775720815574</c:v>
                </c:pt>
                <c:pt idx="70">
                  <c:v>49962.012910086945</c:v>
                </c:pt>
                <c:pt idx="71">
                  <c:v>49965.827548087305</c:v>
                </c:pt>
                <c:pt idx="72">
                  <c:v>49969.261453515588</c:v>
                </c:pt>
                <c:pt idx="73">
                  <c:v>49972.352345499821</c:v>
                </c:pt>
                <c:pt idx="74">
                  <c:v>49975.134240629508</c:v>
                </c:pt>
                <c:pt idx="75">
                  <c:v>49977.637812153182</c:v>
                </c:pt>
                <c:pt idx="76">
                  <c:v>49979.890714865884</c:v>
                </c:pt>
                <c:pt idx="77">
                  <c:v>49981.917878893881</c:v>
                </c:pt>
                <c:pt idx="78">
                  <c:v>49983.74177529358</c:v>
                </c:pt>
                <c:pt idx="79">
                  <c:v>49985.382656116257</c:v>
                </c:pt>
                <c:pt idx="80">
                  <c:v>49986.858771347688</c:v>
                </c:pt>
                <c:pt idx="81">
                  <c:v>49988.186564910597</c:v>
                </c:pt>
                <c:pt idx="82">
                  <c:v>49989.380851716051</c:v>
                </c:pt>
                <c:pt idx="83">
                  <c:v>49990.454977566078</c:v>
                </c:pt>
                <c:pt idx="84">
                  <c:v>49991.420963542267</c:v>
                </c:pt>
                <c:pt idx="85">
                  <c:v>49992.289636362642</c:v>
                </c:pt>
                <c:pt idx="86">
                  <c:v>49993.070746050544</c:v>
                </c:pt>
                <c:pt idx="87">
                  <c:v>49993.773072133001</c:v>
                </c:pt>
                <c:pt idx="88">
                  <c:v>49994.404519471536</c:v>
                </c:pt>
                <c:pt idx="89">
                  <c:v>49994.972204724269</c:v>
                </c:pt>
                <c:pt idx="90">
                  <c:v>49995.482534343537</c:v>
                </c:pt>
              </c:numCache>
            </c:numRef>
          </c:xVal>
          <c:yVal>
            <c:numRef>
              <c:f>'Phase plot R'!$BS$8:$BS$98</c:f>
              <c:numCache>
                <c:formatCode>General</c:formatCode>
                <c:ptCount val="91"/>
                <c:pt idx="0">
                  <c:v>33422</c:v>
                </c:pt>
                <c:pt idx="1">
                  <c:v>26695.057849311132</c:v>
                </c:pt>
                <c:pt idx="2">
                  <c:v>21475.726959222426</c:v>
                </c:pt>
                <c:pt idx="3">
                  <c:v>17398.083593646639</c:v>
                </c:pt>
                <c:pt idx="4">
                  <c:v>14190.569866455424</c:v>
                </c:pt>
                <c:pt idx="5">
                  <c:v>11650.369505609975</c:v>
                </c:pt>
                <c:pt idx="6">
                  <c:v>9625.1229714780984</c:v>
                </c:pt>
                <c:pt idx="7">
                  <c:v>7999.7325876115619</c:v>
                </c:pt>
                <c:pt idx="8">
                  <c:v>6686.7660510079731</c:v>
                </c:pt>
                <c:pt idx="9">
                  <c:v>5619.4352998825689</c:v>
                </c:pt>
                <c:pt idx="10">
                  <c:v>4746.4338163421908</c:v>
                </c:pt>
                <c:pt idx="11">
                  <c:v>4028.1230308400945</c:v>
                </c:pt>
                <c:pt idx="12">
                  <c:v>3433.7027507476901</c:v>
                </c:pt>
                <c:pt idx="13">
                  <c:v>2939.1023350362575</c:v>
                </c:pt>
                <c:pt idx="14">
                  <c:v>2525.4018787581595</c:v>
                </c:pt>
                <c:pt idx="15">
                  <c:v>2177.6446940768969</c:v>
                </c:pt>
                <c:pt idx="16">
                  <c:v>1883.9398508728368</c:v>
                </c:pt>
                <c:pt idx="17">
                  <c:v>1634.7806327572187</c:v>
                </c:pt>
                <c:pt idx="18">
                  <c:v>1422.5244119870258</c:v>
                </c:pt>
                <c:pt idx="19">
                  <c:v>1240.9937385266269</c:v>
                </c:pt>
                <c:pt idx="20">
                  <c:v>1085.1688667227525</c:v>
                </c:pt>
                <c:pt idx="21">
                  <c:v>950.94957707404615</c:v>
                </c:pt>
                <c:pt idx="22">
                  <c:v>834.9697584121343</c:v>
                </c:pt>
                <c:pt idx="23">
                  <c:v>734.45235027221861</c:v>
                </c:pt>
                <c:pt idx="24">
                  <c:v>647.0953050722926</c:v>
                </c:pt>
                <c:pt idx="25">
                  <c:v>570.98150324497942</c:v>
                </c:pt>
                <c:pt idx="26">
                  <c:v>504.5072506537756</c:v>
                </c:pt>
                <c:pt idx="27">
                  <c:v>446.3252583801484</c:v>
                </c:pt>
                <c:pt idx="28">
                  <c:v>395.29896104154255</c:v>
                </c:pt>
                <c:pt idx="29">
                  <c:v>350.46575220407698</c:v>
                </c:pt>
                <c:pt idx="30">
                  <c:v>311.0072636483111</c:v>
                </c:pt>
                <c:pt idx="31">
                  <c:v>276.22523303236267</c:v>
                </c:pt>
                <c:pt idx="32">
                  <c:v>245.52182425899846</c:v>
                </c:pt>
                <c:pt idx="33">
                  <c:v>218.38351062896689</c:v>
                </c:pt>
                <c:pt idx="34">
                  <c:v>194.36782056236336</c:v>
                </c:pt>
                <c:pt idx="35">
                  <c:v>173.0923926919431</c:v>
                </c:pt>
                <c:pt idx="36">
                  <c:v>154.2259015406872</c:v>
                </c:pt>
                <c:pt idx="37">
                  <c:v>137.48050437972901</c:v>
                </c:pt>
                <c:pt idx="38">
                  <c:v>122.60552996805569</c:v>
                </c:pt>
                <c:pt idx="39">
                  <c:v>109.38218507026615</c:v>
                </c:pt>
                <c:pt idx="40">
                  <c:v>97.61909826677244</c:v>
                </c:pt>
                <c:pt idx="41">
                  <c:v>87.148555166413686</c:v>
                </c:pt>
                <c:pt idx="42">
                  <c:v>77.823306669111943</c:v>
                </c:pt>
                <c:pt idx="43">
                  <c:v>69.513853922767254</c:v>
                </c:pt>
                <c:pt idx="44">
                  <c:v>62.106131249534386</c:v>
                </c:pt>
                <c:pt idx="45">
                  <c:v>55.499522496205472</c:v>
                </c:pt>
                <c:pt idx="46">
                  <c:v>49.6051577052583</c:v>
                </c:pt>
                <c:pt idx="47">
                  <c:v>44.344446266161391</c:v>
                </c:pt>
                <c:pt idx="48">
                  <c:v>39.647810230021435</c:v>
                </c:pt>
                <c:pt idx="49">
                  <c:v>35.453587600965754</c:v>
                </c:pt>
                <c:pt idx="50">
                  <c:v>31.707080428728116</c:v>
                </c:pt>
                <c:pt idx="51">
                  <c:v>28.35972663611733</c:v>
                </c:pt>
                <c:pt idx="52">
                  <c:v>25.368377895381101</c:v>
                </c:pt>
                <c:pt idx="53">
                  <c:v>22.69466865700366</c:v>
                </c:pt>
                <c:pt idx="54">
                  <c:v>20.304463743714585</c:v>
                </c:pt>
                <c:pt idx="55">
                  <c:v>18.167373840150372</c:v>
                </c:pt>
                <c:pt idx="56">
                  <c:v>16.256329806104628</c:v>
                </c:pt>
                <c:pt idx="57">
                  <c:v>14.547208076255245</c:v>
                </c:pt>
                <c:pt idx="58">
                  <c:v>13.018500528300905</c:v>
                </c:pt>
                <c:pt idx="59">
                  <c:v>11.651023142410983</c:v>
                </c:pt>
                <c:pt idx="60">
                  <c:v>10.427658568570378</c:v>
                </c:pt>
                <c:pt idx="61">
                  <c:v>9.333128389886598</c:v>
                </c:pt>
                <c:pt idx="62">
                  <c:v>8.3537914397474946</c:v>
                </c:pt>
                <c:pt idx="63">
                  <c:v>7.4774650157033831</c:v>
                </c:pt>
                <c:pt idx="64">
                  <c:v>6.6932662469308779</c:v>
                </c:pt>
                <c:pt idx="65">
                  <c:v>5.9914712265195424</c:v>
                </c:pt>
                <c:pt idx="66">
                  <c:v>5.3633898240291735</c:v>
                </c:pt>
                <c:pt idx="67">
                  <c:v>4.8012543556033664</c:v>
                </c:pt>
                <c:pt idx="68">
                  <c:v>4.2981205148819921</c:v>
                </c:pt>
                <c:pt idx="69">
                  <c:v>3.8477791634373517</c:v>
                </c:pt>
                <c:pt idx="70">
                  <c:v>3.444677748983124</c:v>
                </c:pt>
                <c:pt idx="71">
                  <c:v>3.0838502669566408</c:v>
                </c:pt>
                <c:pt idx="72">
                  <c:v>2.7608548094340342</c:v>
                </c:pt>
                <c:pt idx="73">
                  <c:v>2.4717178573844989</c:v>
                </c:pt>
                <c:pt idx="74">
                  <c:v>2.2128845702693183</c:v>
                </c:pt>
                <c:pt idx="75">
                  <c:v>1.9811744128630309</c:v>
                </c:pt>
                <c:pt idx="76">
                  <c:v>1.7737415345496683</c:v>
                </c:pt>
                <c:pt idx="77">
                  <c:v>1.5880393826168899</c:v>
                </c:pt>
                <c:pt idx="78">
                  <c:v>1.4217890894235179</c:v>
                </c:pt>
                <c:pt idx="79">
                  <c:v>1.272951224769896</c:v>
                </c:pt>
                <c:pt idx="80">
                  <c:v>1.1397005502307878</c:v>
                </c:pt>
                <c:pt idx="81">
                  <c:v>1.0204034523711258</c:v>
                </c:pt>
                <c:pt idx="82">
                  <c:v>0.9135977673069603</c:v>
                </c:pt>
                <c:pt idx="83">
                  <c:v>0.81797474056115393</c:v>
                </c:pt>
                <c:pt idx="84">
                  <c:v>0.73236289408494071</c:v>
                </c:pt>
                <c:pt idx="85">
                  <c:v>0.6557135970978597</c:v>
                </c:pt>
                <c:pt idx="86">
                  <c:v>0.58708815941063497</c:v>
                </c:pt>
                <c:pt idx="87">
                  <c:v>0.52564628546215253</c:v>
                </c:pt>
                <c:pt idx="88">
                  <c:v>0.47063574470618147</c:v>
                </c:pt>
                <c:pt idx="89">
                  <c:v>0.42138312947431661</c:v>
                </c:pt>
                <c:pt idx="90">
                  <c:v>0.37728558523692529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56-431E-8C47-26EF71D903B2}"/>
            </c:ext>
          </c:extLst>
        </c:ser>
        <c:ser>
          <c:idx val="8"/>
          <c:order val="7"/>
          <c:tx>
            <c:strRef>
              <c:f>'Phase plot R'!$BV$7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R'!$BU$8:$BU$98</c:f>
              <c:numCache>
                <c:formatCode>General</c:formatCode>
                <c:ptCount val="91"/>
                <c:pt idx="0">
                  <c:v>567</c:v>
                </c:pt>
                <c:pt idx="1">
                  <c:v>5748.6896675187727</c:v>
                </c:pt>
                <c:pt idx="2">
                  <c:v>9953.6160041482126</c:v>
                </c:pt>
                <c:pt idx="3">
                  <c:v>13542.889115451952</c:v>
                </c:pt>
                <c:pt idx="4">
                  <c:v>16708.266585126195</c:v>
                </c:pt>
                <c:pt idx="5">
                  <c:v>19556.700904917827</c:v>
                </c:pt>
                <c:pt idx="6">
                  <c:v>22150.775807108188</c:v>
                </c:pt>
                <c:pt idx="7">
                  <c:v>24529.116677315902</c:v>
                </c:pt>
                <c:pt idx="8">
                  <c:v>26717.133961130046</c:v>
                </c:pt>
                <c:pt idx="9">
                  <c:v>28732.849164237577</c:v>
                </c:pt>
                <c:pt idx="10">
                  <c:v>30590.112157087693</c:v>
                </c:pt>
                <c:pt idx="11">
                  <c:v>32300.390203641946</c:v>
                </c:pt>
                <c:pt idx="12">
                  <c:v>33873.75808253789</c:v>
                </c:pt>
                <c:pt idx="13">
                  <c:v>35319.436177661075</c:v>
                </c:pt>
                <c:pt idx="14">
                  <c:v>36646.072488128535</c:v>
                </c:pt>
                <c:pt idx="15">
                  <c:v>37861.88108080349</c:v>
                </c:pt>
                <c:pt idx="16">
                  <c:v>38974.702139135181</c:v>
                </c:pt>
                <c:pt idx="17">
                  <c:v>39992.021325148897</c:v>
                </c:pt>
                <c:pt idx="18">
                  <c:v>40920.970067026537</c:v>
                </c:pt>
                <c:pt idx="19">
                  <c:v>41768.318867948445</c:v>
                </c:pt>
                <c:pt idx="20">
                  <c:v>42540.470108333087</c:v>
                </c:pt>
                <c:pt idx="21">
                  <c:v>43243.453516861518</c:v>
                </c:pt>
                <c:pt idx="22">
                  <c:v>43882.925587876976</c:v>
                </c:pt>
                <c:pt idx="23">
                  <c:v>44464.173166569657</c:v>
                </c:pt>
                <c:pt idx="24">
                  <c:v>44992.120870737461</c:v>
                </c:pt>
                <c:pt idx="25">
                  <c:v>45471.341762664393</c:v>
                </c:pt>
                <c:pt idx="26">
                  <c:v>45906.070600850784</c:v>
                </c:pt>
                <c:pt idx="27">
                  <c:v>46300.219012311667</c:v>
                </c:pt>
                <c:pt idx="28">
                  <c:v>46657.391985695074</c:v>
                </c:pt>
                <c:pt idx="29">
                  <c:v>46980.905166129211</c:v>
                </c:pt>
                <c:pt idx="30">
                  <c:v>47273.802518667668</c:v>
                </c:pt>
                <c:pt idx="31">
                  <c:v>47538.874009769403</c:v>
                </c:pt>
                <c:pt idx="32">
                  <c:v>47778.67303105312</c:v>
                </c:pt>
                <c:pt idx="33">
                  <c:v>47995.533354804473</c:v>
                </c:pt>
                <c:pt idx="34">
                  <c:v>48191.585466073499</c:v>
                </c:pt>
                <c:pt idx="35">
                  <c:v>48368.772162175606</c:v>
                </c:pt>
                <c:pt idx="36">
                  <c:v>48528.863347900842</c:v>
                </c:pt>
                <c:pt idx="37">
                  <c:v>48673.469984799936</c:v>
                </c:pt>
                <c:pt idx="38">
                  <c:v>48804.057176624672</c:v>
                </c:pt>
                <c:pt idx="39">
                  <c:v>48921.956391368098</c:v>
                </c:pt>
                <c:pt idx="40">
                  <c:v>49028.376834292016</c:v>
                </c:pt>
                <c:pt idx="41">
                  <c:v>49124.415996647847</c:v>
                </c:pt>
                <c:pt idx="42">
                  <c:v>49211.069412183322</c:v>
                </c:pt>
                <c:pt idx="43">
                  <c:v>49289.239658564707</c:v>
                </c:pt>
                <c:pt idx="44">
                  <c:v>49359.744644021368</c:v>
                </c:pt>
                <c:pt idx="45">
                  <c:v>49423.325221239917</c:v>
                </c:pt>
                <c:pt idx="46">
                  <c:v>49480.652171130641</c:v>
                </c:pt>
                <c:pt idx="47">
                  <c:v>49532.332598828798</c:v>
                </c:pt>
                <c:pt idx="48">
                  <c:v>49578.915783395692</c:v>
                </c:pt>
                <c:pt idx="49">
                  <c:v>49620.898521323754</c:v>
                </c:pt>
                <c:pt idx="50">
                  <c:v>49658.730002265103</c:v>
                </c:pt>
                <c:pt idx="51">
                  <c:v>49692.816253503901</c:v>
                </c:pt>
                <c:pt idx="52">
                  <c:v>49723.524187665062</c:v>
                </c:pt>
                <c:pt idx="53">
                  <c:v>49751.18528606178</c:v>
                </c:pt>
                <c:pt idx="54">
                  <c:v>49776.098947982362</c:v>
                </c:pt>
                <c:pt idx="55">
                  <c:v>49798.535534141469</c:v>
                </c:pt>
                <c:pt idx="56">
                  <c:v>49818.739130499482</c:v>
                </c:pt>
                <c:pt idx="57">
                  <c:v>49836.930056706828</c:v>
                </c:pt>
                <c:pt idx="58">
                  <c:v>49853.307141570811</c:v>
                </c:pt>
                <c:pt idx="59">
                  <c:v>49868.049786180141</c:v>
                </c:pt>
                <c:pt idx="60">
                  <c:v>49881.319833661335</c:v>
                </c:pt>
                <c:pt idx="61">
                  <c:v>49893.263262983688</c:v>
                </c:pt>
                <c:pt idx="62">
                  <c:v>49904.011722775293</c:v>
                </c:pt>
                <c:pt idx="63">
                  <c:v>49913.683919759555</c:v>
                </c:pt>
                <c:pt idx="64">
                  <c:v>49922.386875166936</c:v>
                </c:pt>
                <c:pt idx="65">
                  <c:v>49930.217061316122</c:v>
                </c:pt>
                <c:pt idx="66">
                  <c:v>49937.26142948788</c:v>
                </c:pt>
                <c:pt idx="67">
                  <c:v>49943.598339228927</c:v>
                </c:pt>
                <c:pt idx="68">
                  <c:v>49949.298398316794</c:v>
                </c:pt>
                <c:pt idx="69">
                  <c:v>49954.425221785234</c:v>
                </c:pt>
                <c:pt idx="70">
                  <c:v>49959.036117647673</c:v>
                </c:pt>
                <c:pt idx="71">
                  <c:v>49963.182706259162</c:v>
                </c:pt>
                <c:pt idx="72">
                  <c:v>49966.911479620016</c:v>
                </c:pt>
                <c:pt idx="73">
                  <c:v>49970.264306342549</c:v>
                </c:pt>
                <c:pt idx="74">
                  <c:v>49973.278887471773</c:v>
                </c:pt>
                <c:pt idx="75">
                  <c:v>49975.989167867207</c:v>
                </c:pt>
                <c:pt idx="76">
                  <c:v>49978.425707412673</c:v>
                </c:pt>
                <c:pt idx="77">
                  <c:v>49980.616015920299</c:v>
                </c:pt>
                <c:pt idx="78">
                  <c:v>49982.584855230365</c:v>
                </c:pt>
                <c:pt idx="79">
                  <c:v>49984.35451167779</c:v>
                </c:pt>
                <c:pt idx="80">
                  <c:v>49985.945041794985</c:v>
                </c:pt>
                <c:pt idx="81">
                  <c:v>49987.374493848016</c:v>
                </c:pt>
                <c:pt idx="82">
                  <c:v>49988.659107555097</c:v>
                </c:pt>
                <c:pt idx="83">
                  <c:v>49989.813494111877</c:v>
                </c:pt>
                <c:pt idx="84">
                  <c:v>49990.850798444175</c:v>
                </c:pt>
                <c:pt idx="85">
                  <c:v>49991.782845424292</c:v>
                </c:pt>
                <c:pt idx="86">
                  <c:v>49992.620271619831</c:v>
                </c:pt>
                <c:pt idx="87">
                  <c:v>49993.372643992385</c:v>
                </c:pt>
                <c:pt idx="88">
                  <c:v>49994.048566826568</c:v>
                </c:pt>
                <c:pt idx="89">
                  <c:v>49994.655778045621</c:v>
                </c:pt>
                <c:pt idx="90">
                  <c:v>49995.201235957698</c:v>
                </c:pt>
              </c:numCache>
            </c:numRef>
          </c:xVal>
          <c:yVal>
            <c:numRef>
              <c:f>'Phase plot R'!$BV$8:$BV$98</c:f>
              <c:numCache>
                <c:formatCode>General</c:formatCode>
                <c:ptCount val="91"/>
                <c:pt idx="0">
                  <c:v>49433</c:v>
                </c:pt>
                <c:pt idx="1">
                  <c:v>37635.213266654566</c:v>
                </c:pt>
                <c:pt idx="2">
                  <c:v>29093.781559145798</c:v>
                </c:pt>
                <c:pt idx="3">
                  <c:v>22785.462591963023</c:v>
                </c:pt>
                <c:pt idx="4">
                  <c:v>18050.72180552184</c:v>
                </c:pt>
                <c:pt idx="5">
                  <c:v>14448.131324239783</c:v>
                </c:pt>
                <c:pt idx="6">
                  <c:v>11673.821809404435</c:v>
                </c:pt>
                <c:pt idx="7">
                  <c:v>9514.0475656567687</c:v>
                </c:pt>
                <c:pt idx="8">
                  <c:v>7815.8368488466103</c:v>
                </c:pt>
                <c:pt idx="9">
                  <c:v>6468.1263166365452</c:v>
                </c:pt>
                <c:pt idx="10">
                  <c:v>5389.272646094144</c:v>
                </c:pt>
                <c:pt idx="11">
                  <c:v>4518.5931819382567</c:v>
                </c:pt>
                <c:pt idx="12">
                  <c:v>3810.529057100257</c:v>
                </c:pt>
                <c:pt idx="13">
                  <c:v>3230.5559993919701</c:v>
                </c:pt>
                <c:pt idx="14">
                  <c:v>2752.2821900015874</c:v>
                </c:pt>
                <c:pt idx="15">
                  <c:v>2355.3651274895383</c:v>
                </c:pt>
                <c:pt idx="16">
                  <c:v>2024.001121360694</c:v>
                </c:pt>
                <c:pt idx="17">
                  <c:v>1745.8198062180745</c:v>
                </c:pt>
                <c:pt idx="18">
                  <c:v>1511.0680874058085</c:v>
                </c:pt>
                <c:pt idx="19">
                  <c:v>1312.0028575876333</c:v>
                </c:pt>
                <c:pt idx="20">
                  <c:v>1142.4356064382769</c:v>
                </c:pt>
                <c:pt idx="21">
                  <c:v>997.38843569858784</c:v>
                </c:pt>
                <c:pt idx="22">
                  <c:v>872.83240790911384</c:v>
                </c:pt>
                <c:pt idx="23">
                  <c:v>765.48718502572376</c:v>
                </c:pt>
                <c:pt idx="24">
                  <c:v>672.666607954342</c:v>
                </c:pt>
                <c:pt idx="25">
                  <c:v>592.15894073018615</c:v>
                </c:pt>
                <c:pt idx="26">
                  <c:v>522.13343791184332</c:v>
                </c:pt>
                <c:pt idx="27">
                  <c:v>461.06702394603366</c:v>
                </c:pt>
                <c:pt idx="28">
                  <c:v>407.68643005479635</c:v>
                </c:pt>
                <c:pt idx="29">
                  <c:v>360.9222794524016</c:v>
                </c:pt>
                <c:pt idx="30">
                  <c:v>319.87245954918171</c:v>
                </c:pt>
                <c:pt idx="31">
                  <c:v>283.77275131091716</c:v>
                </c:pt>
                <c:pt idx="32">
                  <c:v>251.97315909005474</c:v>
                </c:pt>
                <c:pt idx="33">
                  <c:v>223.91874076047355</c:v>
                </c:pt>
                <c:pt idx="34">
                  <c:v>199.13400809923093</c:v>
                </c:pt>
                <c:pt idx="35">
                  <c:v>177.21017309572179</c:v>
                </c:pt>
                <c:pt idx="36">
                  <c:v>157.79467337886251</c:v>
                </c:pt>
                <c:pt idx="37">
                  <c:v>140.58253114045365</c:v>
                </c:pt>
                <c:pt idx="38">
                  <c:v>125.3091936219754</c:v>
                </c:pt>
                <c:pt idx="39">
                  <c:v>111.74457599885352</c:v>
                </c:pt>
                <c:pt idx="40">
                  <c:v>99.688084266997521</c:v>
                </c:pt>
                <c:pt idx="41">
                  <c:v>88.964440220171667</c:v>
                </c:pt>
                <c:pt idx="42">
                  <c:v>79.420165609729821</c:v>
                </c:pt>
                <c:pt idx="43">
                  <c:v>70.920610233683917</c:v>
                </c:pt>
                <c:pt idx="44">
                  <c:v>63.347430639132725</c:v>
                </c:pt>
                <c:pt idx="45">
                  <c:v>56.59644359047001</c:v>
                </c:pt>
                <c:pt idx="46">
                  <c:v>50.575792418304474</c:v>
                </c:pt>
                <c:pt idx="47">
                  <c:v>45.204375565486494</c:v>
                </c:pt>
                <c:pt idx="48">
                  <c:v>40.410495665574317</c:v>
                </c:pt>
                <c:pt idx="49">
                  <c:v>36.130694776589465</c:v>
                </c:pt>
                <c:pt idx="50">
                  <c:v>32.308747302070344</c:v>
                </c:pt>
                <c:pt idx="51">
                  <c:v>28.894786939564472</c:v>
                </c:pt>
                <c:pt idx="52">
                  <c:v>25.844547922405699</c:v>
                </c:pt>
                <c:pt idx="53">
                  <c:v>23.118704036795993</c:v>
                </c:pt>
                <c:pt idx="54">
                  <c:v>20.68229154003938</c:v>
                </c:pt>
                <c:pt idx="55">
                  <c:v>18.504204286459707</c:v>
                </c:pt>
                <c:pt idx="56">
                  <c:v>16.556751172266129</c:v>
                </c:pt>
                <c:pt idx="57">
                  <c:v>14.815267509238222</c:v>
                </c:pt>
                <c:pt idx="58">
                  <c:v>13.25777318567296</c:v>
                </c:pt>
                <c:pt idx="59">
                  <c:v>11.864671516747006</c:v>
                </c:pt>
                <c:pt idx="60">
                  <c:v>10.6184835617965</c:v>
                </c:pt>
                <c:pt idx="61">
                  <c:v>9.5036134225683107</c:v>
                </c:pt>
                <c:pt idx="62">
                  <c:v>8.5061406582693593</c:v>
                </c:pt>
                <c:pt idx="63">
                  <c:v>7.6136364798001823</c:v>
                </c:pt>
                <c:pt idx="64">
                  <c:v>6.8150008328885612</c:v>
                </c:pt>
                <c:pt idx="65">
                  <c:v>6.1003178610325532</c:v>
                </c:pt>
                <c:pt idx="66">
                  <c:v>5.4607275649761169</c:v>
                </c:pt>
                <c:pt idx="67">
                  <c:v>4.8883117547363675</c:v>
                </c:pt>
                <c:pt idx="68">
                  <c:v>4.3759926303010799</c:v>
                </c:pt>
                <c:pt idx="69">
                  <c:v>3.9174425340850996</c:v>
                </c:pt>
                <c:pt idx="70">
                  <c:v>3.5070035971165425</c:v>
                </c:pt>
                <c:pt idx="71">
                  <c:v>3.1396161559202769</c:v>
                </c:pt>
                <c:pt idx="72">
                  <c:v>2.8107549516901118</c:v>
                </c:pt>
                <c:pt idx="73">
                  <c:v>2.5163722405378945</c:v>
                </c:pt>
                <c:pt idx="74">
                  <c:v>2.2528470458544878</c:v>
                </c:pt>
                <c:pt idx="75">
                  <c:v>2.0169398732039485</c:v>
                </c:pt>
                <c:pt idx="76">
                  <c:v>1.805752286466022</c:v>
                </c:pt>
                <c:pt idx="77">
                  <c:v>1.6166908126435167</c:v>
                </c:pt>
                <c:pt idx="78">
                  <c:v>1.447434703136993</c:v>
                </c:pt>
                <c:pt idx="79">
                  <c:v>1.2959071324493185</c:v>
                </c:pt>
                <c:pt idx="80">
                  <c:v>1.1602494621498571</c:v>
                </c:pt>
                <c:pt idx="81">
                  <c:v>1.0387982393031361</c:v>
                </c:pt>
                <c:pt idx="82">
                  <c:v>0.93006463513898918</c:v>
                </c:pt>
                <c:pt idx="83">
                  <c:v>0.83271606210516225</c:v>
                </c:pt>
                <c:pt idx="84">
                  <c:v>0.74555973611378024</c:v>
                </c:pt>
                <c:pt idx="85">
                  <c:v>0.66752797621616411</c:v>
                </c:pt>
                <c:pt idx="86">
                  <c:v>0.59766505650418977</c:v>
                </c:pt>
                <c:pt idx="87">
                  <c:v>0.53511544507866826</c:v>
                </c:pt>
                <c:pt idx="88">
                  <c:v>0.47911328274114884</c:v>
                </c:pt>
                <c:pt idx="89">
                  <c:v>0.42897296991321932</c:v>
                </c:pt>
                <c:pt idx="90">
                  <c:v>0.38408074439300177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56-431E-8C47-26EF71D903B2}"/>
            </c:ext>
          </c:extLst>
        </c:ser>
        <c:ser>
          <c:idx val="9"/>
          <c:order val="8"/>
          <c:tx>
            <c:strRef>
              <c:f>'Phase plot R'!$BY$7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R'!$BX$8:$BX$98</c:f>
              <c:numCache>
                <c:formatCode>General</c:formatCode>
                <c:ptCount val="91"/>
                <c:pt idx="0">
                  <c:v>4356</c:v>
                </c:pt>
                <c:pt idx="1">
                  <c:v>9597.1935523138745</c:v>
                </c:pt>
                <c:pt idx="2">
                  <c:v>14236.544187631727</c:v>
                </c:pt>
                <c:pt idx="3">
                  <c:v>18343.164839714682</c:v>
                </c:pt>
                <c:pt idx="4">
                  <c:v>21978.230263072139</c:v>
                </c:pt>
                <c:pt idx="5">
                  <c:v>25195.889469244656</c:v>
                </c:pt>
                <c:pt idx="6">
                  <c:v>28044.07298906755</c:v>
                </c:pt>
                <c:pt idx="7">
                  <c:v>30565.207217596755</c:v>
                </c:pt>
                <c:pt idx="8">
                  <c:v>32796.846608400956</c:v>
                </c:pt>
                <c:pt idx="9">
                  <c:v>34772.233203903364</c:v>
                </c:pt>
                <c:pt idx="10">
                  <c:v>36520.791875549512</c:v>
                </c:pt>
                <c:pt idx="11">
                  <c:v>38068.568673095629</c:v>
                </c:pt>
                <c:pt idx="12">
                  <c:v>39438.618825447556</c:v>
                </c:pt>
                <c:pt idx="13">
                  <c:v>40651.350180138033</c:v>
                </c:pt>
                <c:pt idx="14">
                  <c:v>41724.827201663902</c:v>
                </c:pt>
                <c:pt idx="15">
                  <c:v>42675.040059596642</c:v>
                </c:pt>
                <c:pt idx="16">
                  <c:v>43516.142816303392</c:v>
                </c:pt>
                <c:pt idx="17">
                  <c:v>44260.664263200226</c:v>
                </c:pt>
                <c:pt idx="18">
                  <c:v>44919.694546660823</c:v>
                </c:pt>
                <c:pt idx="19">
                  <c:v>45503.050363845599</c:v>
                </c:pt>
                <c:pt idx="20">
                  <c:v>46019.421189362271</c:v>
                </c:pt>
                <c:pt idx="21">
                  <c:v>46476.498711026165</c:v>
                </c:pt>
                <c:pt idx="22">
                  <c:v>46881.091402826125</c:v>
                </c:pt>
                <c:pt idx="23">
                  <c:v>47239.225941779638</c:v>
                </c:pt>
                <c:pt idx="24">
                  <c:v>47556.236979373258</c:v>
                </c:pt>
                <c:pt idx="25">
                  <c:v>47836.846604807295</c:v>
                </c:pt>
                <c:pt idx="26">
                  <c:v>48085.234683709714</c:v>
                </c:pt>
                <c:pt idx="27">
                  <c:v>48305.101120064675</c:v>
                </c:pt>
                <c:pt idx="28">
                  <c:v>48499.72096878993</c:v>
                </c:pt>
                <c:pt idx="29">
                  <c:v>48671.993219902055</c:v>
                </c:pt>
                <c:pt idx="30">
                  <c:v>48824.483980941935</c:v>
                </c:pt>
                <c:pt idx="31">
                  <c:v>48959.464700891302</c:v>
                </c:pt>
                <c:pt idx="32">
                  <c:v>49078.946004950674</c:v>
                </c:pt>
                <c:pt idx="33">
                  <c:v>49184.707644170099</c:v>
                </c:pt>
                <c:pt idx="34">
                  <c:v>49278.325006052248</c:v>
                </c:pt>
                <c:pt idx="35">
                  <c:v>49361.192581021009</c:v>
                </c:pt>
                <c:pt idx="36">
                  <c:v>49434.544734304327</c:v>
                </c:pt>
                <c:pt idx="37">
                  <c:v>49499.474092642471</c:v>
                </c:pt>
                <c:pt idx="38">
                  <c:v>49556.947819704219</c:v>
                </c:pt>
                <c:pt idx="39">
                  <c:v>49607.822022644359</c:v>
                </c:pt>
                <c:pt idx="40">
                  <c:v>49652.854504398019</c:v>
                </c:pt>
                <c:pt idx="41">
                  <c:v>49692.716051666051</c:v>
                </c:pt>
                <c:pt idx="42">
                  <c:v>49728.00042673375</c:v>
                </c:pt>
                <c:pt idx="43">
                  <c:v>49759.233211957966</c:v>
                </c:pt>
                <c:pt idx="44">
                  <c:v>49786.879638667378</c:v>
                </c:pt>
                <c:pt idx="45">
                  <c:v>49811.351517092822</c:v>
                </c:pt>
                <c:pt idx="46">
                  <c:v>49833.013370553788</c:v>
                </c:pt>
                <c:pt idx="47">
                  <c:v>49852.187865274114</c:v>
                </c:pt>
                <c:pt idx="48">
                  <c:v>49869.160616707675</c:v>
                </c:pt>
                <c:pt idx="49">
                  <c:v>49884.184443967686</c:v>
                </c:pt>
                <c:pt idx="50">
                  <c:v>49897.483135732313</c:v>
                </c:pt>
                <c:pt idx="51">
                  <c:v>49909.254783722288</c:v>
                </c:pt>
                <c:pt idx="52">
                  <c:v>49919.674733405081</c:v>
                </c:pt>
                <c:pt idx="53">
                  <c:v>49928.898195878362</c:v>
                </c:pt>
                <c:pt idx="54">
                  <c:v>49937.06255983856</c:v>
                </c:pt>
                <c:pt idx="55">
                  <c:v>49944.289438072876</c:v>
                </c:pt>
                <c:pt idx="56">
                  <c:v>49950.686478958705</c:v>
                </c:pt>
                <c:pt idx="57">
                  <c:v>49956.34896995395</c:v>
                </c:pt>
                <c:pt idx="58">
                  <c:v>49961.361256963268</c:v>
                </c:pt>
                <c:pt idx="59">
                  <c:v>49965.798000722796</c:v>
                </c:pt>
                <c:pt idx="60">
                  <c:v>49969.725288917936</c:v>
                </c:pt>
                <c:pt idx="61">
                  <c:v>49973.201620600033</c:v>
                </c:pt>
                <c:pt idx="62">
                  <c:v>49976.278777565436</c:v>
                </c:pt>
                <c:pt idx="63">
                  <c:v>49979.002595676728</c:v>
                </c:pt>
                <c:pt idx="64">
                  <c:v>49981.413647615525</c:v>
                </c:pt>
                <c:pt idx="65">
                  <c:v>49983.547847236841</c:v>
                </c:pt>
                <c:pt idx="66">
                  <c:v>49985.436984527274</c:v>
                </c:pt>
                <c:pt idx="67">
                  <c:v>49987.109199135601</c:v>
                </c:pt>
                <c:pt idx="68">
                  <c:v>49988.589399529345</c:v>
                </c:pt>
                <c:pt idx="69">
                  <c:v>49989.899634020847</c:v>
                </c:pt>
                <c:pt idx="70">
                  <c:v>49991.059419189609</c:v>
                </c:pt>
                <c:pt idx="71">
                  <c:v>49992.086030592909</c:v>
                </c:pt>
                <c:pt idx="72">
                  <c:v>49992.99476009504</c:v>
                </c:pt>
                <c:pt idx="73">
                  <c:v>49993.799143648233</c:v>
                </c:pt>
                <c:pt idx="74">
                  <c:v>49994.511162918228</c:v>
                </c:pt>
                <c:pt idx="75">
                  <c:v>49995.141423757836</c:v>
                </c:pt>
                <c:pt idx="76">
                  <c:v>49995.69931418691</c:v>
                </c:pt>
                <c:pt idx="77">
                  <c:v>49996.193144232027</c:v>
                </c:pt>
                <c:pt idx="78">
                  <c:v>49996.630269708832</c:v>
                </c:pt>
                <c:pt idx="79">
                  <c:v>49997.017201790819</c:v>
                </c:pt>
                <c:pt idx="80">
                  <c:v>49997.359703996714</c:v>
                </c:pt>
                <c:pt idx="81">
                  <c:v>49997.662878041119</c:v>
                </c:pt>
                <c:pt idx="82">
                  <c:v>49997.931239827187</c:v>
                </c:pt>
                <c:pt idx="83">
                  <c:v>49998.16878671333</c:v>
                </c:pt>
                <c:pt idx="84">
                  <c:v>49998.379057055907</c:v>
                </c:pt>
                <c:pt idx="85">
                  <c:v>49998.565182914819</c:v>
                </c:pt>
                <c:pt idx="86">
                  <c:v>49998.729936707103</c:v>
                </c:pt>
                <c:pt idx="87">
                  <c:v>49998.875772503452</c:v>
                </c:pt>
                <c:pt idx="88">
                  <c:v>49999.004862582799</c:v>
                </c:pt>
                <c:pt idx="89">
                  <c:v>49999.11912978944</c:v>
                </c:pt>
                <c:pt idx="90">
                  <c:v>49999.220276174747</c:v>
                </c:pt>
              </c:numCache>
            </c:numRef>
          </c:xVal>
          <c:yVal>
            <c:numRef>
              <c:f>'Phase plot R'!$BY$8:$BY$98</c:f>
              <c:numCache>
                <c:formatCode>General</c:formatCode>
                <c:ptCount val="91"/>
                <c:pt idx="0">
                  <c:v>1</c:v>
                </c:pt>
                <c:pt idx="1">
                  <c:v>0.77072444603164347</c:v>
                </c:pt>
                <c:pt idx="2">
                  <c:v>0.60408639325162916</c:v>
                </c:pt>
                <c:pt idx="3">
                  <c:v>0.48062667606547038</c:v>
                </c:pt>
                <c:pt idx="4">
                  <c:v>0.38753575207653795</c:v>
                </c:pt>
                <c:pt idx="5">
                  <c:v>0.3162057468995132</c:v>
                </c:pt>
                <c:pt idx="6">
                  <c:v>0.26074012380104827</c:v>
                </c:pt>
                <c:pt idx="7">
                  <c:v>0.21702677767670595</c:v>
                </c:pt>
                <c:pt idx="8">
                  <c:v>0.18214984214520197</c:v>
                </c:pt>
                <c:pt idx="9">
                  <c:v>0.15400931493884326</c:v>
                </c:pt>
                <c:pt idx="10">
                  <c:v>0.13107067052795709</c:v>
                </c:pt>
                <c:pt idx="11">
                  <c:v>0.11219726891915938</c:v>
                </c:pt>
                <c:pt idx="12">
                  <c:v>9.6536413443463101E-2</c:v>
                </c:pt>
                <c:pt idx="13">
                  <c:v>8.344073719598491E-2</c:v>
                </c:pt>
                <c:pt idx="14">
                  <c:v>7.2413210747046527E-2</c:v>
                </c:pt>
                <c:pt idx="15">
                  <c:v>6.3068171613960583E-2</c:v>
                </c:pt>
                <c:pt idx="16">
                  <c:v>5.5103368892978753E-2</c:v>
                </c:pt>
                <c:pt idx="17">
                  <c:v>4.8279678141675351E-2</c:v>
                </c:pt>
                <c:pt idx="18">
                  <c:v>4.2406221956591064E-2</c:v>
                </c:pt>
                <c:pt idx="19">
                  <c:v>3.7329343750807542E-2</c:v>
                </c:pt>
                <c:pt idx="20">
                  <c:v>3.2924357680950422E-2</c:v>
                </c:pt>
                <c:pt idx="21">
                  <c:v>2.9089319064392768E-2</c:v>
                </c:pt>
                <c:pt idx="22">
                  <c:v>2.5740279439489342E-2</c:v>
                </c:pt>
                <c:pt idx="23">
                  <c:v>2.2807642441571574E-2</c:v>
                </c:pt>
                <c:pt idx="24">
                  <c:v>2.023334292070678E-2</c:v>
                </c:pt>
                <c:pt idx="25">
                  <c:v>1.7968646742669073E-2</c:v>
                </c:pt>
                <c:pt idx="26">
                  <c:v>1.5972422184533958E-2</c:v>
                </c:pt>
                <c:pt idx="27">
                  <c:v>1.4209772296739167E-2</c:v>
                </c:pt>
                <c:pt idx="28">
                  <c:v>1.2650945507465301E-2</c:v>
                </c:pt>
                <c:pt idx="29">
                  <c:v>1.1270462156887047E-2</c:v>
                </c:pt>
                <c:pt idx="30">
                  <c:v>1.0046409696599534E-2</c:v>
                </c:pt>
                <c:pt idx="31">
                  <c:v>8.9598704651730216E-3</c:v>
                </c:pt>
                <c:pt idx="32">
                  <c:v>7.994454309117955E-3</c:v>
                </c:pt>
                <c:pt idx="33">
                  <c:v>7.1359146115471637E-3</c:v>
                </c:pt>
                <c:pt idx="34">
                  <c:v>6.3718310589134606E-3</c:v>
                </c:pt>
                <c:pt idx="35">
                  <c:v>5.6913461107072029E-3</c:v>
                </c:pt>
                <c:pt idx="36">
                  <c:v>5.0849449233636226E-3</c:v>
                </c:pt>
                <c:pt idx="37">
                  <c:v>4.5442706275174083E-3</c:v>
                </c:pt>
                <c:pt idx="38">
                  <c:v>4.0619685221782312E-3</c:v>
                </c:pt>
                <c:pt idx="39">
                  <c:v>3.6315540457394629E-3</c:v>
                </c:pt>
                <c:pt idx="40">
                  <c:v>3.2473003983244965E-3</c:v>
                </c:pt>
                <c:pt idx="41">
                  <c:v>2.9041424878316286E-3</c:v>
                </c:pt>
                <c:pt idx="42">
                  <c:v>2.5975945023696541E-3</c:v>
                </c:pt>
                <c:pt idx="43">
                  <c:v>2.3236789120243007E-3</c:v>
                </c:pt>
                <c:pt idx="44">
                  <c:v>2.0788651016877889E-3</c:v>
                </c:pt>
                <c:pt idx="45">
                  <c:v>1.8600161560098705E-3</c:v>
                </c:pt>
                <c:pt idx="46">
                  <c:v>1.6643425743541542E-3</c:v>
                </c:pt>
                <c:pt idx="47">
                  <c:v>1.4893619011128187E-3</c:v>
                </c:pt>
                <c:pt idx="48">
                  <c:v>1.3328634250708137E-3</c:v>
                </c:pt>
                <c:pt idx="49">
                  <c:v>1.1928772387019384E-3</c:v>
                </c:pt>
                <c:pt idx="50">
                  <c:v>1.0676470605821564E-3</c:v>
                </c:pt>
                <c:pt idx="51">
                  <c:v>9.5560631644325529E-4</c:v>
                </c:pt>
                <c:pt idx="52">
                  <c:v>8.5535705064896067E-4</c:v>
                </c:pt>
                <c:pt idx="53">
                  <c:v>7.6565130313457051E-4</c:v>
                </c:pt>
                <c:pt idx="54">
                  <c:v>6.8537463955737135E-4</c:v>
                </c:pt>
                <c:pt idx="55">
                  <c:v>6.1353156651051889E-4</c:v>
                </c:pt>
                <c:pt idx="56">
                  <c:v>5.4923260072002524E-4</c:v>
                </c:pt>
                <c:pt idx="57">
                  <c:v>4.9168279242774041E-4</c:v>
                </c:pt>
                <c:pt idx="58">
                  <c:v>4.401715296740254E-4</c:v>
                </c:pt>
                <c:pt idx="59">
                  <c:v>3.9406347275013911E-4</c:v>
                </c:pt>
                <c:pt idx="60">
                  <c:v>3.527904873562031E-4</c:v>
                </c:pt>
                <c:pt idx="61">
                  <c:v>3.1584446151698014E-4</c:v>
                </c:pt>
                <c:pt idx="62">
                  <c:v>2.8277090551708444E-4</c:v>
                </c:pt>
                <c:pt idx="63">
                  <c:v>2.5316324638292756E-4</c:v>
                </c:pt>
                <c:pt idx="64">
                  <c:v>2.2665773906013274E-4</c:v>
                </c:pt>
                <c:pt idx="65">
                  <c:v>2.029289256601231E-4</c:v>
                </c:pt>
                <c:pt idx="66">
                  <c:v>1.8168558218399194E-4</c:v>
                </c:pt>
                <c:pt idx="67">
                  <c:v>1.6266709914735278E-4</c:v>
                </c:pt>
                <c:pt idx="68">
                  <c:v>1.4564024867051104E-4</c:v>
                </c:pt>
                <c:pt idx="69">
                  <c:v>1.3039629598498551E-4</c:v>
                </c:pt>
                <c:pt idx="70">
                  <c:v>1.167484180422963E-4</c:v>
                </c:pt>
                <c:pt idx="71">
                  <c:v>1.0452939608062289E-4</c:v>
                </c:pt>
                <c:pt idx="72">
                  <c:v>9.3589552683108414E-5</c:v>
                </c:pt>
                <c:pt idx="73">
                  <c:v>8.3794907111181964E-5</c:v>
                </c:pt>
                <c:pt idx="74">
                  <c:v>7.5025525571238556E-5</c:v>
                </c:pt>
                <c:pt idx="75">
                  <c:v>6.7174045619759954E-5</c:v>
                </c:pt>
                <c:pt idx="76">
                  <c:v>6.0144356170525702E-5</c:v>
                </c:pt>
                <c:pt idx="77">
                  <c:v>5.3850416572619859E-5</c:v>
                </c:pt>
                <c:pt idx="78">
                  <c:v>4.82152000095852E-5</c:v>
                </c:pt>
                <c:pt idx="79">
                  <c:v>4.3169748054519309E-5</c:v>
                </c:pt>
                <c:pt idx="80">
                  <c:v>3.8652324626021419E-5</c:v>
                </c:pt>
                <c:pt idx="81">
                  <c:v>3.4607658845700709E-5</c:v>
                </c:pt>
                <c:pt idx="82">
                  <c:v>3.0986267416998279E-5</c:v>
                </c:pt>
                <c:pt idx="83">
                  <c:v>2.7743848142779229E-5</c:v>
                </c:pt>
                <c:pt idx="84">
                  <c:v>2.4840737089096762E-5</c:v>
                </c:pt>
                <c:pt idx="85">
                  <c:v>2.2241422696690586E-5</c:v>
                </c:pt>
                <c:pt idx="86">
                  <c:v>1.9914110850733397E-5</c:v>
                </c:pt>
                <c:pt idx="87">
                  <c:v>1.7830335552436108E-5</c:v>
                </c:pt>
                <c:pt idx="88">
                  <c:v>1.5964610401649393E-5</c:v>
                </c:pt>
                <c:pt idx="89">
                  <c:v>1.4294116604901325E-5</c:v>
                </c:pt>
                <c:pt idx="90">
                  <c:v>1.2798423674908243E-5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56-431E-8C47-26EF71D90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60816"/>
        <c:axId val="1246156656"/>
      </c:scatterChart>
      <c:valAx>
        <c:axId val="1246160816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56656"/>
        <c:crosses val="autoZero"/>
        <c:crossBetween val="midCat"/>
      </c:valAx>
      <c:valAx>
        <c:axId val="12461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6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1" i="0" u="none" strike="noStrike" baseline="0">
                <a:effectLst/>
              </a:rPr>
              <a:t>Phase plot for solutions obtained using third-order Runge-Kutta method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'Phase plot K'!$N$7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'Phase plot K'!$M$8:$M$98</c:f>
              <c:numCache>
                <c:formatCode>General</c:formatCode>
                <c:ptCount val="91"/>
                <c:pt idx="0">
                  <c:v>0</c:v>
                </c:pt>
                <c:pt idx="1">
                  <c:v>3263.4401689760093</c:v>
                </c:pt>
                <c:pt idx="2">
                  <c:v>6200.5497893825186</c:v>
                </c:pt>
                <c:pt idx="3">
                  <c:v>8879.3954310113877</c:v>
                </c:pt>
                <c:pt idx="4">
                  <c:v>11340.945780622726</c:v>
                </c:pt>
                <c:pt idx="5">
                  <c:v>13611.599273087237</c:v>
                </c:pt>
                <c:pt idx="6">
                  <c:v>15709.444398924192</c:v>
                </c:pt>
                <c:pt idx="7">
                  <c:v>17647.539575023595</c:v>
                </c:pt>
                <c:pt idx="8">
                  <c:v>19435.691917495918</c:v>
                </c:pt>
                <c:pt idx="9">
                  <c:v>21081.445137543426</c:v>
                </c:pt>
                <c:pt idx="10">
                  <c:v>22590.635821068037</c:v>
                </c:pt>
                <c:pt idx="11">
                  <c:v>23967.708405619745</c:v>
                </c:pt>
                <c:pt idx="12">
                  <c:v>25215.89464885744</c:v>
                </c:pt>
                <c:pt idx="13">
                  <c:v>26337.320220990365</c:v>
                </c:pt>
                <c:pt idx="14">
                  <c:v>27333.079172718877</c:v>
                </c:pt>
                <c:pt idx="15">
                  <c:v>28203.306575891493</c:v>
                </c:pt>
                <c:pt idx="16">
                  <c:v>28947.275425929642</c:v>
                </c:pt>
                <c:pt idx="17">
                  <c:v>29563.542832232022</c:v>
                </c:pt>
                <c:pt idx="18">
                  <c:v>30050.170271558123</c:v>
                </c:pt>
                <c:pt idx="19">
                  <c:v>30405.040980474863</c:v>
                </c:pt>
                <c:pt idx="20">
                  <c:v>30626.291944642544</c:v>
                </c:pt>
                <c:pt idx="21">
                  <c:v>30712.86585332458</c:v>
                </c:pt>
                <c:pt idx="22">
                  <c:v>30665.16785822553</c:v>
                </c:pt>
                <c:pt idx="23">
                  <c:v>30485.782868225808</c:v>
                </c:pt>
                <c:pt idx="24">
                  <c:v>30180.17471988302</c:v>
                </c:pt>
                <c:pt idx="25">
                  <c:v>29757.256827296969</c:v>
                </c:pt>
                <c:pt idx="26">
                  <c:v>29229.706989129671</c:v>
                </c:pt>
                <c:pt idx="27">
                  <c:v>28613.910002777273</c:v>
                </c:pt>
                <c:pt idx="28">
                  <c:v>27929.458495072948</c:v>
                </c:pt>
                <c:pt idx="29">
                  <c:v>27198.220972991021</c:v>
                </c:pt>
                <c:pt idx="30">
                  <c:v>26443.077925741971</c:v>
                </c:pt>
                <c:pt idx="31">
                  <c:v>25686.503372875228</c:v>
                </c:pt>
                <c:pt idx="32">
                  <c:v>24949.203915534767</c:v>
                </c:pt>
                <c:pt idx="33">
                  <c:v>24249.008096646765</c:v>
                </c:pt>
                <c:pt idx="34">
                  <c:v>23600.134177425574</c:v>
                </c:pt>
                <c:pt idx="35">
                  <c:v>23012.878437477226</c:v>
                </c:pt>
                <c:pt idx="36">
                  <c:v>22493.686571215985</c:v>
                </c:pt>
                <c:pt idx="37">
                  <c:v>22045.517399003507</c:v>
                </c:pt>
                <c:pt idx="38">
                  <c:v>21668.387282015952</c:v>
                </c:pt>
                <c:pt idx="39">
                  <c:v>21359.990161762504</c:v>
                </c:pt>
                <c:pt idx="40">
                  <c:v>21116.311129481124</c:v>
                </c:pt>
                <c:pt idx="41">
                  <c:v>20932.179868433577</c:v>
                </c:pt>
                <c:pt idx="42">
                  <c:v>20801.736395166768</c:v>
                </c:pt>
                <c:pt idx="43">
                  <c:v>20718.80137410665</c:v>
                </c:pt>
                <c:pt idx="44">
                  <c:v>20677.156112289864</c:v>
                </c:pt>
                <c:pt idx="45">
                  <c:v>20670.74416230321</c:v>
                </c:pt>
                <c:pt idx="46">
                  <c:v>20693.808940407511</c:v>
                </c:pt>
                <c:pt idx="47">
                  <c:v>20740.981537731681</c:v>
                </c:pt>
                <c:pt idx="48">
                  <c:v>20807.331251048148</c:v>
                </c:pt>
                <c:pt idx="49">
                  <c:v>20888.389159282458</c:v>
                </c:pt>
                <c:pt idx="50">
                  <c:v>20980.152842949818</c:v>
                </c:pt>
                <c:pt idx="51">
                  <c:v>21079.078351420834</c:v>
                </c:pt>
                <c:pt idx="52">
                  <c:v>21182.063869677564</c:v>
                </c:pt>
                <c:pt idx="53">
                  <c:v>21286.428231976683</c:v>
                </c:pt>
                <c:pt idx="54">
                  <c:v>21389.886439339141</c:v>
                </c:pt>
                <c:pt idx="55">
                  <c:v>21490.523609056443</c:v>
                </c:pt>
                <c:pt idx="56">
                  <c:v>21586.768264093858</c:v>
                </c:pt>
                <c:pt idx="57">
                  <c:v>21677.365510765841</c:v>
                </c:pt>
                <c:pt idx="58">
                  <c:v>21761.350414850815</c:v>
                </c:pt>
                <c:pt idx="59">
                  <c:v>21838.021737941333</c:v>
                </c:pt>
                <c:pt idx="60">
                  <c:v>21906.916112766725</c:v>
                </c:pt>
                <c:pt idx="61">
                  <c:v>21967.782699491436</c:v>
                </c:pt>
                <c:pt idx="62">
                  <c:v>22020.558359827581</c:v>
                </c:pt>
                <c:pt idx="63">
                  <c:v>22065.343400627669</c:v>
                </c:pt>
                <c:pt idx="64">
                  <c:v>22102.377964279767</c:v>
                </c:pt>
                <c:pt idx="65">
                  <c:v>22132.019172457418</c:v>
                </c:pt>
                <c:pt idx="66">
                  <c:v>22154.719156932242</c:v>
                </c:pt>
                <c:pt idx="67">
                  <c:v>22171.004132032398</c:v>
                </c:pt>
                <c:pt idx="68">
                  <c:v>22181.454675070003</c:v>
                </c:pt>
                <c:pt idx="69">
                  <c:v>22186.68738209139</c:v>
                </c:pt>
                <c:pt idx="70">
                  <c:v>22187.338056239474</c:v>
                </c:pt>
                <c:pt idx="71">
                  <c:v>22184.046565525663</c:v>
                </c:pt>
                <c:pt idx="72">
                  <c:v>22177.443477423782</c:v>
                </c:pt>
                <c:pt idx="73">
                  <c:v>22168.138541591663</c:v>
                </c:pt>
                <c:pt idx="74">
                  <c:v>22156.711051747974</c:v>
                </c:pt>
                <c:pt idx="75">
                  <c:v>22143.702075953028</c:v>
                </c:pt>
                <c:pt idx="76">
                  <c:v>22129.608503814925</c:v>
                </c:pt>
                <c:pt idx="77">
                  <c:v>22114.878821702627</c:v>
                </c:pt>
                <c:pt idx="78">
                  <c:v>22099.910494675412</c:v>
                </c:pt>
                <c:pt idx="79">
                  <c:v>22085.04880777725</c:v>
                </c:pt>
                <c:pt idx="80">
                  <c:v>22070.587000283922</c:v>
                </c:pt>
                <c:pt idx="81">
                  <c:v>22056.767514596238</c:v>
                </c:pt>
                <c:pt idx="82">
                  <c:v>22043.784176459558</c:v>
                </c:pt>
                <c:pt idx="83">
                  <c:v>22031.785124419148</c:v>
                </c:pt>
                <c:pt idx="84">
                  <c:v>22020.876313005694</c:v>
                </c:pt>
                <c:pt idx="85">
                  <c:v>22011.125425057115</c:v>
                </c:pt>
                <c:pt idx="86">
                  <c:v>22002.566042744987</c:v>
                </c:pt>
                <c:pt idx="87">
                  <c:v>21995.201943239903</c:v>
                </c:pt>
                <c:pt idx="88">
                  <c:v>21989.011402560605</c:v>
                </c:pt>
                <c:pt idx="89">
                  <c:v>21983.951409173696</c:v>
                </c:pt>
                <c:pt idx="90">
                  <c:v>21979.961706656522</c:v>
                </c:pt>
              </c:numCache>
            </c:numRef>
          </c:xVal>
          <c:yVal>
            <c:numRef>
              <c:f>'Phase plot K'!$N$8:$N$98</c:f>
              <c:numCache>
                <c:formatCode>General</c:formatCode>
                <c:ptCount val="91"/>
                <c:pt idx="0">
                  <c:v>5010</c:v>
                </c:pt>
                <c:pt idx="1">
                  <c:v>3961.6546619122651</c:v>
                </c:pt>
                <c:pt idx="2">
                  <c:v>3246.7583383025658</c:v>
                </c:pt>
                <c:pt idx="3">
                  <c:v>2748.4567293019918</c:v>
                </c:pt>
                <c:pt idx="4">
                  <c:v>2396.626615732318</c:v>
                </c:pt>
                <c:pt idx="5">
                  <c:v>2147.6397223761342</c:v>
                </c:pt>
                <c:pt idx="6">
                  <c:v>1973.6095390061305</c:v>
                </c:pt>
                <c:pt idx="7">
                  <c:v>1856.3819846217809</c:v>
                </c:pt>
                <c:pt idx="8">
                  <c:v>1784.0404826540234</c:v>
                </c:pt>
                <c:pt idx="9">
                  <c:v>1748.8063831810089</c:v>
                </c:pt>
                <c:pt idx="10">
                  <c:v>1745.7429262654471</c:v>
                </c:pt>
                <c:pt idx="11">
                  <c:v>1771.9355740510032</c:v>
                </c:pt>
                <c:pt idx="12">
                  <c:v>1825.960242898155</c:v>
                </c:pt>
                <c:pt idx="13">
                  <c:v>1907.5260582846381</c:v>
                </c:pt>
                <c:pt idx="14">
                  <c:v>2017.2207603554052</c:v>
                </c:pt>
                <c:pt idx="15">
                  <c:v>2156.3100151561903</c:v>
                </c:pt>
                <c:pt idx="16">
                  <c:v>2326.5547810333314</c:v>
                </c:pt>
                <c:pt idx="17">
                  <c:v>2530.01828576353</c:v>
                </c:pt>
                <c:pt idx="18">
                  <c:v>2768.8392627323628</c:v>
                </c:pt>
                <c:pt idx="19">
                  <c:v>3044.9534150159893</c:v>
                </c:pt>
                <c:pt idx="20">
                  <c:v>3359.7529274251524</c:v>
                </c:pt>
                <c:pt idx="21">
                  <c:v>3713.686232222029</c:v>
                </c:pt>
                <c:pt idx="22">
                  <c:v>4105.8183165565852</c:v>
                </c:pt>
                <c:pt idx="23">
                  <c:v>4533.3949644016775</c:v>
                </c:pt>
                <c:pt idx="24">
                  <c:v>4991.4787772868731</c:v>
                </c:pt>
                <c:pt idx="25">
                  <c:v>5472.7433095591296</c:v>
                </c:pt>
                <c:pt idx="26">
                  <c:v>5967.5142063563144</c:v>
                </c:pt>
                <c:pt idx="27">
                  <c:v>6464.123583274024</c:v>
                </c:pt>
                <c:pt idx="28">
                  <c:v>6949.5929019300747</c:v>
                </c:pt>
                <c:pt idx="29">
                  <c:v>7410.5882566817218</c:v>
                </c:pt>
                <c:pt idx="30">
                  <c:v>7834.5200947244666</c:v>
                </c:pt>
                <c:pt idx="31">
                  <c:v>8210.6123537571311</c:v>
                </c:pt>
                <c:pt idx="32">
                  <c:v>8530.7633841830611</c:v>
                </c:pt>
                <c:pt idx="33">
                  <c:v>8790.0661452542408</c:v>
                </c:pt>
                <c:pt idx="34">
                  <c:v>8986.9326357876216</c:v>
                </c:pt>
                <c:pt idx="35">
                  <c:v>9122.8506933415174</c:v>
                </c:pt>
                <c:pt idx="36">
                  <c:v>9201.8648774038174</c:v>
                </c:pt>
                <c:pt idx="37">
                  <c:v>9229.9032773116578</c:v>
                </c:pt>
                <c:pt idx="38">
                  <c:v>9214.0690104785099</c:v>
                </c:pt>
                <c:pt idx="39">
                  <c:v>9161.9891659431451</c:v>
                </c:pt>
                <c:pt idx="40">
                  <c:v>9081.2784602004504</c:v>
                </c:pt>
                <c:pt idx="41">
                  <c:v>8979.1410501346327</c:v>
                </c:pt>
                <c:pt idx="42">
                  <c:v>8862.1081783408608</c:v>
                </c:pt>
                <c:pt idx="43">
                  <c:v>8735.8934573244642</c:v>
                </c:pt>
                <c:pt idx="44">
                  <c:v>8605.3404835241781</c:v>
                </c:pt>
                <c:pt idx="45">
                  <c:v>8474.4366478663633</c:v>
                </c:pt>
                <c:pt idx="46">
                  <c:v>8346.3699065468754</c:v>
                </c:pt>
                <c:pt idx="47">
                  <c:v>8223.6098336687974</c:v>
                </c:pt>
                <c:pt idx="48">
                  <c:v>8107.9991178639029</c:v>
                </c:pt>
                <c:pt idx="49">
                  <c:v>8000.8460168613237</c:v>
                </c:pt>
                <c:pt idx="50">
                  <c:v>7903.011817212112</c:v>
                </c:pt>
                <c:pt idx="51">
                  <c:v>7814.9900056043689</c:v>
                </c:pt>
                <c:pt idx="52">
                  <c:v>7736.9757324000784</c:v>
                </c:pt>
                <c:pt idx="53">
                  <c:v>7668.925383977883</c:v>
                </c:pt>
                <c:pt idx="54">
                  <c:v>7610.6068324498119</c:v>
                </c:pt>
                <c:pt idx="55">
                  <c:v>7561.6413362861113</c:v>
                </c:pt>
                <c:pt idx="56">
                  <c:v>7521.5382339122807</c:v>
                </c:pt>
                <c:pt idx="57">
                  <c:v>7489.7235882005971</c:v>
                </c:pt>
                <c:pt idx="58">
                  <c:v>7465.5638634345696</c:v>
                </c:pt>
                <c:pt idx="59">
                  <c:v>7448.3855897499498</c:v>
                </c:pt>
                <c:pt idx="60">
                  <c:v>7437.4918214004738</c:v>
                </c:pt>
                <c:pt idx="61">
                  <c:v>7432.176042745109</c:v>
                </c:pt>
                <c:pt idx="62">
                  <c:v>7431.7340310908312</c:v>
                </c:pt>
                <c:pt idx="63">
                  <c:v>7435.474055362256</c:v>
                </c:pt>
                <c:pt idx="64">
                  <c:v>7442.7256778731589</c:v>
                </c:pt>
                <c:pt idx="65">
                  <c:v>7452.8473350618178</c:v>
                </c:pt>
                <c:pt idx="66">
                  <c:v>7465.2328023065238</c:v>
                </c:pt>
                <c:pt idx="67">
                  <c:v>7479.3165971842373</c:v>
                </c:pt>
                <c:pt idx="68">
                  <c:v>7494.5783432713897</c:v>
                </c:pt>
                <c:pt idx="69">
                  <c:v>7510.5461006493069</c:v>
                </c:pt>
                <c:pt idx="70">
                  <c:v>7526.7986670004648</c:v>
                </c:pt>
                <c:pt idx="71">
                  <c:v>7542.9668615584787</c:v>
                </c:pt>
                <c:pt idx="72">
                  <c:v>7558.7338200400372</c:v>
                </c:pt>
                <c:pt idx="73">
                  <c:v>7573.8343489130739</c:v>
                </c:pt>
                <c:pt idx="74">
                  <c:v>7588.0534090388355</c:v>
                </c:pt>
                <c:pt idx="75">
                  <c:v>7601.2238193511585</c:v>
                </c:pt>
                <c:pt idx="76">
                  <c:v>7613.223288800983</c:v>
                </c:pt>
                <c:pt idx="77">
                  <c:v>7623.9708978786166</c:v>
                </c:pt>
                <c:pt idx="78">
                  <c:v>7633.4231588117254</c:v>
                </c:pt>
                <c:pt idx="79">
                  <c:v>7641.5697857703653</c:v>
                </c:pt>
                <c:pt idx="80">
                  <c:v>7648.4293033268495</c:v>
                </c:pt>
                <c:pt idx="81">
                  <c:v>7654.0446136358432</c:v>
                </c:pt>
                <c:pt idx="82">
                  <c:v>7658.4786311994458</c:v>
                </c:pt>
                <c:pt idx="83">
                  <c:v>7661.8100796868666</c:v>
                </c:pt>
                <c:pt idx="84">
                  <c:v>7664.1295291469842</c:v>
                </c:pt>
                <c:pt idx="85">
                  <c:v>7665.5357350886779</c:v>
                </c:pt>
                <c:pt idx="86">
                  <c:v>7666.1323241929267</c:v>
                </c:pt>
                <c:pt idx="87">
                  <c:v>7666.0248555862499</c:v>
                </c:pt>
                <c:pt idx="88">
                  <c:v>7665.3182721921385</c:v>
                </c:pt>
                <c:pt idx="89">
                  <c:v>7664.1147440516306</c:v>
                </c:pt>
                <c:pt idx="90">
                  <c:v>7662.5118948675345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7B-4D31-B03D-9D772A06F888}"/>
            </c:ext>
          </c:extLst>
        </c:ser>
        <c:ser>
          <c:idx val="1"/>
          <c:order val="1"/>
          <c:tx>
            <c:strRef>
              <c:f>'Phase plot K'!$Q$7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'Phase plot K'!$P$8:$P$98</c:f>
              <c:numCache>
                <c:formatCode>General</c:formatCode>
                <c:ptCount val="91"/>
                <c:pt idx="0">
                  <c:v>0</c:v>
                </c:pt>
                <c:pt idx="1">
                  <c:v>2795.1049599945914</c:v>
                </c:pt>
                <c:pt idx="2">
                  <c:v>4790.356715174561</c:v>
                </c:pt>
                <c:pt idx="3">
                  <c:v>6413.8243826283806</c:v>
                </c:pt>
                <c:pt idx="4">
                  <c:v>7843.0649297772634</c:v>
                </c:pt>
                <c:pt idx="5">
                  <c:v>9158.8232996342267</c:v>
                </c:pt>
                <c:pt idx="6">
                  <c:v>10399.278721294988</c:v>
                </c:pt>
                <c:pt idx="7">
                  <c:v>11582.261209271033</c:v>
                </c:pt>
                <c:pt idx="8">
                  <c:v>12715.354694033183</c:v>
                </c:pt>
                <c:pt idx="9">
                  <c:v>13800.86081984072</c:v>
                </c:pt>
                <c:pt idx="10">
                  <c:v>14838.3800010051</c:v>
                </c:pt>
                <c:pt idx="11">
                  <c:v>15826.207461957905</c:v>
                </c:pt>
                <c:pt idx="12">
                  <c:v>16762.106808474797</c:v>
                </c:pt>
                <c:pt idx="13">
                  <c:v>17643.743269764745</c:v>
                </c:pt>
                <c:pt idx="14">
                  <c:v>18468.926156498783</c:v>
                </c:pt>
                <c:pt idx="15">
                  <c:v>19235.743469307992</c:v>
                </c:pt>
                <c:pt idx="16">
                  <c:v>19942.636262807242</c:v>
                </c:pt>
                <c:pt idx="17">
                  <c:v>20588.440675254904</c:v>
                </c:pt>
                <c:pt idx="18">
                  <c:v>21172.414020933527</c:v>
                </c:pt>
                <c:pt idx="19">
                  <c:v>21694.254282998521</c:v>
                </c:pt>
                <c:pt idx="20">
                  <c:v>22154.117795874507</c:v>
                </c:pt>
                <c:pt idx="21">
                  <c:v>22552.636828610801</c:v>
                </c:pt>
                <c:pt idx="22">
                  <c:v>22890.936618251031</c:v>
                </c:pt>
                <c:pt idx="23">
                  <c:v>23170.649873766251</c:v>
                </c:pt>
                <c:pt idx="24">
                  <c:v>23393.925756114804</c:v>
                </c:pt>
                <c:pt idx="25">
                  <c:v>23563.429810271195</c:v>
                </c:pt>
                <c:pt idx="26">
                  <c:v>23682.331294668678</c:v>
                </c:pt>
                <c:pt idx="27">
                  <c:v>23754.274837847839</c:v>
                </c:pt>
                <c:pt idx="28">
                  <c:v>23783.334333674909</c:v>
                </c:pt>
                <c:pt idx="29">
                  <c:v>23773.948389944268</c:v>
                </c:pt>
                <c:pt idx="30">
                  <c:v>23730.838326806712</c:v>
                </c:pt>
                <c:pt idx="31">
                  <c:v>23658.911477097368</c:v>
                </c:pt>
                <c:pt idx="32">
                  <c:v>23563.15413239635</c:v>
                </c:pt>
                <c:pt idx="33">
                  <c:v>23448.519675728352</c:v>
                </c:pt>
                <c:pt idx="34">
                  <c:v>23319.818065395619</c:v>
                </c:pt>
                <c:pt idx="35">
                  <c:v>23181.61279463716</c:v>
                </c:pt>
                <c:pt idx="36">
                  <c:v>23038.130765772421</c:v>
                </c:pt>
                <c:pt idx="37">
                  <c:v>22893.189303620587</c:v>
                </c:pt>
                <c:pt idx="38">
                  <c:v>22750.142983124853</c:v>
                </c:pt>
                <c:pt idx="39">
                  <c:v>22611.851284102682</c:v>
                </c:pt>
                <c:pt idx="40">
                  <c:v>22480.666524254386</c:v>
                </c:pt>
                <c:pt idx="41">
                  <c:v>22358.440226008941</c:v>
                </c:pt>
                <c:pt idx="42">
                  <c:v>22246.545143543215</c:v>
                </c:pt>
                <c:pt idx="43">
                  <c:v>22145.909644575913</c:v>
                </c:pt>
                <c:pt idx="44">
                  <c:v>22057.060980194259</c:v>
                </c:pt>
                <c:pt idx="45">
                  <c:v>21980.174118011302</c:v>
                </c:pt>
                <c:pt idx="46">
                  <c:v>21915.123172820386</c:v>
                </c:pt>
                <c:pt idx="47">
                  <c:v>21861.532956210631</c:v>
                </c:pt>
                <c:pt idx="48">
                  <c:v>21818.828704629508</c:v>
                </c:pt>
                <c:pt idx="49">
                  <c:v>21786.282573936365</c:v>
                </c:pt>
                <c:pt idx="50">
                  <c:v>21763.055966811273</c:v>
                </c:pt>
                <c:pt idx="51">
                  <c:v>21748.237164556722</c:v>
                </c:pt>
                <c:pt idx="52">
                  <c:v>21740.874058345544</c:v>
                </c:pt>
                <c:pt idx="53">
                  <c:v>21740.002018620864</c:v>
                </c:pt>
                <c:pt idx="54">
                  <c:v>21744.667113370946</c:v>
                </c:pt>
                <c:pt idx="55">
                  <c:v>21753.944997868413</c:v>
                </c:pt>
                <c:pt idx="56">
                  <c:v>21766.955862592258</c:v>
                </c:pt>
                <c:pt idx="57">
                  <c:v>21782.875854259702</c:v>
                </c:pt>
                <c:pt idx="58">
                  <c:v>21800.945387546348</c:v>
                </c:pt>
                <c:pt idx="59">
                  <c:v>21820.474750705867</c:v>
                </c:pt>
                <c:pt idx="60">
                  <c:v>21840.847383586522</c:v>
                </c:pt>
                <c:pt idx="61">
                  <c:v>21861.521176436116</c:v>
                </c:pt>
                <c:pt idx="62">
                  <c:v>21882.028105875324</c:v>
                </c:pt>
                <c:pt idx="63">
                  <c:v>21901.972492795183</c:v>
                </c:pt>
                <c:pt idx="64">
                  <c:v>21921.028137069505</c:v>
                </c:pt>
                <c:pt idx="65">
                  <c:v>21938.934556556913</c:v>
                </c:pt>
                <c:pt idx="66">
                  <c:v>21955.492533112229</c:v>
                </c:pt>
                <c:pt idx="67">
                  <c:v>21970.559146130978</c:v>
                </c:pt>
                <c:pt idx="68">
                  <c:v>21984.042454227998</c:v>
                </c:pt>
                <c:pt idx="69">
                  <c:v>21995.895967627763</c:v>
                </c:pt>
                <c:pt idx="70">
                  <c:v>22006.113037330528</c:v>
                </c:pt>
                <c:pt idx="71">
                  <c:v>22014.721271757029</c:v>
                </c:pt>
                <c:pt idx="72">
                  <c:v>22021.77707707059</c:v>
                </c:pt>
                <c:pt idx="73">
                  <c:v>22027.360403512917</c:v>
                </c:pt>
                <c:pt idx="74">
                  <c:v>22031.569766735753</c:v>
                </c:pt>
                <c:pt idx="75">
                  <c:v>22034.517600210555</c:v>
                </c:pt>
                <c:pt idx="76">
                  <c:v>22036.325982366579</c:v>
                </c:pt>
                <c:pt idx="77">
                  <c:v>22037.122770211216</c:v>
                </c:pt>
                <c:pt idx="78">
                  <c:v>22037.038159929183</c:v>
                </c:pt>
                <c:pt idx="79">
                  <c:v>22036.201684462598</c:v>
                </c:pt>
                <c:pt idx="80">
                  <c:v>22034.739648468654</c:v>
                </c:pt>
                <c:pt idx="81">
                  <c:v>22032.772992452337</c:v>
                </c:pt>
                <c:pt idx="82">
                  <c:v>22030.415570373119</c:v>
                </c:pt>
                <c:pt idx="83">
                  <c:v>22027.772818693062</c:v>
                </c:pt>
                <c:pt idx="84">
                  <c:v>22024.940789701712</c:v>
                </c:pt>
                <c:pt idx="85">
                  <c:v>22022.005518018392</c:v>
                </c:pt>
                <c:pt idx="86">
                  <c:v>22019.042686399567</c:v>
                </c:pt>
                <c:pt idx="87">
                  <c:v>22016.117555302237</c:v>
                </c:pt>
                <c:pt idx="88">
                  <c:v>22013.285119983724</c:v>
                </c:pt>
                <c:pt idx="89">
                  <c:v>22010.590459144365</c:v>
                </c:pt>
                <c:pt idx="90">
                  <c:v>22008.069240120418</c:v>
                </c:pt>
              </c:numCache>
            </c:numRef>
          </c:xVal>
          <c:yVal>
            <c:numRef>
              <c:f>'Phase plot K'!$Q$8:$Q$98</c:f>
              <c:numCache>
                <c:formatCode>General</c:formatCode>
                <c:ptCount val="91"/>
                <c:pt idx="0">
                  <c:v>38476</c:v>
                </c:pt>
                <c:pt idx="1">
                  <c:v>30351.869863505985</c:v>
                </c:pt>
                <c:pt idx="2">
                  <c:v>24608.701752599929</c:v>
                </c:pt>
                <c:pt idx="3">
                  <c:v>20370.591786499914</c:v>
                </c:pt>
                <c:pt idx="4">
                  <c:v>17160.834203802653</c:v>
                </c:pt>
                <c:pt idx="5">
                  <c:v>14687.094558741866</c:v>
                </c:pt>
                <c:pt idx="6">
                  <c:v>12756.465768970256</c:v>
                </c:pt>
                <c:pt idx="7">
                  <c:v>11235.514266218868</c:v>
                </c:pt>
                <c:pt idx="8">
                  <c:v>10028.977609432233</c:v>
                </c:pt>
                <c:pt idx="9">
                  <c:v>9067.3067281628046</c:v>
                </c:pt>
                <c:pt idx="10">
                  <c:v>8298.8700245732889</c:v>
                </c:pt>
                <c:pt idx="11">
                  <c:v>7684.8279120792113</c:v>
                </c:pt>
                <c:pt idx="12">
                  <c:v>7195.6387306678553</c:v>
                </c:pt>
                <c:pt idx="13">
                  <c:v>6808.6111327697699</c:v>
                </c:pt>
                <c:pt idx="14">
                  <c:v>6506.1527737437355</c:v>
                </c:pt>
                <c:pt idx="15">
                  <c:v>6274.4952240335961</c:v>
                </c:pt>
                <c:pt idx="16">
                  <c:v>6102.751503475949</c:v>
                </c:pt>
                <c:pt idx="17">
                  <c:v>5982.2098846558538</c:v>
                </c:pt>
                <c:pt idx="18">
                  <c:v>5905.7980118904479</c:v>
                </c:pt>
                <c:pt idx="19">
                  <c:v>5867.6716097708659</c:v>
                </c:pt>
                <c:pt idx="20">
                  <c:v>5862.8958893815752</c:v>
                </c:pt>
                <c:pt idx="21">
                  <c:v>5887.1974286934801</c:v>
                </c:pt>
                <c:pt idx="22">
                  <c:v>5936.7711565080699</c:v>
                </c:pt>
                <c:pt idx="23">
                  <c:v>6008.1319382179036</c:v>
                </c:pt>
                <c:pt idx="24">
                  <c:v>6098.0036619518414</c:v>
                </c:pt>
                <c:pt idx="25">
                  <c:v>6203.2409787902916</c:v>
                </c:pt>
                <c:pt idx="26">
                  <c:v>6320.7801749805849</c:v>
                </c:pt>
                <c:pt idx="27">
                  <c:v>6447.6162119985247</c:v>
                </c:pt>
                <c:pt idx="28">
                  <c:v>6580.8029190537418</c:v>
                </c:pt>
                <c:pt idx="29">
                  <c:v>6717.472838293771</c:v>
                </c:pt>
                <c:pt idx="30">
                  <c:v>6854.8725092165714</c:v>
                </c:pt>
                <c:pt idx="31">
                  <c:v>6990.4082574884151</c:v>
                </c:pt>
                <c:pt idx="32">
                  <c:v>7121.6970394009613</c:v>
                </c:pt>
                <c:pt idx="33">
                  <c:v>7246.6167608032783</c:v>
                </c:pt>
                <c:pt idx="34">
                  <c:v>7363.3508396601437</c:v>
                </c:pt>
                <c:pt idx="35">
                  <c:v>7470.4226221730796</c:v>
                </c:pt>
                <c:pt idx="36">
                  <c:v>7566.7165072069402</c:v>
                </c:pt>
                <c:pt idx="37">
                  <c:v>7651.4841221385323</c:v>
                </c:pt>
                <c:pt idx="38">
                  <c:v>7724.3354267768418</c:v>
                </c:pt>
                <c:pt idx="39">
                  <c:v>7785.216006318009</c:v>
                </c:pt>
                <c:pt idx="40">
                  <c:v>7834.3728958913152</c:v>
                </c:pt>
                <c:pt idx="41">
                  <c:v>7872.3119687588869</c:v>
                </c:pt>
                <c:pt idx="42">
                  <c:v>7899.7501985846648</c:v>
                </c:pt>
                <c:pt idx="43">
                  <c:v>7917.5660153968038</c:v>
                </c:pt>
                <c:pt idx="44">
                  <c:v>7926.7505987542845</c:v>
                </c:pt>
                <c:pt idx="45">
                  <c:v>7928.3623931279899</c:v>
                </c:pt>
                <c:pt idx="46">
                  <c:v>7923.4864912274834</c:v>
                </c:pt>
                <c:pt idx="47">
                  <c:v>7913.1998965868979</c:v>
                </c:pt>
                <c:pt idx="48">
                  <c:v>7898.5431091263199</c:v>
                </c:pt>
                <c:pt idx="49">
                  <c:v>7880.4980133867875</c:v>
                </c:pt>
                <c:pt idx="50">
                  <c:v>7859.9717031394839</c:v>
                </c:pt>
                <c:pt idx="51">
                  <c:v>7837.7856454829916</c:v>
                </c:pt>
                <c:pt idx="52">
                  <c:v>7814.6694586141048</c:v>
                </c:pt>
                <c:pt idx="53">
                  <c:v>7791.2585306579413</c:v>
                </c:pt>
                <c:pt idx="54">
                  <c:v>7768.0947211636931</c:v>
                </c:pt>
                <c:pt idx="55">
                  <c:v>7745.6294422842184</c:v>
                </c:pt>
                <c:pt idx="56">
                  <c:v>7724.2284963467646</c:v>
                </c:pt>
                <c:pt idx="57">
                  <c:v>7704.1781371644856</c:v>
                </c:pt>
                <c:pt idx="58">
                  <c:v>7685.691914311732</c:v>
                </c:pt>
                <c:pt idx="59">
                  <c:v>7668.917946185049</c:v>
                </c:pt>
                <c:pt idx="60">
                  <c:v>7653.9463451350002</c:v>
                </c:pt>
                <c:pt idx="61">
                  <c:v>7640.8165844460218</c:v>
                </c:pt>
                <c:pt idx="62">
                  <c:v>7629.5246520775099</c:v>
                </c:pt>
                <c:pt idx="63">
                  <c:v>7620.0298804349522</c:v>
                </c:pt>
                <c:pt idx="64">
                  <c:v>7612.2613761626098</c:v>
                </c:pt>
                <c:pt idx="65">
                  <c:v>7606.124000466345</c:v>
                </c:pt>
                <c:pt idx="66">
                  <c:v>7601.5038702874599</c:v>
                </c:pt>
                <c:pt idx="67">
                  <c:v>7598.2733651922736</c:v>
                </c:pt>
                <c:pt idx="68">
                  <c:v>7596.2956354058988</c:v>
                </c:pt>
                <c:pt idx="69">
                  <c:v>7595.4286140979666</c:v>
                </c:pt>
                <c:pt idx="70">
                  <c:v>7595.5285427101207</c:v>
                </c:pt>
                <c:pt idx="71">
                  <c:v>7596.45302248199</c:v>
                </c:pt>
                <c:pt idx="72">
                  <c:v>7598.0636088774909</c:v>
                </c:pt>
                <c:pt idx="73">
                  <c:v>7600.2279686652419</c:v>
                </c:pt>
                <c:pt idx="74">
                  <c:v>7602.8216221577277</c:v>
                </c:pt>
                <c:pt idx="75">
                  <c:v>7605.7292956488</c:v>
                </c:pt>
                <c:pt idx="76">
                  <c:v>7608.8459114153702</c:v>
                </c:pt>
                <c:pt idx="77">
                  <c:v>7612.0772447228792</c:v>
                </c:pt>
                <c:pt idx="78">
                  <c:v>7615.3402790238315</c:v>
                </c:pt>
                <c:pt idx="79">
                  <c:v>7618.5632918849815</c:v>
                </c:pt>
                <c:pt idx="80">
                  <c:v>7621.68570504947</c:v>
                </c:pt>
                <c:pt idx="81">
                  <c:v>7624.6577323813317</c:v>
                </c:pt>
                <c:pt idx="82">
                  <c:v>7627.4398592218577</c:v>
                </c:pt>
                <c:pt idx="83">
                  <c:v>7630.0021859083554</c:v>
                </c:pt>
                <c:pt idx="84">
                  <c:v>7632.3236668909967</c:v>
                </c:pt>
                <c:pt idx="85">
                  <c:v>7634.3912750818554</c:v>
                </c:pt>
                <c:pt idx="86">
                  <c:v>7636.1991188508182</c:v>
                </c:pt>
                <c:pt idx="87">
                  <c:v>7637.7475365286018</c:v>
                </c:pt>
                <c:pt idx="88">
                  <c:v>7639.0421904785862</c:v>
                </c:pt>
                <c:pt idx="89">
                  <c:v>7640.0931798500424</c:v>
                </c:pt>
                <c:pt idx="90">
                  <c:v>7640.9141881162677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7B-4D31-B03D-9D772A06F888}"/>
            </c:ext>
          </c:extLst>
        </c:ser>
        <c:ser>
          <c:idx val="2"/>
          <c:order val="2"/>
          <c:tx>
            <c:strRef>
              <c:f>'Phase plot K'!$W$7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'Phase plot K'!$V$8:$V$98</c:f>
              <c:numCache>
                <c:formatCode>General</c:formatCode>
                <c:ptCount val="91"/>
                <c:pt idx="0">
                  <c:v>9471</c:v>
                </c:pt>
                <c:pt idx="1">
                  <c:v>8450.6017997688214</c:v>
                </c:pt>
                <c:pt idx="2">
                  <c:v>8244.2396992159393</c:v>
                </c:pt>
                <c:pt idx="3">
                  <c:v>8479.5245413502726</c:v>
                </c:pt>
                <c:pt idx="4">
                  <c:v>8970.6031490486348</c:v>
                </c:pt>
                <c:pt idx="5">
                  <c:v>9618.1215376834898</c:v>
                </c:pt>
                <c:pt idx="6">
                  <c:v>10364.386068469907</c:v>
                </c:pt>
                <c:pt idx="7">
                  <c:v>11172.86674113251</c:v>
                </c:pt>
                <c:pt idx="8">
                  <c:v>12018.480541499426</c:v>
                </c:pt>
                <c:pt idx="9">
                  <c:v>12882.79101407588</c:v>
                </c:pt>
                <c:pt idx="10">
                  <c:v>13751.53116523173</c:v>
                </c:pt>
                <c:pt idx="11">
                  <c:v>14613.263486713946</c:v>
                </c:pt>
                <c:pt idx="12">
                  <c:v>15458.615237873744</c:v>
                </c:pt>
                <c:pt idx="13">
                  <c:v>16279.814510392311</c:v>
                </c:pt>
                <c:pt idx="14">
                  <c:v>17070.389549107596</c:v>
                </c:pt>
                <c:pt idx="15">
                  <c:v>17824.961027766331</c:v>
                </c:pt>
                <c:pt idx="16">
                  <c:v>18539.090736909147</c:v>
                </c:pt>
                <c:pt idx="17">
                  <c:v>19209.16733873574</c:v>
                </c:pt>
                <c:pt idx="18">
                  <c:v>19832.318636766377</c:v>
                </c:pt>
                <c:pt idx="19">
                  <c:v>20406.344248016932</c:v>
                </c:pt>
                <c:pt idx="20">
                  <c:v>20929.664714320723</c:v>
                </c:pt>
                <c:pt idx="21">
                  <c:v>21401.284019621129</c:v>
                </c:pt>
                <c:pt idx="22">
                  <c:v>21820.762763357234</c:v>
                </c:pt>
                <c:pt idx="23">
                  <c:v>22188.199194771601</c:v>
                </c:pt>
                <c:pt idx="24">
                  <c:v>22504.215130842353</c:v>
                </c:pt>
                <c:pt idx="25">
                  <c:v>22769.943591710584</c:v>
                </c:pt>
                <c:pt idx="26">
                  <c:v>22987.014891364797</c:v>
                </c:pt>
                <c:pt idx="27">
                  <c:v>23157.537997814678</c:v>
                </c:pt>
                <c:pt idx="28">
                  <c:v>23284.07428562361</c:v>
                </c:pt>
                <c:pt idx="29">
                  <c:v>23369.601376657745</c:v>
                </c:pt>
                <c:pt idx="30">
                  <c:v>23417.465598143815</c:v>
                </c:pt>
                <c:pt idx="31">
                  <c:v>23431.322633948912</c:v>
                </c:pt>
                <c:pt idx="32">
                  <c:v>23415.067116333208</c:v>
                </c:pt>
                <c:pt idx="33">
                  <c:v>23372.753078649956</c:v>
                </c:pt>
                <c:pt idx="34">
                  <c:v>23308.508225906113</c:v>
                </c:pt>
                <c:pt idx="35">
                  <c:v>23226.445748469094</c:v>
                </c:pt>
                <c:pt idx="36">
                  <c:v>23130.57780491887</c:v>
                </c:pt>
                <c:pt idx="37">
                  <c:v>23024.734784456497</c:v>
                </c:pt>
                <c:pt idx="38">
                  <c:v>22912.494038931949</c:v>
                </c:pt>
                <c:pt idx="39">
                  <c:v>22797.12101802283</c:v>
                </c:pt>
                <c:pt idx="40">
                  <c:v>22681.524759487002</c:v>
                </c:pt>
                <c:pt idx="41">
                  <c:v>22568.228611514554</c:v>
                </c:pt>
                <c:pt idx="42">
                  <c:v>22459.356024918743</c:v>
                </c:pt>
                <c:pt idx="43">
                  <c:v>22356.630355346999</c:v>
                </c:pt>
                <c:pt idx="44">
                  <c:v>22261.386930651694</c:v>
                </c:pt>
                <c:pt idx="45">
                  <c:v>22174.595197561834</c:v>
                </c:pt>
                <c:pt idx="46">
                  <c:v>22096.888560745152</c:v>
                </c:pt>
                <c:pt idx="47">
                  <c:v>22028.599535250029</c:v>
                </c:pt>
                <c:pt idx="48">
                  <c:v>21969.798003118856</c:v>
                </c:pt>
                <c:pt idx="49">
                  <c:v>21920.330643958972</c:v>
                </c:pt>
                <c:pt idx="50">
                  <c:v>21879.859947315796</c:v>
                </c:pt>
                <c:pt idx="51">
                  <c:v>21847.901569632049</c:v>
                </c:pt>
                <c:pt idx="52">
                  <c:v>21823.859138706419</c:v>
                </c:pt>
                <c:pt idx="53">
                  <c:v>21807.055912982371</c:v>
                </c:pt>
                <c:pt idx="54">
                  <c:v>21796.762960379376</c:v>
                </c:pt>
                <c:pt idx="55">
                  <c:v>21792.223727995563</c:v>
                </c:pt>
                <c:pt idx="56">
                  <c:v>21792.675031534713</c:v>
                </c:pt>
                <c:pt idx="57">
                  <c:v>21797.364606792897</c:v>
                </c:pt>
                <c:pt idx="58">
                  <c:v>21805.565441756589</c:v>
                </c:pt>
                <c:pt idx="59">
                  <c:v>21816.587154092664</c:v>
                </c:pt>
                <c:pt idx="60">
                  <c:v>21829.784702016295</c:v>
                </c:pt>
                <c:pt idx="61">
                  <c:v>21844.564722881965</c:v>
                </c:pt>
                <c:pt idx="62">
                  <c:v>21860.389788522691</c:v>
                </c:pt>
                <c:pt idx="63">
                  <c:v>21876.780853477441</c:v>
                </c:pt>
                <c:pt idx="64">
                  <c:v>21893.318154922144</c:v>
                </c:pt>
                <c:pt idx="65">
                  <c:v>21909.640803617596</c:v>
                </c:pt>
                <c:pt idx="66">
                  <c:v>21925.445285054546</c:v>
                </c:pt>
                <c:pt idx="67">
                  <c:v>21940.483070193917</c:v>
                </c:pt>
                <c:pt idx="68">
                  <c:v>21954.557516323384</c:v>
                </c:pt>
                <c:pt idx="69">
                  <c:v>21967.520220830418</c:v>
                </c:pt>
                <c:pt idx="70">
                  <c:v>21979.266974170627</c:v>
                </c:pt>
                <c:pt idx="71">
                  <c:v>21989.733442908779</c:v>
                </c:pt>
                <c:pt idx="72">
                  <c:v>21998.890699284955</c:v>
                </c:pt>
                <c:pt idx="73">
                  <c:v>22006.740700149367</c:v>
                </c:pt>
                <c:pt idx="74">
                  <c:v>22013.311805168727</c:v>
                </c:pt>
                <c:pt idx="75">
                  <c:v>22018.654411820826</c:v>
                </c:pt>
                <c:pt idx="76">
                  <c:v>22022.836772789909</c:v>
                </c:pt>
                <c:pt idx="77">
                  <c:v>22025.941049926911</c:v>
                </c:pt>
                <c:pt idx="78">
                  <c:v>22028.059647959588</c:v>
                </c:pt>
                <c:pt idx="79">
                  <c:v>22029.291860676549</c:v>
                </c:pt>
                <c:pt idx="80">
                  <c:v>22029.740852438208</c:v>
                </c:pt>
                <c:pt idx="81">
                  <c:v>22029.510988672842</c:v>
                </c:pt>
                <c:pt idx="82">
                  <c:v>22028.705520585816</c:v>
                </c:pt>
                <c:pt idx="83">
                  <c:v>22027.424621727085</c:v>
                </c:pt>
                <c:pt idx="84">
                  <c:v>22025.763767394128</c:v>
                </c:pt>
                <c:pt idx="85">
                  <c:v>22023.812442142567</c:v>
                </c:pt>
                <c:pt idx="86">
                  <c:v>22021.653155959109</c:v>
                </c:pt>
                <c:pt idx="87">
                  <c:v>22019.360745920538</c:v>
                </c:pt>
                <c:pt idx="88">
                  <c:v>22017.001937393041</c:v>
                </c:pt>
                <c:pt idx="89">
                  <c:v>22014.635136970352</c:v>
                </c:pt>
                <c:pt idx="90">
                  <c:v>22012.310428340243</c:v>
                </c:pt>
              </c:numCache>
            </c:numRef>
          </c:xVal>
          <c:yVal>
            <c:numRef>
              <c:f>'Phase plot K'!$W$8:$W$98</c:f>
              <c:numCache>
                <c:formatCode>General</c:formatCode>
                <c:ptCount val="91"/>
                <c:pt idx="0">
                  <c:v>40529</c:v>
                </c:pt>
                <c:pt idx="1">
                  <c:v>34844.110000721194</c:v>
                </c:pt>
                <c:pt idx="2">
                  <c:v>29754.740399340797</c:v>
                </c:pt>
                <c:pt idx="3">
                  <c:v>25417.005696943983</c:v>
                </c:pt>
                <c:pt idx="4">
                  <c:v>21804.703829055983</c:v>
                </c:pt>
                <c:pt idx="5">
                  <c:v>18830.031372157839</c:v>
                </c:pt>
                <c:pt idx="6">
                  <c:v>16392.993097634444</c:v>
                </c:pt>
                <c:pt idx="7">
                  <c:v>14400.269629356248</c:v>
                </c:pt>
                <c:pt idx="8">
                  <c:v>12771.278384462677</c:v>
                </c:pt>
                <c:pt idx="9">
                  <c:v>11438.989012134527</c:v>
                </c:pt>
                <c:pt idx="10">
                  <c:v>10348.732965731493</c:v>
                </c:pt>
                <c:pt idx="11">
                  <c:v>9456.3959752675019</c:v>
                </c:pt>
                <c:pt idx="12">
                  <c:v>8726.5741171534955</c:v>
                </c:pt>
                <c:pt idx="13">
                  <c:v>8130.9164227610991</c:v>
                </c:pt>
                <c:pt idx="14">
                  <c:v>7646.7189962835128</c:v>
                </c:pt>
                <c:pt idx="15">
                  <c:v>7255.7682296919202</c:v>
                </c:pt>
                <c:pt idx="16">
                  <c:v>6943.4048086971652</c:v>
                </c:pt>
                <c:pt idx="17">
                  <c:v>6697.7731355862825</c:v>
                </c:pt>
                <c:pt idx="18">
                  <c:v>6509.2219131568081</c:v>
                </c:pt>
                <c:pt idx="19">
                  <c:v>6369.8259265106917</c:v>
                </c:pt>
                <c:pt idx="20">
                  <c:v>6273.004202729061</c:v>
                </c:pt>
                <c:pt idx="21">
                  <c:v>6213.214695459078</c:v>
                </c:pt>
                <c:pt idx="22">
                  <c:v>6185.7100256313279</c:v>
                </c:pt>
                <c:pt idx="23">
                  <c:v>6186.3424912862665</c:v>
                </c:pt>
                <c:pt idx="24">
                  <c:v>6211.4095416974224</c:v>
                </c:pt>
                <c:pt idx="25">
                  <c:v>6257.5332401926062</c:v>
                </c:pt>
                <c:pt idx="26">
                  <c:v>6321.5689724122894</c:v>
                </c:pt>
                <c:pt idx="27">
                  <c:v>6400.5398475683742</c:v>
                </c:pt>
                <c:pt idx="28">
                  <c:v>6491.5939462761989</c:v>
                </c:pt>
                <c:pt idx="29">
                  <c:v>6591.98185525791</c:v>
                </c:pt>
                <c:pt idx="30">
                  <c:v>6699.0518788261934</c:v>
                </c:pt>
                <c:pt idx="31">
                  <c:v>6810.2600325087724</c:v>
                </c:pt>
                <c:pt idx="32">
                  <c:v>6923.1915269092369</c:v>
                </c:pt>
                <c:pt idx="33">
                  <c:v>7035.5900700832553</c:v>
                </c:pt>
                <c:pt idx="34">
                  <c:v>7145.3910772010786</c:v>
                </c:pt>
                <c:pt idx="35">
                  <c:v>7250.7548737772886</c:v>
                </c:pt>
                <c:pt idx="36">
                  <c:v>7350.0962670570934</c:v>
                </c:pt>
                <c:pt idx="37">
                  <c:v>7442.1074402910017</c:v>
                </c:pt>
                <c:pt idx="38">
                  <c:v>7525.7719453148075</c:v>
                </c:pt>
                <c:pt idx="39">
                  <c:v>7600.3685375487667</c:v>
                </c:pt>
                <c:pt idx="40">
                  <c:v>7665.4645996110748</c:v>
                </c:pt>
                <c:pt idx="41">
                  <c:v>7720.899820862699</c:v>
                </c:pt>
                <c:pt idx="42">
                  <c:v>7766.7615465090812</c:v>
                </c:pt>
                <c:pt idx="43">
                  <c:v>7803.3537217163857</c:v>
                </c:pt>
                <c:pt idx="44">
                  <c:v>7831.161613177781</c:v>
                </c:pt>
                <c:pt idx="45">
                  <c:v>7850.814508450323</c:v>
                </c:pt>
                <c:pt idx="46">
                  <c:v>7863.0484149713766</c:v>
                </c:pt>
                <c:pt idx="47">
                  <c:v>7868.670463887127</c:v>
                </c:pt>
                <c:pt idx="48">
                  <c:v>7868.5263300807846</c:v>
                </c:pt>
                <c:pt idx="49">
                  <c:v>7863.4715646533405</c:v>
                </c:pt>
                <c:pt idx="50">
                  <c:v>7854.3473434896205</c:v>
                </c:pt>
                <c:pt idx="51">
                  <c:v>7841.9607952548386</c:v>
                </c:pt>
                <c:pt idx="52">
                  <c:v>7827.0698003129255</c:v>
                </c:pt>
                <c:pt idx="53">
                  <c:v>7810.3719532066079</c:v>
                </c:pt>
                <c:pt idx="54">
                  <c:v>7792.4972515698646</c:v>
                </c:pt>
                <c:pt idx="55">
                  <c:v>7774.0040043839026</c:v>
                </c:pt>
                <c:pt idx="56">
                  <c:v>7755.3774304551835</c:v>
                </c:pt>
                <c:pt idx="57">
                  <c:v>7737.0304314962641</c:v>
                </c:pt>
                <c:pt idx="58">
                  <c:v>7719.306061742499</c:v>
                </c:pt>
                <c:pt idx="59">
                  <c:v>7702.4812678673698</c:v>
                </c:pt>
                <c:pt idx="60">
                  <c:v>7686.7715313327926</c:v>
                </c:pt>
                <c:pt idx="61">
                  <c:v>7672.3361045278762</c:v>
                </c:pt>
                <c:pt idx="62">
                  <c:v>7659.2835882347845</c:v>
                </c:pt>
                <c:pt idx="63">
                  <c:v>7647.6776487546531</c:v>
                </c:pt>
                <c:pt idx="64">
                  <c:v>7637.5427172515328</c:v>
                </c:pt>
                <c:pt idx="65">
                  <c:v>7628.869551211601</c:v>
                </c:pt>
                <c:pt idx="66">
                  <c:v>7621.6205686374451</c:v>
                </c:pt>
                <c:pt idx="67">
                  <c:v>7615.7348903326447</c:v>
                </c:pt>
                <c:pt idx="68">
                  <c:v>7611.1330451972844</c:v>
                </c:pt>
                <c:pt idx="69">
                  <c:v>7607.7213087286264</c:v>
                </c:pt>
                <c:pt idx="70">
                  <c:v>7605.3956567557689</c:v>
                </c:pt>
                <c:pt idx="71">
                  <c:v>7604.0453256048258</c:v>
                </c:pt>
                <c:pt idx="72">
                  <c:v>7603.5559770529144</c:v>
                </c:pt>
                <c:pt idx="73">
                  <c:v>7603.8124721222721</c:v>
                </c:pt>
                <c:pt idx="74">
                  <c:v>7604.7012624040071</c:v>
                </c:pt>
                <c:pt idx="75">
                  <c:v>7606.1124114842432</c:v>
                </c:pt>
                <c:pt idx="76">
                  <c:v>7607.9412623742692</c:v>
                </c:pt>
                <c:pt idx="77">
                  <c:v>7610.0897697397922</c:v>
                </c:pt>
                <c:pt idx="78">
                  <c:v>7612.4675182388291</c:v>
                </c:pt>
                <c:pt idx="79">
                  <c:v>7614.9924504249593</c:v>
                </c:pt>
                <c:pt idx="80">
                  <c:v>7617.5913294369429</c:v>
                </c:pt>
                <c:pt idx="81">
                  <c:v>7620.1999630482323</c:v>
                </c:pt>
                <c:pt idx="82">
                  <c:v>7622.7632165604073</c:v>
                </c:pt>
                <c:pt idx="83">
                  <c:v>7625.2348424703696</c:v>
                </c:pt>
                <c:pt idx="84">
                  <c:v>7627.5771548125267</c:v>
                </c:pt>
                <c:pt idx="85">
                  <c:v>7629.7605755811664</c:v>
                </c:pt>
                <c:pt idx="86">
                  <c:v>7631.7630796985841</c:v>
                </c:pt>
                <c:pt idx="87">
                  <c:v>7633.5695636514174</c:v>
                </c:pt>
                <c:pt idx="88">
                  <c:v>7635.1711612244744</c:v>
                </c:pt>
                <c:pt idx="89">
                  <c:v>7636.5645277817875</c:v>
                </c:pt>
                <c:pt idx="90">
                  <c:v>7637.7511123485092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7B-4D31-B03D-9D772A06F888}"/>
            </c:ext>
          </c:extLst>
        </c:ser>
        <c:ser>
          <c:idx val="3"/>
          <c:order val="3"/>
          <c:tx>
            <c:strRef>
              <c:f>'Phase plot K'!$T$7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K'!$S$8:$S$98</c:f>
              <c:numCache>
                <c:formatCode>General</c:formatCode>
                <c:ptCount val="91"/>
                <c:pt idx="0">
                  <c:v>0</c:v>
                </c:pt>
                <c:pt idx="1">
                  <c:v>3317.4115611137131</c:v>
                </c:pt>
                <c:pt idx="2">
                  <c:v>6376.0670622716352</c:v>
                </c:pt>
                <c:pt idx="3">
                  <c:v>9208.244336233889</c:v>
                </c:pt>
                <c:pt idx="4">
                  <c:v>11836.840658017516</c:v>
                </c:pt>
                <c:pt idx="5">
                  <c:v>14279.281963452964</c:v>
                </c:pt>
                <c:pt idx="6">
                  <c:v>16549.570333578809</c:v>
                </c:pt>
                <c:pt idx="7">
                  <c:v>18659.392825781233</c:v>
                </c:pt>
                <c:pt idx="8">
                  <c:v>20618.736165392806</c:v>
                </c:pt>
                <c:pt idx="9">
                  <c:v>22436.230227018808</c:v>
                </c:pt>
                <c:pt idx="10">
                  <c:v>24119.335737565521</c:v>
                </c:pt>
                <c:pt idx="11">
                  <c:v>25674.437445322761</c:v>
                </c:pt>
                <c:pt idx="12">
                  <c:v>27106.875852520254</c:v>
                </c:pt>
                <c:pt idx="13">
                  <c:v>28420.935754031649</c:v>
                </c:pt>
                <c:pt idx="14">
                  <c:v>29619.802144668178</c:v>
                </c:pt>
                <c:pt idx="15">
                  <c:v>30705.490620770215</c:v>
                </c:pt>
                <c:pt idx="16">
                  <c:v>31678.758899424494</c:v>
                </c:pt>
                <c:pt idx="17">
                  <c:v>32539.008082253931</c:v>
                </c:pt>
                <c:pt idx="18">
                  <c:v>33284.186866737888</c:v>
                </c:pt>
                <c:pt idx="19">
                  <c:v>33910.719348707673</c:v>
                </c:pt>
                <c:pt idx="20">
                  <c:v>34413.487577951964</c:v>
                </c:pt>
                <c:pt idx="21">
                  <c:v>34785.913289930031</c:v>
                </c:pt>
                <c:pt idx="22">
                  <c:v>35020.197626837806</c:v>
                </c:pt>
                <c:pt idx="23">
                  <c:v>35107.789291164947</c:v>
                </c:pt>
                <c:pt idx="24">
                  <c:v>35040.153268537491</c:v>
                </c:pt>
                <c:pt idx="25">
                  <c:v>34809.893277413874</c:v>
                </c:pt>
                <c:pt idx="26">
                  <c:v>34412.229022871892</c:v>
                </c:pt>
                <c:pt idx="27">
                  <c:v>33846.735767455299</c:v>
                </c:pt>
                <c:pt idx="28">
                  <c:v>33119.124514394418</c:v>
                </c:pt>
                <c:pt idx="29">
                  <c:v>32242.707527252664</c:v>
                </c:pt>
                <c:pt idx="30">
                  <c:v>31239.115699470294</c:v>
                </c:pt>
                <c:pt idx="31">
                  <c:v>30137.88183084179</c:v>
                </c:pt>
                <c:pt idx="32">
                  <c:v>28974.716487365324</c:v>
                </c:pt>
                <c:pt idx="33">
                  <c:v>27788.643457017701</c:v>
                </c:pt>
                <c:pt idx="34">
                  <c:v>26618.506880279718</c:v>
                </c:pt>
                <c:pt idx="35">
                  <c:v>25499.557965497348</c:v>
                </c:pt>
                <c:pt idx="36">
                  <c:v>24460.783316529545</c:v>
                </c:pt>
                <c:pt idx="37">
                  <c:v>23523.378433124872</c:v>
                </c:pt>
                <c:pt idx="38">
                  <c:v>22700.427081245383</c:v>
                </c:pt>
                <c:pt idx="39">
                  <c:v>21997.56318404289</c:v>
                </c:pt>
                <c:pt idx="40">
                  <c:v>21414.248445140965</c:v>
                </c:pt>
                <c:pt idx="41">
                  <c:v>20945.296160122318</c:v>
                </c:pt>
                <c:pt idx="42">
                  <c:v>20582.35779580161</c:v>
                </c:pt>
                <c:pt idx="43">
                  <c:v>20315.203259954887</c:v>
                </c:pt>
                <c:pt idx="44">
                  <c:v>20132.72619406326</c:v>
                </c:pt>
                <c:pt idx="45">
                  <c:v>20023.674394735677</c:v>
                </c:pt>
                <c:pt idx="46">
                  <c:v>19977.142545495844</c:v>
                </c:pt>
                <c:pt idx="47">
                  <c:v>19982.877908900515</c:v>
                </c:pt>
                <c:pt idx="48">
                  <c:v>20031.44888677034</c:v>
                </c:pt>
                <c:pt idx="49">
                  <c:v>20114.318856547496</c:v>
                </c:pt>
                <c:pt idx="50">
                  <c:v>20223.858200134408</c:v>
                </c:pt>
                <c:pt idx="51">
                  <c:v>20353.31848113408</c:v>
                </c:pt>
                <c:pt idx="52">
                  <c:v>20496.785330739145</c:v>
                </c:pt>
                <c:pt idx="53">
                  <c:v>20649.120970502183</c:v>
                </c:pt>
                <c:pt idx="54">
                  <c:v>20805.903242273609</c:v>
                </c:pt>
                <c:pt idx="55">
                  <c:v>20963.365212293571</c:v>
                </c:pt>
                <c:pt idx="56">
                  <c:v>21118.337547362418</c:v>
                </c:pt>
                <c:pt idx="57">
                  <c:v>21268.194656733587</c:v>
                </c:pt>
                <c:pt idx="58">
                  <c:v>21410.804847371357</c:v>
                </c:pt>
                <c:pt idx="59">
                  <c:v>21544.4843032073</c:v>
                </c:pt>
                <c:pt idx="60">
                  <c:v>21667.954467283784</c:v>
                </c:pt>
                <c:pt idx="61">
                  <c:v>21780.302309009141</c:v>
                </c:pt>
                <c:pt idx="62">
                  <c:v>21880.94295034905</c:v>
                </c:pt>
                <c:pt idx="63">
                  <c:v>21969.584173362207</c:v>
                </c:pt>
                <c:pt idx="64">
                  <c:v>22046.192415679805</c:v>
                </c:pt>
                <c:pt idx="65">
                  <c:v>22110.959965028975</c:v>
                </c:pt>
                <c:pt idx="66">
                  <c:v>22164.273177051666</c:v>
                </c:pt>
                <c:pt idx="67">
                  <c:v>22206.681653050306</c:v>
                </c:pt>
                <c:pt idx="68">
                  <c:v>22238.868418039074</c:v>
                </c:pt>
                <c:pt idx="69">
                  <c:v>22261.621228105341</c:v>
                </c:pt>
                <c:pt idx="70">
                  <c:v>22275.805204559372</c:v>
                </c:pt>
                <c:pt idx="71">
                  <c:v>22282.337037300847</c:v>
                </c:pt>
                <c:pt idx="72">
                  <c:v>22282.161019725965</c:v>
                </c:pt>
                <c:pt idx="73">
                  <c:v>22276.227172712039</c:v>
                </c:pt>
                <c:pt idx="74">
                  <c:v>22265.471687930847</c:v>
                </c:pt>
                <c:pt idx="75">
                  <c:v>22250.79987468139</c:v>
                </c:pt>
                <c:pt idx="76">
                  <c:v>22233.071734447713</c:v>
                </c:pt>
                <c:pt idx="77">
                  <c:v>22213.090218949372</c:v>
                </c:pt>
                <c:pt idx="78">
                  <c:v>22191.59215612054</c:v>
                </c:pt>
                <c:pt idx="79">
                  <c:v>22169.241759386001</c:v>
                </c:pt>
                <c:pt idx="80">
                  <c:v>22146.626573159127</c:v>
                </c:pt>
                <c:pt idx="81">
                  <c:v>22124.255654966637</c:v>
                </c:pt>
                <c:pt idx="82">
                  <c:v>22102.559754123708</c:v>
                </c:pt>
                <c:pt idx="83">
                  <c:v>22081.893219386191</c:v>
                </c:pt>
                <c:pt idx="84">
                  <c:v>22062.537353391996</c:v>
                </c:pt>
                <c:pt idx="85">
                  <c:v>22044.704929018011</c:v>
                </c:pt>
                <c:pt idx="86">
                  <c:v>22028.545590455611</c:v>
                </c:pt>
                <c:pt idx="87">
                  <c:v>22014.151877907665</c:v>
                </c:pt>
                <c:pt idx="88">
                  <c:v>22001.565637244068</c:v>
                </c:pt>
                <c:pt idx="89">
                  <c:v>21990.784602665241</c:v>
                </c:pt>
                <c:pt idx="90">
                  <c:v>21981.768969528614</c:v>
                </c:pt>
              </c:numCache>
            </c:numRef>
          </c:xVal>
          <c:yVal>
            <c:numRef>
              <c:f>'Phase plot K'!$T$8:$T$98</c:f>
              <c:numCache>
                <c:formatCode>General</c:formatCode>
                <c:ptCount val="91"/>
                <c:pt idx="0">
                  <c:v>1654</c:v>
                </c:pt>
                <c:pt idx="1">
                  <c:v>1308.2142787028199</c:v>
                </c:pt>
                <c:pt idx="2">
                  <c:v>1073.5261712029301</c:v>
                </c:pt>
                <c:pt idx="3">
                  <c:v>911.40089585387238</c:v>
                </c:pt>
                <c:pt idx="4">
                  <c:v>798.52019028169707</c:v>
                </c:pt>
                <c:pt idx="5">
                  <c:v>720.38195063691046</c:v>
                </c:pt>
                <c:pt idx="6">
                  <c:v>667.79259668095187</c:v>
                </c:pt>
                <c:pt idx="7">
                  <c:v>634.87603275496917</c:v>
                </c:pt>
                <c:pt idx="8">
                  <c:v>617.9114819209193</c:v>
                </c:pt>
                <c:pt idx="9">
                  <c:v>614.64144596773428</c:v>
                </c:pt>
                <c:pt idx="10">
                  <c:v>623.85580644747131</c:v>
                </c:pt>
                <c:pt idx="11">
                  <c:v>645.14388941071047</c:v>
                </c:pt>
                <c:pt idx="12">
                  <c:v>678.75246762710492</c:v>
                </c:pt>
                <c:pt idx="13">
                  <c:v>725.51308509068315</c:v>
                </c:pt>
                <c:pt idx="14">
                  <c:v>786.81616981971877</c:v>
                </c:pt>
                <c:pt idx="15">
                  <c:v>864.61692222991758</c:v>
                </c:pt>
                <c:pt idx="16">
                  <c:v>961.46132886201349</c:v>
                </c:pt>
                <c:pt idx="17">
                  <c:v>1080.5209949363141</c:v>
                </c:pt>
                <c:pt idx="18">
                  <c:v>1225.6232742487989</c:v>
                </c:pt>
                <c:pt idx="19">
                  <c:v>1401.258550525047</c:v>
                </c:pt>
                <c:pt idx="20">
                  <c:v>1612.5396660535248</c:v>
                </c:pt>
                <c:pt idx="21">
                  <c:v>1865.0800340956077</c:v>
                </c:pt>
                <c:pt idx="22">
                  <c:v>2164.7486053225271</c:v>
                </c:pt>
                <c:pt idx="23">
                  <c:v>2517.2550955547176</c:v>
                </c:pt>
                <c:pt idx="24">
                  <c:v>2927.523699682049</c:v>
                </c:pt>
                <c:pt idx="25">
                  <c:v>3398.8362360353599</c:v>
                </c:pt>
                <c:pt idx="26">
                  <c:v>3931.7748871513268</c:v>
                </c:pt>
                <c:pt idx="27">
                  <c:v>4523.0740337644856</c:v>
                </c:pt>
                <c:pt idx="28">
                  <c:v>5164.5902599570272</c:v>
                </c:pt>
                <c:pt idx="29">
                  <c:v>5842.6880294285729</c:v>
                </c:pt>
                <c:pt idx="30">
                  <c:v>6538.3636591856493</c:v>
                </c:pt>
                <c:pt idx="31">
                  <c:v>7228.3386822497023</c:v>
                </c:pt>
                <c:pt idx="32">
                  <c:v>7887.1289115067102</c:v>
                </c:pt>
                <c:pt idx="33">
                  <c:v>8489.7927184108339</c:v>
                </c:pt>
                <c:pt idx="34">
                  <c:v>9014.8041489484604</c:v>
                </c:pt>
                <c:pt idx="35">
                  <c:v>9446.4134610013625</c:v>
                </c:pt>
                <c:pt idx="36">
                  <c:v>9776.0023872924303</c:v>
                </c:pt>
                <c:pt idx="37">
                  <c:v>10002.249414970469</c:v>
                </c:pt>
                <c:pt idx="38">
                  <c:v>10130.250302229955</c:v>
                </c:pt>
                <c:pt idx="39">
                  <c:v>10169.960882065692</c:v>
                </c:pt>
                <c:pt idx="40">
                  <c:v>10134.389893470441</c:v>
                </c:pt>
                <c:pt idx="41">
                  <c:v>10037.897370810266</c:v>
                </c:pt>
                <c:pt idx="42">
                  <c:v>9894.8177677359818</c:v>
                </c:pt>
                <c:pt idx="43">
                  <c:v>9718.4907010764691</c:v>
                </c:pt>
                <c:pt idx="44">
                  <c:v>9520.6824704648898</c:v>
                </c:pt>
                <c:pt idx="45">
                  <c:v>9311.3269564373531</c:v>
                </c:pt>
                <c:pt idx="46">
                  <c:v>9098.4968759120438</c:v>
                </c:pt>
                <c:pt idx="47">
                  <c:v>8888.5219185840378</c:v>
                </c:pt>
                <c:pt idx="48">
                  <c:v>8686.1866756883155</c:v>
                </c:pt>
                <c:pt idx="49">
                  <c:v>8494.9601554292403</c:v>
                </c:pt>
                <c:pt idx="50">
                  <c:v>8317.2255778047911</c:v>
                </c:pt>
                <c:pt idx="51">
                  <c:v>8154.4923317656285</c:v>
                </c:pt>
                <c:pt idx="52">
                  <c:v>8007.5813231056773</c:v>
                </c:pt>
                <c:pt idx="53">
                  <c:v>7876.781031420267</c:v>
                </c:pt>
                <c:pt idx="54">
                  <c:v>7761.9752262318334</c:v>
                </c:pt>
                <c:pt idx="55">
                  <c:v>7662.745213367798</c:v>
                </c:pt>
                <c:pt idx="56">
                  <c:v>7578.4502924760063</c:v>
                </c:pt>
                <c:pt idx="57">
                  <c:v>7508.2902431219864</c:v>
                </c:pt>
                <c:pt idx="58">
                  <c:v>7451.3534188792</c:v>
                </c:pt>
                <c:pt idx="59">
                  <c:v>7406.6536082695511</c:v>
                </c:pt>
                <c:pt idx="60">
                  <c:v>7373.1583349066505</c:v>
                </c:pt>
                <c:pt idx="61">
                  <c:v>7349.8107829254868</c:v>
                </c:pt>
                <c:pt idx="62">
                  <c:v>7335.5470820938881</c:v>
                </c:pt>
                <c:pt idx="63">
                  <c:v>7329.3102852462762</c:v>
                </c:pt>
                <c:pt idx="64">
                  <c:v>7330.0620236625082</c:v>
                </c:pt>
                <c:pt idx="65">
                  <c:v>7336.7925332366658</c:v>
                </c:pt>
                <c:pt idx="66">
                  <c:v>7348.5295029777144</c:v>
                </c:pt>
                <c:pt idx="67">
                  <c:v>7364.3460040868704</c:v>
                </c:pt>
                <c:pt idx="68">
                  <c:v>7383.3676090236286</c:v>
                </c:pt>
                <c:pt idx="69">
                  <c:v>7404.778702081453</c:v>
                </c:pt>
                <c:pt idx="70">
                  <c:v>7427.8279123713946</c:v>
                </c:pt>
                <c:pt idx="71">
                  <c:v>7451.8325626941933</c:v>
                </c:pt>
                <c:pt idx="72">
                  <c:v>7476.1820189389737</c:v>
                </c:pt>
                <c:pt idx="73">
                  <c:v>7500.3398391384062</c:v>
                </c:pt>
                <c:pt idx="74">
                  <c:v>7523.8446533944252</c:v>
                </c:pt>
                <c:pt idx="75">
                  <c:v>7546.3097495724969</c:v>
                </c:pt>
                <c:pt idx="76">
                  <c:v>7567.4213890442188</c:v>
                </c:pt>
                <c:pt idx="77">
                  <c:v>7586.9359264018794</c:v>
                </c:pt>
                <c:pt idx="78">
                  <c:v>7604.6758523481722</c:v>
                </c:pt>
                <c:pt idx="79">
                  <c:v>7620.5249163240596</c:v>
                </c:pt>
                <c:pt idx="80">
                  <c:v>7634.4225125373769</c:v>
                </c:pt>
                <c:pt idx="81">
                  <c:v>7646.3575287853855</c:v>
                </c:pt>
                <c:pt idx="82">
                  <c:v>7656.36186184691</c:v>
                </c:pt>
                <c:pt idx="83">
                  <c:v>7664.503797210521</c:v>
                </c:pt>
                <c:pt idx="84">
                  <c:v>7670.8814361453888</c:v>
                </c:pt>
                <c:pt idx="85">
                  <c:v>7675.6163316657257</c:v>
                </c:pt>
                <c:pt idx="86">
                  <c:v>7678.8474689993782</c:v>
                </c:pt>
                <c:pt idx="87">
                  <c:v>7680.7256978948481</c:v>
                </c:pt>
                <c:pt idx="88">
                  <c:v>7681.408695409561</c:v>
                </c:pt>
                <c:pt idx="89">
                  <c:v>7681.056510300903</c:v>
                </c:pt>
                <c:pt idx="90">
                  <c:v>7679.827714988679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7B-4D31-B03D-9D772A06F888}"/>
            </c:ext>
          </c:extLst>
        </c:ser>
        <c:ser>
          <c:idx val="4"/>
          <c:order val="4"/>
          <c:tx>
            <c:strRef>
              <c:f>'Phase plot K'!$Z$7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K'!$Y$8:$Y$98</c:f>
              <c:numCache>
                <c:formatCode>General</c:formatCode>
                <c:ptCount val="91"/>
                <c:pt idx="0">
                  <c:v>29931</c:v>
                </c:pt>
                <c:pt idx="1">
                  <c:v>24943.820874267654</c:v>
                </c:pt>
                <c:pt idx="2">
                  <c:v>21118.452414798168</c:v>
                </c:pt>
                <c:pt idx="3">
                  <c:v>18374.063876932007</c:v>
                </c:pt>
                <c:pt idx="4">
                  <c:v>16520.050915976357</c:v>
                </c:pt>
                <c:pt idx="5">
                  <c:v>15350.583492788921</c:v>
                </c:pt>
                <c:pt idx="6">
                  <c:v>14688.50858688872</c:v>
                </c:pt>
                <c:pt idx="7">
                  <c:v>14396.017784891319</c:v>
                </c:pt>
                <c:pt idx="8">
                  <c:v>14370.720832419942</c:v>
                </c:pt>
                <c:pt idx="9">
                  <c:v>14537.769995647237</c:v>
                </c:pt>
                <c:pt idx="10">
                  <c:v>14842.41050130357</c:v>
                </c:pt>
                <c:pt idx="11">
                  <c:v>15244.170003935213</c:v>
                </c:pt>
                <c:pt idx="12">
                  <c:v>15712.675702599832</c:v>
                </c:pt>
                <c:pt idx="13">
                  <c:v>16224.748414111014</c:v>
                </c:pt>
                <c:pt idx="14">
                  <c:v>16762.40996117931</c:v>
                </c:pt>
                <c:pt idx="15">
                  <c:v>17311.517093456961</c:v>
                </c:pt>
                <c:pt idx="16">
                  <c:v>17860.817806941046</c:v>
                </c:pt>
                <c:pt idx="17">
                  <c:v>18401.2914237851</c:v>
                </c:pt>
                <c:pt idx="18">
                  <c:v>18925.680291252917</c:v>
                </c:pt>
                <c:pt idx="19">
                  <c:v>19428.152321419268</c:v>
                </c:pt>
                <c:pt idx="20">
                  <c:v>19904.05420616905</c:v>
                </c:pt>
                <c:pt idx="21">
                  <c:v>20349.728507908098</c:v>
                </c:pt>
                <c:pt idx="22">
                  <c:v>20762.37643262804</c:v>
                </c:pt>
                <c:pt idx="23">
                  <c:v>21139.953614964415</c:v>
                </c:pt>
                <c:pt idx="24">
                  <c:v>21481.089788165889</c:v>
                </c:pt>
                <c:pt idx="25">
                  <c:v>21785.025496567639</c:v>
                </c:pt>
                <c:pt idx="26">
                  <c:v>22051.560507105154</c:v>
                </c:pt>
                <c:pt idx="27">
                  <c:v>22281.009602842565</c:v>
                </c:pt>
                <c:pt idx="28">
                  <c:v>22474.162204958819</c:v>
                </c:pt>
                <c:pt idx="29">
                  <c:v>22632.242909866138</c:v>
                </c:pt>
                <c:pt idx="30">
                  <c:v>22756.870634674153</c:v>
                </c:pt>
                <c:pt idx="31">
                  <c:v>22850.01468744755</c:v>
                </c:pt>
                <c:pt idx="32">
                  <c:v>22913.946736449387</c:v>
                </c:pt>
                <c:pt idx="33">
                  <c:v>22951.188335219151</c:v>
                </c:pt>
                <c:pt idx="34">
                  <c:v>22964.454336658811</c:v>
                </c:pt>
                <c:pt idx="35">
                  <c:v>22956.593153770591</c:v>
                </c:pt>
                <c:pt idx="36">
                  <c:v>22930.525346496535</c:v>
                </c:pt>
                <c:pt idx="37">
                  <c:v>22889.182386842374</c:v>
                </c:pt>
                <c:pt idx="38">
                  <c:v>22835.447645015531</c:v>
                </c:pt>
                <c:pt idx="39">
                  <c:v>22772.101634326507</c:v>
                </c:pt>
                <c:pt idx="40">
                  <c:v>22701.773361300518</c:v>
                </c:pt>
                <c:pt idx="41">
                  <c:v>22626.899280188598</c:v>
                </c:pt>
                <c:pt idx="42">
                  <c:v>22549.690894276973</c:v>
                </c:pt>
                <c:pt idx="43">
                  <c:v>22472.111534988002</c:v>
                </c:pt>
                <c:pt idx="44">
                  <c:v>22395.862338845724</c:v>
                </c:pt>
                <c:pt idx="45">
                  <c:v>22322.376979835717</c:v>
                </c:pt>
                <c:pt idx="46">
                  <c:v>22252.824335986519</c:v>
                </c:pt>
                <c:pt idx="47">
                  <c:v>22188.117994715445</c:v>
                </c:pt>
                <c:pt idx="48">
                  <c:v>22128.931337520389</c:v>
                </c:pt>
                <c:pt idx="49">
                  <c:v>22075.716884487985</c:v>
                </c:pt>
                <c:pt idx="50">
                  <c:v>22028.728607489757</c:v>
                </c:pt>
                <c:pt idx="51">
                  <c:v>21988.046017515779</c:v>
                </c:pt>
                <c:pt idx="52">
                  <c:v>21953.598974539542</c:v>
                </c:pt>
                <c:pt idx="53">
                  <c:v>21925.192337081866</c:v>
                </c:pt>
                <c:pt idx="54">
                  <c:v>21902.529745782809</c:v>
                </c:pt>
                <c:pt idx="55">
                  <c:v>21885.236007304142</c:v>
                </c:pt>
                <c:pt idx="56">
                  <c:v>21872.877702399459</c:v>
                </c:pt>
                <c:pt idx="57">
                  <c:v>21864.981779398277</c:v>
                </c:pt>
                <c:pt idx="58">
                  <c:v>21861.052009162653</c:v>
                </c:pt>
                <c:pt idx="59">
                  <c:v>21860.583269650073</c:v>
                </c:pt>
                <c:pt idx="60">
                  <c:v>21863.073699024091</c:v>
                </c:pt>
                <c:pt idx="61">
                  <c:v>21868.034808226937</c:v>
                </c:pt>
                <c:pt idx="62">
                  <c:v>21874.999679949655</c:v>
                </c:pt>
                <c:pt idx="63">
                  <c:v>21883.529403965007</c:v>
                </c:pt>
                <c:pt idx="64">
                  <c:v>21893.217911614156</c:v>
                </c:pt>
                <c:pt idx="65">
                  <c:v>21903.69537732947</c:v>
                </c:pt>
                <c:pt idx="66">
                  <c:v>21914.630354517329</c:v>
                </c:pt>
                <c:pt idx="67">
                  <c:v>21925.730808603392</c:v>
                </c:pt>
                <c:pt idx="68">
                  <c:v>21936.744202871912</c:v>
                </c:pt>
                <c:pt idx="69">
                  <c:v>21947.456783893769</c:v>
                </c:pt>
                <c:pt idx="70">
                  <c:v>21957.692203542738</c:v>
                </c:pt>
                <c:pt idx="71">
                  <c:v>21967.309604332324</c:v>
                </c:pt>
                <c:pt idx="72">
                  <c:v>21976.201284384319</c:v>
                </c:pt>
                <c:pt idx="73">
                  <c:v>21984.290047960123</c:v>
                </c:pt>
                <c:pt idx="74">
                  <c:v>21991.526337258736</c:v>
                </c:pt>
                <c:pt idx="75">
                  <c:v>21997.885231170876</c:v>
                </c:pt>
                <c:pt idx="76">
                  <c:v>22003.363386908612</c:v>
                </c:pt>
                <c:pt idx="77">
                  <c:v>22007.975990925264</c:v>
                </c:pt>
                <c:pt idx="78">
                  <c:v>22011.753776322683</c:v>
                </c:pt>
                <c:pt idx="79">
                  <c:v>22014.740155041181</c:v>
                </c:pt>
                <c:pt idx="80">
                  <c:v>22016.98850457972</c:v>
                </c:pt>
                <c:pt idx="81">
                  <c:v>22018.559640847776</c:v>
                </c:pt>
                <c:pt idx="82">
                  <c:v>22019.519501060062</c:v>
                </c:pt>
                <c:pt idx="83">
                  <c:v>22019.937053407662</c:v>
                </c:pt>
                <c:pt idx="84">
                  <c:v>22019.882443630147</c:v>
                </c:pt>
                <c:pt idx="85">
                  <c:v>22019.425382622936</c:v>
                </c:pt>
                <c:pt idx="86">
                  <c:v>22018.633773883637</c:v>
                </c:pt>
                <c:pt idx="87">
                  <c:v>22017.572574959358</c:v>
                </c:pt>
                <c:pt idx="88">
                  <c:v>22016.302883118977</c:v>
                </c:pt>
                <c:pt idx="89">
                  <c:v>22014.881232240277</c:v>
                </c:pt>
                <c:pt idx="90">
                  <c:v>22013.35908535718</c:v>
                </c:pt>
              </c:numCache>
            </c:numRef>
          </c:xVal>
          <c:yVal>
            <c:numRef>
              <c:f>'Phase plot K'!$Z$8:$Z$98</c:f>
              <c:numCache>
                <c:formatCode>General</c:formatCode>
                <c:ptCount val="91"/>
                <c:pt idx="0">
                  <c:v>20069</c:v>
                </c:pt>
                <c:pt idx="1">
                  <c:v>21346.929579867978</c:v>
                </c:pt>
                <c:pt idx="2">
                  <c:v>21580.546291674233</c:v>
                </c:pt>
                <c:pt idx="3">
                  <c:v>21008.493689127132</c:v>
                </c:pt>
                <c:pt idx="4">
                  <c:v>19920.035993662004</c:v>
                </c:pt>
                <c:pt idx="5">
                  <c:v>18564.60079145823</c:v>
                </c:pt>
                <c:pt idx="6">
                  <c:v>17121.890956015246</c:v>
                </c:pt>
                <c:pt idx="7">
                  <c:v>15706.176188509535</c:v>
                </c:pt>
                <c:pt idx="8">
                  <c:v>14382.197943548723</c:v>
                </c:pt>
                <c:pt idx="9">
                  <c:v>13181.313886949589</c:v>
                </c:pt>
                <c:pt idx="10">
                  <c:v>12114.100927263398</c:v>
                </c:pt>
                <c:pt idx="11">
                  <c:v>11179.087557152254</c:v>
                </c:pt>
                <c:pt idx="12">
                  <c:v>10368.397110041855</c:v>
                </c:pt>
                <c:pt idx="13">
                  <c:v>9671.2162543936593</c:v>
                </c:pt>
                <c:pt idx="14">
                  <c:v>9075.8304178771086</c:v>
                </c:pt>
                <c:pt idx="15">
                  <c:v>8570.7533273234894</c:v>
                </c:pt>
                <c:pt idx="16">
                  <c:v>8145.30167675135</c:v>
                </c:pt>
                <c:pt idx="17">
                  <c:v>7789.8399373898073</c:v>
                </c:pt>
                <c:pt idx="18">
                  <c:v>7495.8359326741011</c:v>
                </c:pt>
                <c:pt idx="19">
                  <c:v>7255.8133030880244</c:v>
                </c:pt>
                <c:pt idx="20">
                  <c:v>7063.2525968412929</c:v>
                </c:pt>
                <c:pt idx="21">
                  <c:v>6912.4713934488009</c:v>
                </c:pt>
                <c:pt idx="22">
                  <c:v>6798.5008435725667</c:v>
                </c:pt>
                <c:pt idx="23">
                  <c:v>6716.9681897016317</c:v>
                </c:pt>
                <c:pt idx="24">
                  <c:v>6663.9902334445869</c:v>
                </c:pt>
                <c:pt idx="25">
                  <c:v>6636.0800778452522</c:v>
                </c:pt>
                <c:pt idx="26">
                  <c:v>6630.0680031469246</c:v>
                </c:pt>
                <c:pt idx="27">
                  <c:v>6643.0365324880786</c:v>
                </c:pt>
                <c:pt idx="28">
                  <c:v>6672.2692981662767</c:v>
                </c:pt>
                <c:pt idx="29">
                  <c:v>6715.2130382491869</c:v>
                </c:pt>
                <c:pt idx="30">
                  <c:v>6769.4518264710478</c:v>
                </c:pt>
                <c:pt idx="31">
                  <c:v>6832.6924097465653</c:v>
                </c:pt>
                <c:pt idx="32">
                  <c:v>6902.7592806714147</c:v>
                </c:pt>
                <c:pt idx="33">
                  <c:v>6977.5978581275103</c:v>
                </c:pt>
                <c:pt idx="34">
                  <c:v>7055.283916475546</c:v>
                </c:pt>
                <c:pt idx="35">
                  <c:v>7134.0372300865647</c:v>
                </c:pt>
                <c:pt idx="36">
                  <c:v>7212.2373215697999</c:v>
                </c:pt>
                <c:pt idx="37">
                  <c:v>7288.4392462205924</c:v>
                </c:pt>
                <c:pt idx="38">
                  <c:v>7361.3875236370395</c:v>
                </c:pt>
                <c:pt idx="39">
                  <c:v>7430.0266330997538</c:v>
                </c:pt>
                <c:pt idx="40">
                  <c:v>7493.5068969034555</c:v>
                </c:pt>
                <c:pt idx="41">
                  <c:v>7551.1850458958415</c:v>
                </c:pt>
                <c:pt idx="42">
                  <c:v>7602.6192469355583</c:v>
                </c:pt>
                <c:pt idx="43">
                  <c:v>7647.5588257939999</c:v>
                </c:pt>
                <c:pt idx="44">
                  <c:v>7685.929301280582</c:v>
                </c:pt>
                <c:pt idx="45">
                  <c:v>7717.8136294028063</c:v>
                </c:pt>
                <c:pt idx="46">
                  <c:v>7743.4307272008091</c:v>
                </c:pt>
                <c:pt idx="47">
                  <c:v>7763.1124059095646</c:v>
                </c:pt>
                <c:pt idx="48">
                  <c:v>7777.2798055209441</c:v>
                </c:pt>
                <c:pt idx="49">
                  <c:v>7786.420308822987</c:v>
                </c:pt>
                <c:pt idx="50">
                  <c:v>7791.0657474762311</c:v>
                </c:pt>
                <c:pt idx="51">
                  <c:v>7791.772520423483</c:v>
                </c:pt>
                <c:pt idx="52">
                  <c:v>7789.1040476975923</c:v>
                </c:pt>
                <c:pt idx="53">
                  <c:v>7783.6157975301794</c:v>
                </c:pt>
                <c:pt idx="54">
                  <c:v>7775.8429632203352</c:v>
                </c:pt>
                <c:pt idx="55">
                  <c:v>7766.2907349653015</c:v>
                </c:pt>
                <c:pt idx="56">
                  <c:v>7755.4270128587959</c:v>
                </c:pt>
                <c:pt idx="57">
                  <c:v>7743.6773392704417</c:v>
                </c:pt>
                <c:pt idx="58">
                  <c:v>7731.421788358798</c:v>
                </c:pt>
                <c:pt idx="59">
                  <c:v>7718.9935328557458</c:v>
                </c:pt>
                <c:pt idx="60">
                  <c:v>7706.6788084008276</c:v>
                </c:pt>
                <c:pt idx="61">
                  <c:v>7694.7180086866465</c:v>
                </c:pt>
                <c:pt idx="62">
                  <c:v>7683.3076661320865</c:v>
                </c:pt>
                <c:pt idx="63">
                  <c:v>7672.6030990970385</c:v>
                </c:pt>
                <c:pt idx="64">
                  <c:v>7662.72153495163</c:v>
                </c:pt>
                <c:pt idx="65">
                  <c:v>7653.7455465339963</c:v>
                </c:pt>
                <c:pt idx="66">
                  <c:v>7645.7266662609691</c:v>
                </c:pt>
                <c:pt idx="67">
                  <c:v>7638.6890665362216</c:v>
                </c:pt>
                <c:pt idx="68">
                  <c:v>7632.6332167017908</c:v>
                </c:pt>
                <c:pt idx="69">
                  <c:v>7627.5394454900306</c:v>
                </c:pt>
                <c:pt idx="70">
                  <c:v>7623.3713538591674</c:v>
                </c:pt>
                <c:pt idx="71">
                  <c:v>7620.0790364768791</c:v>
                </c:pt>
                <c:pt idx="72">
                  <c:v>7617.6020812629604</c:v>
                </c:pt>
                <c:pt idx="73">
                  <c:v>7615.8723256471858</c:v>
                </c:pt>
                <c:pt idx="74">
                  <c:v>7614.8163558642082</c:v>
                </c:pt>
                <c:pt idx="75">
                  <c:v>7614.3577419843268</c:v>
                </c:pt>
                <c:pt idx="76">
                  <c:v>7614.4190067143227</c:v>
                </c:pt>
                <c:pt idx="77">
                  <c:v>7614.9233304957716</c:v>
                </c:pt>
                <c:pt idx="78">
                  <c:v>7615.795999232063</c:v>
                </c:pt>
                <c:pt idx="79">
                  <c:v>7616.965604200368</c:v>
                </c:pt>
                <c:pt idx="80">
                  <c:v>7618.3650064263593</c:v>
                </c:pt>
                <c:pt idx="81">
                  <c:v>7619.9320800652185</c:v>
                </c:pt>
                <c:pt idx="82">
                  <c:v>7621.6102511704939</c:v>
                </c:pt>
                <c:pt idx="83">
                  <c:v>7623.3488496585078</c:v>
                </c:pt>
                <c:pt idx="84">
                  <c:v>7625.103293300348</c:v>
                </c:pt>
                <c:pt idx="85">
                  <c:v>7626.8351232054783</c:v>
                </c:pt>
                <c:pt idx="86">
                  <c:v>7628.511910513399</c:v>
                </c:pt>
                <c:pt idx="87">
                  <c:v>7630.1070539010252</c:v>
                </c:pt>
                <c:pt idx="88">
                  <c:v>7631.5994870687837</c:v>
                </c:pt>
                <c:pt idx="89">
                  <c:v>7632.9733146202407</c:v>
                </c:pt>
                <c:pt idx="90">
                  <c:v>7634.2173937369107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7B-4D31-B03D-9D772A06F888}"/>
            </c:ext>
          </c:extLst>
        </c:ser>
        <c:ser>
          <c:idx val="5"/>
          <c:order val="5"/>
          <c:tx>
            <c:strRef>
              <c:f>'Phase plot K'!$Z$7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K'!$Y$8:$Y$98</c:f>
              <c:numCache>
                <c:formatCode>General</c:formatCode>
                <c:ptCount val="91"/>
                <c:pt idx="0">
                  <c:v>29931</c:v>
                </c:pt>
                <c:pt idx="1">
                  <c:v>24943.820874267654</c:v>
                </c:pt>
                <c:pt idx="2">
                  <c:v>21118.452414798168</c:v>
                </c:pt>
                <c:pt idx="3">
                  <c:v>18374.063876932007</c:v>
                </c:pt>
                <c:pt idx="4">
                  <c:v>16520.050915976357</c:v>
                </c:pt>
                <c:pt idx="5">
                  <c:v>15350.583492788921</c:v>
                </c:pt>
                <c:pt idx="6">
                  <c:v>14688.50858688872</c:v>
                </c:pt>
                <c:pt idx="7">
                  <c:v>14396.017784891319</c:v>
                </c:pt>
                <c:pt idx="8">
                  <c:v>14370.720832419942</c:v>
                </c:pt>
                <c:pt idx="9">
                  <c:v>14537.769995647237</c:v>
                </c:pt>
                <c:pt idx="10">
                  <c:v>14842.41050130357</c:v>
                </c:pt>
                <c:pt idx="11">
                  <c:v>15244.170003935213</c:v>
                </c:pt>
                <c:pt idx="12">
                  <c:v>15712.675702599832</c:v>
                </c:pt>
                <c:pt idx="13">
                  <c:v>16224.748414111014</c:v>
                </c:pt>
                <c:pt idx="14">
                  <c:v>16762.40996117931</c:v>
                </c:pt>
                <c:pt idx="15">
                  <c:v>17311.517093456961</c:v>
                </c:pt>
                <c:pt idx="16">
                  <c:v>17860.817806941046</c:v>
                </c:pt>
                <c:pt idx="17">
                  <c:v>18401.2914237851</c:v>
                </c:pt>
                <c:pt idx="18">
                  <c:v>18925.680291252917</c:v>
                </c:pt>
                <c:pt idx="19">
                  <c:v>19428.152321419268</c:v>
                </c:pt>
                <c:pt idx="20">
                  <c:v>19904.05420616905</c:v>
                </c:pt>
                <c:pt idx="21">
                  <c:v>20349.728507908098</c:v>
                </c:pt>
                <c:pt idx="22">
                  <c:v>20762.37643262804</c:v>
                </c:pt>
                <c:pt idx="23">
                  <c:v>21139.953614964415</c:v>
                </c:pt>
                <c:pt idx="24">
                  <c:v>21481.089788165889</c:v>
                </c:pt>
                <c:pt idx="25">
                  <c:v>21785.025496567639</c:v>
                </c:pt>
                <c:pt idx="26">
                  <c:v>22051.560507105154</c:v>
                </c:pt>
                <c:pt idx="27">
                  <c:v>22281.009602842565</c:v>
                </c:pt>
                <c:pt idx="28">
                  <c:v>22474.162204958819</c:v>
                </c:pt>
                <c:pt idx="29">
                  <c:v>22632.242909866138</c:v>
                </c:pt>
                <c:pt idx="30">
                  <c:v>22756.870634674153</c:v>
                </c:pt>
                <c:pt idx="31">
                  <c:v>22850.01468744755</c:v>
                </c:pt>
                <c:pt idx="32">
                  <c:v>22913.946736449387</c:v>
                </c:pt>
                <c:pt idx="33">
                  <c:v>22951.188335219151</c:v>
                </c:pt>
                <c:pt idx="34">
                  <c:v>22964.454336658811</c:v>
                </c:pt>
                <c:pt idx="35">
                  <c:v>22956.593153770591</c:v>
                </c:pt>
                <c:pt idx="36">
                  <c:v>22930.525346496535</c:v>
                </c:pt>
                <c:pt idx="37">
                  <c:v>22889.182386842374</c:v>
                </c:pt>
                <c:pt idx="38">
                  <c:v>22835.447645015531</c:v>
                </c:pt>
                <c:pt idx="39">
                  <c:v>22772.101634326507</c:v>
                </c:pt>
                <c:pt idx="40">
                  <c:v>22701.773361300518</c:v>
                </c:pt>
                <c:pt idx="41">
                  <c:v>22626.899280188598</c:v>
                </c:pt>
                <c:pt idx="42">
                  <c:v>22549.690894276973</c:v>
                </c:pt>
                <c:pt idx="43">
                  <c:v>22472.111534988002</c:v>
                </c:pt>
                <c:pt idx="44">
                  <c:v>22395.862338845724</c:v>
                </c:pt>
                <c:pt idx="45">
                  <c:v>22322.376979835717</c:v>
                </c:pt>
                <c:pt idx="46">
                  <c:v>22252.824335986519</c:v>
                </c:pt>
                <c:pt idx="47">
                  <c:v>22188.117994715445</c:v>
                </c:pt>
                <c:pt idx="48">
                  <c:v>22128.931337520389</c:v>
                </c:pt>
                <c:pt idx="49">
                  <c:v>22075.716884487985</c:v>
                </c:pt>
                <c:pt idx="50">
                  <c:v>22028.728607489757</c:v>
                </c:pt>
                <c:pt idx="51">
                  <c:v>21988.046017515779</c:v>
                </c:pt>
                <c:pt idx="52">
                  <c:v>21953.598974539542</c:v>
                </c:pt>
                <c:pt idx="53">
                  <c:v>21925.192337081866</c:v>
                </c:pt>
                <c:pt idx="54">
                  <c:v>21902.529745782809</c:v>
                </c:pt>
                <c:pt idx="55">
                  <c:v>21885.236007304142</c:v>
                </c:pt>
                <c:pt idx="56">
                  <c:v>21872.877702399459</c:v>
                </c:pt>
                <c:pt idx="57">
                  <c:v>21864.981779398277</c:v>
                </c:pt>
                <c:pt idx="58">
                  <c:v>21861.052009162653</c:v>
                </c:pt>
                <c:pt idx="59">
                  <c:v>21860.583269650073</c:v>
                </c:pt>
                <c:pt idx="60">
                  <c:v>21863.073699024091</c:v>
                </c:pt>
                <c:pt idx="61">
                  <c:v>21868.034808226937</c:v>
                </c:pt>
                <c:pt idx="62">
                  <c:v>21874.999679949655</c:v>
                </c:pt>
                <c:pt idx="63">
                  <c:v>21883.529403965007</c:v>
                </c:pt>
                <c:pt idx="64">
                  <c:v>21893.217911614156</c:v>
                </c:pt>
                <c:pt idx="65">
                  <c:v>21903.69537732947</c:v>
                </c:pt>
                <c:pt idx="66">
                  <c:v>21914.630354517329</c:v>
                </c:pt>
                <c:pt idx="67">
                  <c:v>21925.730808603392</c:v>
                </c:pt>
                <c:pt idx="68">
                  <c:v>21936.744202871912</c:v>
                </c:pt>
                <c:pt idx="69">
                  <c:v>21947.456783893769</c:v>
                </c:pt>
                <c:pt idx="70">
                  <c:v>21957.692203542738</c:v>
                </c:pt>
                <c:pt idx="71">
                  <c:v>21967.309604332324</c:v>
                </c:pt>
                <c:pt idx="72">
                  <c:v>21976.201284384319</c:v>
                </c:pt>
                <c:pt idx="73">
                  <c:v>21984.290047960123</c:v>
                </c:pt>
                <c:pt idx="74">
                  <c:v>21991.526337258736</c:v>
                </c:pt>
                <c:pt idx="75">
                  <c:v>21997.885231170876</c:v>
                </c:pt>
                <c:pt idx="76">
                  <c:v>22003.363386908612</c:v>
                </c:pt>
                <c:pt idx="77">
                  <c:v>22007.975990925264</c:v>
                </c:pt>
                <c:pt idx="78">
                  <c:v>22011.753776322683</c:v>
                </c:pt>
                <c:pt idx="79">
                  <c:v>22014.740155041181</c:v>
                </c:pt>
                <c:pt idx="80">
                  <c:v>22016.98850457972</c:v>
                </c:pt>
                <c:pt idx="81">
                  <c:v>22018.559640847776</c:v>
                </c:pt>
                <c:pt idx="82">
                  <c:v>22019.519501060062</c:v>
                </c:pt>
                <c:pt idx="83">
                  <c:v>22019.937053407662</c:v>
                </c:pt>
                <c:pt idx="84">
                  <c:v>22019.882443630147</c:v>
                </c:pt>
                <c:pt idx="85">
                  <c:v>22019.425382622936</c:v>
                </c:pt>
                <c:pt idx="86">
                  <c:v>22018.633773883637</c:v>
                </c:pt>
                <c:pt idx="87">
                  <c:v>22017.572574959358</c:v>
                </c:pt>
                <c:pt idx="88">
                  <c:v>22016.302883118977</c:v>
                </c:pt>
                <c:pt idx="89">
                  <c:v>22014.881232240277</c:v>
                </c:pt>
                <c:pt idx="90">
                  <c:v>22013.35908535718</c:v>
                </c:pt>
              </c:numCache>
            </c:numRef>
          </c:xVal>
          <c:yVal>
            <c:numRef>
              <c:f>'Phase plot K'!$Z$8:$Z$98</c:f>
              <c:numCache>
                <c:formatCode>General</c:formatCode>
                <c:ptCount val="91"/>
                <c:pt idx="0">
                  <c:v>20069</c:v>
                </c:pt>
                <c:pt idx="1">
                  <c:v>21346.929579867978</c:v>
                </c:pt>
                <c:pt idx="2">
                  <c:v>21580.546291674233</c:v>
                </c:pt>
                <c:pt idx="3">
                  <c:v>21008.493689127132</c:v>
                </c:pt>
                <c:pt idx="4">
                  <c:v>19920.035993662004</c:v>
                </c:pt>
                <c:pt idx="5">
                  <c:v>18564.60079145823</c:v>
                </c:pt>
                <c:pt idx="6">
                  <c:v>17121.890956015246</c:v>
                </c:pt>
                <c:pt idx="7">
                  <c:v>15706.176188509535</c:v>
                </c:pt>
                <c:pt idx="8">
                  <c:v>14382.197943548723</c:v>
                </c:pt>
                <c:pt idx="9">
                  <c:v>13181.313886949589</c:v>
                </c:pt>
                <c:pt idx="10">
                  <c:v>12114.100927263398</c:v>
                </c:pt>
                <c:pt idx="11">
                  <c:v>11179.087557152254</c:v>
                </c:pt>
                <c:pt idx="12">
                  <c:v>10368.397110041855</c:v>
                </c:pt>
                <c:pt idx="13">
                  <c:v>9671.2162543936593</c:v>
                </c:pt>
                <c:pt idx="14">
                  <c:v>9075.8304178771086</c:v>
                </c:pt>
                <c:pt idx="15">
                  <c:v>8570.7533273234894</c:v>
                </c:pt>
                <c:pt idx="16">
                  <c:v>8145.30167675135</c:v>
                </c:pt>
                <c:pt idx="17">
                  <c:v>7789.8399373898073</c:v>
                </c:pt>
                <c:pt idx="18">
                  <c:v>7495.8359326741011</c:v>
                </c:pt>
                <c:pt idx="19">
                  <c:v>7255.8133030880244</c:v>
                </c:pt>
                <c:pt idx="20">
                  <c:v>7063.2525968412929</c:v>
                </c:pt>
                <c:pt idx="21">
                  <c:v>6912.4713934488009</c:v>
                </c:pt>
                <c:pt idx="22">
                  <c:v>6798.5008435725667</c:v>
                </c:pt>
                <c:pt idx="23">
                  <c:v>6716.9681897016317</c:v>
                </c:pt>
                <c:pt idx="24">
                  <c:v>6663.9902334445869</c:v>
                </c:pt>
                <c:pt idx="25">
                  <c:v>6636.0800778452522</c:v>
                </c:pt>
                <c:pt idx="26">
                  <c:v>6630.0680031469246</c:v>
                </c:pt>
                <c:pt idx="27">
                  <c:v>6643.0365324880786</c:v>
                </c:pt>
                <c:pt idx="28">
                  <c:v>6672.2692981662767</c:v>
                </c:pt>
                <c:pt idx="29">
                  <c:v>6715.2130382491869</c:v>
                </c:pt>
                <c:pt idx="30">
                  <c:v>6769.4518264710478</c:v>
                </c:pt>
                <c:pt idx="31">
                  <c:v>6832.6924097465653</c:v>
                </c:pt>
                <c:pt idx="32">
                  <c:v>6902.7592806714147</c:v>
                </c:pt>
                <c:pt idx="33">
                  <c:v>6977.5978581275103</c:v>
                </c:pt>
                <c:pt idx="34">
                  <c:v>7055.283916475546</c:v>
                </c:pt>
                <c:pt idx="35">
                  <c:v>7134.0372300865647</c:v>
                </c:pt>
                <c:pt idx="36">
                  <c:v>7212.2373215697999</c:v>
                </c:pt>
                <c:pt idx="37">
                  <c:v>7288.4392462205924</c:v>
                </c:pt>
                <c:pt idx="38">
                  <c:v>7361.3875236370395</c:v>
                </c:pt>
                <c:pt idx="39">
                  <c:v>7430.0266330997538</c:v>
                </c:pt>
                <c:pt idx="40">
                  <c:v>7493.5068969034555</c:v>
                </c:pt>
                <c:pt idx="41">
                  <c:v>7551.1850458958415</c:v>
                </c:pt>
                <c:pt idx="42">
                  <c:v>7602.6192469355583</c:v>
                </c:pt>
                <c:pt idx="43">
                  <c:v>7647.5588257939999</c:v>
                </c:pt>
                <c:pt idx="44">
                  <c:v>7685.929301280582</c:v>
                </c:pt>
                <c:pt idx="45">
                  <c:v>7717.8136294028063</c:v>
                </c:pt>
                <c:pt idx="46">
                  <c:v>7743.4307272008091</c:v>
                </c:pt>
                <c:pt idx="47">
                  <c:v>7763.1124059095646</c:v>
                </c:pt>
                <c:pt idx="48">
                  <c:v>7777.2798055209441</c:v>
                </c:pt>
                <c:pt idx="49">
                  <c:v>7786.420308822987</c:v>
                </c:pt>
                <c:pt idx="50">
                  <c:v>7791.0657474762311</c:v>
                </c:pt>
                <c:pt idx="51">
                  <c:v>7791.772520423483</c:v>
                </c:pt>
                <c:pt idx="52">
                  <c:v>7789.1040476975923</c:v>
                </c:pt>
                <c:pt idx="53">
                  <c:v>7783.6157975301794</c:v>
                </c:pt>
                <c:pt idx="54">
                  <c:v>7775.8429632203352</c:v>
                </c:pt>
                <c:pt idx="55">
                  <c:v>7766.2907349653015</c:v>
                </c:pt>
                <c:pt idx="56">
                  <c:v>7755.4270128587959</c:v>
                </c:pt>
                <c:pt idx="57">
                  <c:v>7743.6773392704417</c:v>
                </c:pt>
                <c:pt idx="58">
                  <c:v>7731.421788358798</c:v>
                </c:pt>
                <c:pt idx="59">
                  <c:v>7718.9935328557458</c:v>
                </c:pt>
                <c:pt idx="60">
                  <c:v>7706.6788084008276</c:v>
                </c:pt>
                <c:pt idx="61">
                  <c:v>7694.7180086866465</c:v>
                </c:pt>
                <c:pt idx="62">
                  <c:v>7683.3076661320865</c:v>
                </c:pt>
                <c:pt idx="63">
                  <c:v>7672.6030990970385</c:v>
                </c:pt>
                <c:pt idx="64">
                  <c:v>7662.72153495163</c:v>
                </c:pt>
                <c:pt idx="65">
                  <c:v>7653.7455465339963</c:v>
                </c:pt>
                <c:pt idx="66">
                  <c:v>7645.7266662609691</c:v>
                </c:pt>
                <c:pt idx="67">
                  <c:v>7638.6890665362216</c:v>
                </c:pt>
                <c:pt idx="68">
                  <c:v>7632.6332167017908</c:v>
                </c:pt>
                <c:pt idx="69">
                  <c:v>7627.5394454900306</c:v>
                </c:pt>
                <c:pt idx="70">
                  <c:v>7623.3713538591674</c:v>
                </c:pt>
                <c:pt idx="71">
                  <c:v>7620.0790364768791</c:v>
                </c:pt>
                <c:pt idx="72">
                  <c:v>7617.6020812629604</c:v>
                </c:pt>
                <c:pt idx="73">
                  <c:v>7615.8723256471858</c:v>
                </c:pt>
                <c:pt idx="74">
                  <c:v>7614.8163558642082</c:v>
                </c:pt>
                <c:pt idx="75">
                  <c:v>7614.3577419843268</c:v>
                </c:pt>
                <c:pt idx="76">
                  <c:v>7614.4190067143227</c:v>
                </c:pt>
                <c:pt idx="77">
                  <c:v>7614.9233304957716</c:v>
                </c:pt>
                <c:pt idx="78">
                  <c:v>7615.795999232063</c:v>
                </c:pt>
                <c:pt idx="79">
                  <c:v>7616.965604200368</c:v>
                </c:pt>
                <c:pt idx="80">
                  <c:v>7618.3650064263593</c:v>
                </c:pt>
                <c:pt idx="81">
                  <c:v>7619.9320800652185</c:v>
                </c:pt>
                <c:pt idx="82">
                  <c:v>7621.6102511704939</c:v>
                </c:pt>
                <c:pt idx="83">
                  <c:v>7623.3488496585078</c:v>
                </c:pt>
                <c:pt idx="84">
                  <c:v>7625.103293300348</c:v>
                </c:pt>
                <c:pt idx="85">
                  <c:v>7626.8351232054783</c:v>
                </c:pt>
                <c:pt idx="86">
                  <c:v>7628.511910513399</c:v>
                </c:pt>
                <c:pt idx="87">
                  <c:v>7630.1070539010252</c:v>
                </c:pt>
                <c:pt idx="88">
                  <c:v>7631.5994870687837</c:v>
                </c:pt>
                <c:pt idx="89">
                  <c:v>7632.9733146202407</c:v>
                </c:pt>
                <c:pt idx="90">
                  <c:v>7634.2173937369107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87B-4D31-B03D-9D772A06F888}"/>
            </c:ext>
          </c:extLst>
        </c:ser>
        <c:ser>
          <c:idx val="6"/>
          <c:order val="6"/>
          <c:tx>
            <c:strRef>
              <c:f>'Phase plot K'!$AC$7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K'!$AB$8:$AB$98</c:f>
              <c:numCache>
                <c:formatCode>General</c:formatCode>
                <c:ptCount val="91"/>
                <c:pt idx="0">
                  <c:v>14302</c:v>
                </c:pt>
                <c:pt idx="1">
                  <c:v>11795.518306848024</c:v>
                </c:pt>
                <c:pt idx="2">
                  <c:v>10599.096008394583</c:v>
                </c:pt>
                <c:pt idx="3">
                  <c:v>10173.520108080198</c:v>
                </c:pt>
                <c:pt idx="4">
                  <c:v>10211.450286474976</c:v>
                </c:pt>
                <c:pt idx="5">
                  <c:v>10537.079169258555</c:v>
                </c:pt>
                <c:pt idx="6">
                  <c:v>11046.360540675212</c:v>
                </c:pt>
                <c:pt idx="7">
                  <c:v>11674.621184731805</c:v>
                </c:pt>
                <c:pt idx="8">
                  <c:v>12379.389533672002</c:v>
                </c:pt>
                <c:pt idx="9">
                  <c:v>13131.217884752936</c:v>
                </c:pt>
                <c:pt idx="10">
                  <c:v>13908.668960400973</c:v>
                </c:pt>
                <c:pt idx="11">
                  <c:v>14695.496336941793</c:v>
                </c:pt>
                <c:pt idx="12">
                  <c:v>15479.003514712131</c:v>
                </c:pt>
                <c:pt idx="13">
                  <c:v>16249.051443045762</c:v>
                </c:pt>
                <c:pt idx="14">
                  <c:v>16997.432612207696</c:v>
                </c:pt>
                <c:pt idx="15">
                  <c:v>17717.458965272494</c:v>
                </c:pt>
                <c:pt idx="16">
                  <c:v>18403.679256245767</c:v>
                </c:pt>
                <c:pt idx="17">
                  <c:v>19051.678292172317</c:v>
                </c:pt>
                <c:pt idx="18">
                  <c:v>19657.930592610239</c:v>
                </c:pt>
                <c:pt idx="19">
                  <c:v>20219.692073054568</c:v>
                </c:pt>
                <c:pt idx="20">
                  <c:v>20734.919475603285</c:v>
                </c:pt>
                <c:pt idx="21">
                  <c:v>21202.210621480881</c:v>
                </c:pt>
                <c:pt idx="22">
                  <c:v>21620.760351753983</c:v>
                </c:pt>
                <c:pt idx="23">
                  <c:v>21990.327936334055</c:v>
                </c:pt>
                <c:pt idx="24">
                  <c:v>22311.212168174596</c:v>
                </c:pt>
                <c:pt idx="25">
                  <c:v>22584.230569499123</c:v>
                </c:pt>
                <c:pt idx="26">
                  <c:v>22810.699287166492</c:v>
                </c:pt>
                <c:pt idx="27">
                  <c:v>22992.410462793268</c:v>
                </c:pt>
                <c:pt idx="28">
                  <c:v>23131.60421215542</c:v>
                </c:pt>
                <c:pt idx="29">
                  <c:v>23230.932886480943</c:v>
                </c:pt>
                <c:pt idx="30">
                  <c:v>23293.416028325188</c:v>
                </c:pt>
                <c:pt idx="31">
                  <c:v>23322.385350751534</c:v>
                </c:pt>
                <c:pt idx="32">
                  <c:v>23321.420096414909</c:v>
                </c:pt>
                <c:pt idx="33">
                  <c:v>23294.274177586365</c:v>
                </c:pt>
                <c:pt idx="34">
                  <c:v>23244.797446313514</c:v>
                </c:pt>
                <c:pt idx="35">
                  <c:v>23176.854184041917</c:v>
                </c:pt>
                <c:pt idx="36">
                  <c:v>23094.242341692741</c:v>
                </c:pt>
                <c:pt idx="37">
                  <c:v>23000.61715243258</c:v>
                </c:pt>
                <c:pt idx="38">
                  <c:v>22899.422476599673</c:v>
                </c:pt>
                <c:pt idx="39">
                  <c:v>22793.832666513274</c:v>
                </c:pt>
                <c:pt idx="40">
                  <c:v>22686.706942519188</c:v>
                </c:pt>
                <c:pt idx="41">
                  <c:v>22580.557357877577</c:v>
                </c:pt>
                <c:pt idx="42">
                  <c:v>22477.530510007247</c:v>
                </c:pt>
                <c:pt idx="43">
                  <c:v>22379.402326417443</c:v>
                </c:pt>
                <c:pt idx="44">
                  <c:v>22287.584586396555</c:v>
                </c:pt>
                <c:pt idx="45">
                  <c:v>22203.141373227398</c:v>
                </c:pt>
                <c:pt idx="46">
                  <c:v>22126.813394230598</c:v>
                </c:pt>
                <c:pt idx="47">
                  <c:v>22059.048039718276</c:v>
                </c:pt>
                <c:pt idx="48">
                  <c:v>22000.033142298034</c:v>
                </c:pt>
                <c:pt idx="49">
                  <c:v>21949.732601940672</c:v>
                </c:pt>
                <c:pt idx="50">
                  <c:v>21907.922316143402</c:v>
                </c:pt>
                <c:pt idx="51">
                  <c:v>21874.225159460388</c:v>
                </c:pt>
                <c:pt idx="52">
                  <c:v>21848.144061583556</c:v>
                </c:pt>
                <c:pt idx="53">
                  <c:v>21829.092515936984</c:v>
                </c:pt>
                <c:pt idx="54">
                  <c:v>21816.42209781519</c:v>
                </c:pt>
                <c:pt idx="55">
                  <c:v>21809.446776046891</c:v>
                </c:pt>
                <c:pt idx="56">
                  <c:v>21807.463964048678</c:v>
                </c:pt>
                <c:pt idx="57">
                  <c:v>21809.772377701589</c:v>
                </c:pt>
                <c:pt idx="58">
                  <c:v>21815.68685367439</c:v>
                </c:pt>
                <c:pt idx="59">
                  <c:v>21824.550338549459</c:v>
                </c:pt>
                <c:pt idx="60">
                  <c:v>21835.743292424377</c:v>
                </c:pt>
                <c:pt idx="61">
                  <c:v>21848.69076618203</c:v>
                </c:pt>
                <c:pt idx="62">
                  <c:v>21862.867414230495</c:v>
                </c:pt>
                <c:pt idx="63">
                  <c:v>21877.800698242205</c:v>
                </c:pt>
                <c:pt idx="64">
                  <c:v>21893.072525443757</c:v>
                </c:pt>
                <c:pt idx="65">
                  <c:v>21908.319549711061</c:v>
                </c:pt>
                <c:pt idx="66">
                  <c:v>21923.232346820671</c:v>
                </c:pt>
                <c:pt idx="67">
                  <c:v>21937.553657855144</c:v>
                </c:pt>
                <c:pt idx="68">
                  <c:v>21951.075877683688</c:v>
                </c:pt>
                <c:pt idx="69">
                  <c:v>21963.637949042452</c:v>
                </c:pt>
                <c:pt idx="70">
                  <c:v>21975.121807197436</c:v>
                </c:pt>
                <c:pt idx="71">
                  <c:v>21985.448505514047</c:v>
                </c:pt>
                <c:pt idx="72">
                  <c:v>21994.57413842051</c:v>
                </c:pt>
                <c:pt idx="73">
                  <c:v>22002.485665137545</c:v>
                </c:pt>
                <c:pt idx="74">
                  <c:v>22009.196725047455</c:v>
                </c:pt>
                <c:pt idx="75">
                  <c:v>22014.743523602137</c:v>
                </c:pt>
                <c:pt idx="76">
                  <c:v>22019.180856160801</c:v>
                </c:pt>
                <c:pt idx="77">
                  <c:v>22022.578326078361</c:v>
                </c:pt>
                <c:pt idx="78">
                  <c:v>22025.016802743503</c:v>
                </c:pt>
                <c:pt idx="79">
                  <c:v>22026.585155129414</c:v>
                </c:pt>
                <c:pt idx="80">
                  <c:v>22027.377286831492</c:v>
                </c:pt>
                <c:pt idx="81">
                  <c:v>22027.489489599815</c:v>
                </c:pt>
                <c:pt idx="82">
                  <c:v>22027.018124109443</c:v>
                </c:pt>
                <c:pt idx="83">
                  <c:v>22026.057629224983</c:v>
                </c:pt>
                <c:pt idx="84">
                  <c:v>22024.698854372062</c:v>
                </c:pt>
                <c:pt idx="85">
                  <c:v>22023.027703876327</c:v>
                </c:pt>
                <c:pt idx="86">
                  <c:v>22021.124077298166</c:v>
                </c:pt>
                <c:pt idx="87">
                  <c:v>22019.061085884725</c:v>
                </c:pt>
                <c:pt idx="88">
                  <c:v>22016.904522263547</c:v>
                </c:pt>
                <c:pt idx="89">
                  <c:v>22014.712558376825</c:v>
                </c:pt>
                <c:pt idx="90">
                  <c:v>22012.535645345957</c:v>
                </c:pt>
              </c:numCache>
            </c:numRef>
          </c:xVal>
          <c:yVal>
            <c:numRef>
              <c:f>'Phase plot K'!$AC$8:$AC$98</c:f>
              <c:numCache>
                <c:formatCode>General</c:formatCode>
                <c:ptCount val="91"/>
                <c:pt idx="0">
                  <c:v>35698</c:v>
                </c:pt>
                <c:pt idx="1">
                  <c:v>32155.63059263134</c:v>
                </c:pt>
                <c:pt idx="2">
                  <c:v>28367.294643542311</c:v>
                </c:pt>
                <c:pt idx="3">
                  <c:v>24799.350283384818</c:v>
                </c:pt>
                <c:pt idx="4">
                  <c:v>21635.284964539933</c:v>
                </c:pt>
                <c:pt idx="5">
                  <c:v>18916.378256078904</c:v>
                </c:pt>
                <c:pt idx="6">
                  <c:v>16620.017331888099</c:v>
                </c:pt>
                <c:pt idx="7">
                  <c:v>14699.151279650032</c:v>
                </c:pt>
                <c:pt idx="8">
                  <c:v>13101.009506847977</c:v>
                </c:pt>
                <c:pt idx="9">
                  <c:v>11775.387823925694</c:v>
                </c:pt>
                <c:pt idx="10">
                  <c:v>10677.843170386783</c:v>
                </c:pt>
                <c:pt idx="11">
                  <c:v>9770.4798644192215</c:v>
                </c:pt>
                <c:pt idx="12">
                  <c:v>9021.6583747053082</c:v>
                </c:pt>
                <c:pt idx="13">
                  <c:v>8405.279170642385</c:v>
                </c:pt>
                <c:pt idx="14">
                  <c:v>7899.9540453364034</c:v>
                </c:pt>
                <c:pt idx="15">
                  <c:v>7488.2068374169921</c:v>
                </c:pt>
                <c:pt idx="16">
                  <c:v>7155.7607115491282</c:v>
                </c:pt>
                <c:pt idx="17">
                  <c:v>6890.9279740178945</c:v>
                </c:pt>
                <c:pt idx="18">
                  <c:v>6684.0994277676136</c:v>
                </c:pt>
                <c:pt idx="19">
                  <c:v>6527.3225427531488</c:v>
                </c:pt>
                <c:pt idx="20">
                  <c:v>6413.9555588163776</c:v>
                </c:pt>
                <c:pt idx="21">
                  <c:v>6338.3851077085501</c:v>
                </c:pt>
                <c:pt idx="22">
                  <c:v>6295.7965197968042</c:v>
                </c:pt>
                <c:pt idx="23">
                  <c:v>6281.9878950534958</c:v>
                </c:pt>
                <c:pt idx="24">
                  <c:v>6293.2208802831537</c:v>
                </c:pt>
                <c:pt idx="25">
                  <c:v>6326.1027180211213</c:v>
                </c:pt>
                <c:pt idx="26">
                  <c:v>6377.4954321085079</c:v>
                </c:pt>
                <c:pt idx="27">
                  <c:v>6444.4489594171091</c:v>
                </c:pt>
                <c:pt idx="28">
                  <c:v>6524.1556278610915</c:v>
                </c:pt>
                <c:pt idx="29">
                  <c:v>6613.9236442347683</c:v>
                </c:pt>
                <c:pt idx="30">
                  <c:v>6711.1672421547128</c:v>
                </c:pt>
                <c:pt idx="31">
                  <c:v>6813.4109244843257</c:v>
                </c:pt>
                <c:pt idx="32">
                  <c:v>6918.3049098653355</c:v>
                </c:pt>
                <c:pt idx="33">
                  <c:v>7023.6485644176291</c:v>
                </c:pt>
                <c:pt idx="34">
                  <c:v>7127.4183704620682</c:v>
                </c:pt>
                <c:pt idx="35">
                  <c:v>7227.7969399272451</c:v>
                </c:pt>
                <c:pt idx="36">
                  <c:v>7323.1997744669634</c:v>
                </c:pt>
                <c:pt idx="37">
                  <c:v>7412.2969189590403</c:v>
                </c:pt>
                <c:pt idx="38">
                  <c:v>7494.0273179356209</c:v>
                </c:pt>
                <c:pt idx="39">
                  <c:v>7567.6044965674682</c:v>
                </c:pt>
                <c:pt idx="40">
                  <c:v>7632.5130570199817</c:v>
                </c:pt>
                <c:pt idx="41">
                  <c:v>7688.4963099908255</c:v>
                </c:pt>
                <c:pt idx="42">
                  <c:v>7735.536064751801</c:v>
                </c:pt>
                <c:pt idx="43">
                  <c:v>7773.826118883876</c:v>
                </c:pt>
                <c:pt idx="44">
                  <c:v>7803.7412925932413</c:v>
                </c:pt>
                <c:pt idx="45">
                  <c:v>7825.8039448207437</c:v>
                </c:pt>
                <c:pt idx="46">
                  <c:v>7840.6498175479637</c:v>
                </c:pt>
                <c:pt idx="47">
                  <c:v>7848.9948253783359</c:v>
                </c:pt>
                <c:pt idx="48">
                  <c:v>7851.6040908469195</c:v>
                </c:pt>
                <c:pt idx="49">
                  <c:v>7849.2641713278736</c:v>
                </c:pt>
                <c:pt idx="50">
                  <c:v>7842.7590723447856</c:v>
                </c:pt>
                <c:pt idx="51">
                  <c:v>7832.8503250073845</c:v>
                </c:pt>
                <c:pt idx="52">
                  <c:v>7820.261140988925</c:v>
                </c:pt>
                <c:pt idx="53">
                  <c:v>7805.6644552103835</c:v>
                </c:pt>
                <c:pt idx="54">
                  <c:v>7789.6745242108409</c:v>
                </c:pt>
                <c:pt idx="55">
                  <c:v>7772.8416613385707</c:v>
                </c:pt>
                <c:pt idx="56">
                  <c:v>7755.6496493830809</c:v>
                </c:pt>
                <c:pt idx="57">
                  <c:v>7738.5153667789309</c:v>
                </c:pt>
                <c:pt idx="58">
                  <c:v>7721.7901849023765</c:v>
                </c:pt>
                <c:pt idx="59">
                  <c:v>7705.7627321916052</c:v>
                </c:pt>
                <c:pt idx="60">
                  <c:v>7690.6626683530776</c:v>
                </c:pt>
                <c:pt idx="61">
                  <c:v>7676.6651629790204</c:v>
                </c:pt>
                <c:pt idx="62">
                  <c:v>7663.8958233292205</c:v>
                </c:pt>
                <c:pt idx="63">
                  <c:v>7652.4358630769211</c:v>
                </c:pt>
                <c:pt idx="64">
                  <c:v>7642.3273458901767</c:v>
                </c:pt>
                <c:pt idx="65">
                  <c:v>7633.5783741041969</c:v>
                </c:pt>
                <c:pt idx="66">
                  <c:v>7626.1681233560057</c:v>
                </c:pt>
                <c:pt idx="67">
                  <c:v>7620.0516492377756</c:v>
                </c:pt>
                <c:pt idx="68">
                  <c:v>7615.1644123648948</c:v>
                </c:pt>
                <c:pt idx="69">
                  <c:v>7611.4264844528016</c:v>
                </c:pt>
                <c:pt idx="70">
                  <c:v>7608.7464107811247</c:v>
                </c:pt>
                <c:pt idx="71">
                  <c:v>7607.0247144845389</c:v>
                </c:pt>
                <c:pt idx="72">
                  <c:v>7606.1570360595124</c:v>
                </c:pt>
                <c:pt idx="73">
                  <c:v>7606.036907829829</c:v>
                </c:pt>
                <c:pt idx="74">
                  <c:v>7606.5581682823577</c:v>
                </c:pt>
                <c:pt idx="75">
                  <c:v>7607.6170254782519</c:v>
                </c:pt>
                <c:pt idx="76">
                  <c:v>7609.1137823827394</c:v>
                </c:pt>
                <c:pt idx="77">
                  <c:v>7610.9542400808014</c:v>
                </c:pt>
                <c:pt idx="78">
                  <c:v>7613.0507975364653</c:v>
                </c:pt>
                <c:pt idx="79">
                  <c:v>7615.3232688444596</c:v>
                </c:pt>
                <c:pt idx="80">
                  <c:v>7617.6994408184419</c:v>
                </c:pt>
                <c:pt idx="81">
                  <c:v>7620.1153952463956</c:v>
                </c:pt>
                <c:pt idx="82">
                  <c:v>7622.5156212019201</c:v>
                </c:pt>
                <c:pt idx="83">
                  <c:v>7624.8529434135871</c:v>
                </c:pt>
                <c:pt idx="84">
                  <c:v>7627.0882928561095</c:v>
                </c:pt>
                <c:pt idx="85">
                  <c:v>7629.1903454423327</c:v>
                </c:pt>
                <c:pt idx="86">
                  <c:v>7631.1350539840814</c:v>
                </c:pt>
                <c:pt idx="87">
                  <c:v>7632.9050974867578</c:v>
                </c:pt>
                <c:pt idx="88">
                  <c:v>7634.4892703939522</c:v>
                </c:pt>
                <c:pt idx="89">
                  <c:v>7635.8818326604496</c:v>
                </c:pt>
                <c:pt idx="90">
                  <c:v>7637.0818395678625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87B-4D31-B03D-9D772A06F888}"/>
            </c:ext>
          </c:extLst>
        </c:ser>
        <c:ser>
          <c:idx val="7"/>
          <c:order val="7"/>
          <c:tx>
            <c:strRef>
              <c:f>'Phase plot K'!$AF$7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K'!$AE$8:$AE$98</c:f>
              <c:numCache>
                <c:formatCode>General</c:formatCode>
                <c:ptCount val="91"/>
                <c:pt idx="0">
                  <c:v>16578</c:v>
                </c:pt>
                <c:pt idx="1">
                  <c:v>13474.666876984616</c:v>
                </c:pt>
                <c:pt idx="2">
                  <c:v>11825.144842296349</c:v>
                </c:pt>
                <c:pt idx="3">
                  <c:v>11073.623401888304</c:v>
                </c:pt>
                <c:pt idx="4">
                  <c:v>10878.149812272683</c:v>
                </c:pt>
                <c:pt idx="5">
                  <c:v>11033.866159378713</c:v>
                </c:pt>
                <c:pt idx="6">
                  <c:v>11416.41772426611</c:v>
                </c:pt>
                <c:pt idx="7">
                  <c:v>11947.729861881673</c:v>
                </c:pt>
                <c:pt idx="8">
                  <c:v>12576.602462303446</c:v>
                </c:pt>
                <c:pt idx="9">
                  <c:v>13267.864517610526</c:v>
                </c:pt>
                <c:pt idx="10">
                  <c:v>13996.263306010616</c:v>
                </c:pt>
                <c:pt idx="11">
                  <c:v>14742.952688865411</c:v>
                </c:pt>
                <c:pt idx="12">
                  <c:v>15493.420499456399</c:v>
                </c:pt>
                <c:pt idx="13">
                  <c:v>16236.226077818399</c:v>
                </c:pt>
                <c:pt idx="14">
                  <c:v>16962.203832351679</c:v>
                </c:pt>
                <c:pt idx="15">
                  <c:v>17663.941922812082</c:v>
                </c:pt>
                <c:pt idx="16">
                  <c:v>18335.428439771837</c:v>
                </c:pt>
                <c:pt idx="17">
                  <c:v>18971.803306718655</c:v>
                </c:pt>
                <c:pt idx="18">
                  <c:v>19569.179690451263</c:v>
                </c:pt>
                <c:pt idx="19">
                  <c:v>20124.513099101619</c:v>
                </c:pt>
                <c:pt idx="20">
                  <c:v>20635.504502339372</c:v>
                </c:pt>
                <c:pt idx="21">
                  <c:v>21100.528427773712</c:v>
                </c:pt>
                <c:pt idx="22">
                  <c:v>21518.579580278794</c:v>
                </c:pt>
                <c:pt idx="23">
                  <c:v>21889.232958520697</c:v>
                </c:pt>
                <c:pt idx="24">
                  <c:v>22212.613213054588</c:v>
                </c:pt>
                <c:pt idx="25">
                  <c:v>22489.36941591166</c:v>
                </c:pt>
                <c:pt idx="26">
                  <c:v>22720.651696456262</c:v>
                </c:pt>
                <c:pt idx="27">
                  <c:v>22908.08648163695</c:v>
                </c:pt>
                <c:pt idx="28">
                  <c:v>23053.747455671441</c:v>
                </c:pt>
                <c:pt idx="29">
                  <c:v>23160.119882812767</c:v>
                </c:pt>
                <c:pt idx="30">
                  <c:v>23230.056638736052</c:v>
                </c:pt>
                <c:pt idx="31">
                  <c:v>23266.725155219188</c:v>
                </c:pt>
                <c:pt idx="32">
                  <c:v>23273.545446726399</c:v>
                </c:pt>
                <c:pt idx="33">
                  <c:v>23254.120373579906</c:v>
                </c:pt>
                <c:pt idx="34">
                  <c:v>23212.160203711683</c:v>
                </c:pt>
                <c:pt idx="35">
                  <c:v>23151.40426100104</c:v>
                </c:pt>
                <c:pt idx="36">
                  <c:v>23075.542907153016</c:v>
                </c:pt>
                <c:pt idx="37">
                  <c:v>22988.143243074861</c:v>
                </c:pt>
                <c:pt idx="38">
                  <c:v>22892.581724866639</c:v>
                </c:pt>
                <c:pt idx="39">
                  <c:v>22791.986403566112</c:v>
                </c:pt>
                <c:pt idx="40">
                  <c:v>22689.190788872154</c:v>
                </c:pt>
                <c:pt idx="41">
                  <c:v>22586.700501011375</c:v>
                </c:pt>
                <c:pt idx="42">
                  <c:v>22486.673014014814</c:v>
                </c:pt>
                <c:pt idx="43">
                  <c:v>22390.91000043229</c:v>
                </c:pt>
                <c:pt idx="44">
                  <c:v>22300.861132364334</c:v>
                </c:pt>
                <c:pt idx="45">
                  <c:v>22217.637718603819</c:v>
                </c:pt>
                <c:pt idx="46">
                  <c:v>22142.034275746071</c:v>
                </c:pt>
                <c:pt idx="47">
                  <c:v>22074.556030920307</c:v>
                </c:pt>
                <c:pt idx="48">
                  <c:v>22015.45040654554</c:v>
                </c:pt>
                <c:pt idx="49">
                  <c:v>21964.740705085605</c:v>
                </c:pt>
                <c:pt idx="50">
                  <c:v>21922.260453856776</c:v>
                </c:pt>
                <c:pt idx="51">
                  <c:v>21887.687149460107</c:v>
                </c:pt>
                <c:pt idx="52">
                  <c:v>21860.574427889082</c:v>
                </c:pt>
                <c:pt idx="53">
                  <c:v>21840.381957326368</c:v>
                </c:pt>
                <c:pt idx="54">
                  <c:v>21826.502591554134</c:v>
                </c:pt>
                <c:pt idx="55">
                  <c:v>21818.286525135729</c:v>
                </c:pt>
                <c:pt idx="56">
                  <c:v>21815.06235487813</c:v>
                </c:pt>
                <c:pt idx="57">
                  <c:v>21816.155077176954</c:v>
                </c:pt>
                <c:pt idx="58">
                  <c:v>21820.901141685637</c:v>
                </c:pt>
                <c:pt idx="59">
                  <c:v>21828.660743549193</c:v>
                </c:pt>
                <c:pt idx="60">
                  <c:v>21838.827574750794</c:v>
                </c:pt>
                <c:pt idx="61">
                  <c:v>21850.836275240184</c:v>
                </c:pt>
                <c:pt idx="62">
                  <c:v>21864.167831162478</c:v>
                </c:pt>
                <c:pt idx="63">
                  <c:v>21878.353164649965</c:v>
                </c:pt>
                <c:pt idx="64">
                  <c:v>21892.975150457198</c:v>
                </c:pt>
                <c:pt idx="65">
                  <c:v>21907.669281649294</c:v>
                </c:pt>
                <c:pt idx="66">
                  <c:v>21922.123191380135</c:v>
                </c:pt>
                <c:pt idx="67">
                  <c:v>21936.075221762436</c:v>
                </c:pt>
                <c:pt idx="68">
                  <c:v>21949.312214743961</c:v>
                </c:pt>
                <c:pt idx="69">
                  <c:v>21961.666684242824</c:v>
                </c:pt>
                <c:pt idx="70">
                  <c:v>21973.013513802234</c:v>
                </c:pt>
                <c:pt idx="71">
                  <c:v>21983.266309782564</c:v>
                </c:pt>
                <c:pt idx="72">
                  <c:v>21992.373526599473</c:v>
                </c:pt>
                <c:pt idx="73">
                  <c:v>22000.314467672597</c:v>
                </c:pt>
                <c:pt idx="74">
                  <c:v>22007.09525348627</c:v>
                </c:pt>
                <c:pt idx="75">
                  <c:v>22012.74483640532</c:v>
                </c:pt>
                <c:pt idx="76">
                  <c:v>22017.311130582173</c:v>
                </c:pt>
                <c:pt idx="77">
                  <c:v>22020.85731441178</c:v>
                </c:pt>
                <c:pt idx="78">
                  <c:v>22023.458352545644</c:v>
                </c:pt>
                <c:pt idx="79">
                  <c:v>22025.197774499928</c:v>
                </c:pt>
                <c:pt idx="80">
                  <c:v>22026.164737441271</c:v>
                </c:pt>
                <c:pt idx="81">
                  <c:v>22026.451391877861</c:v>
                </c:pt>
                <c:pt idx="82">
                  <c:v>22026.150560797687</c:v>
                </c:pt>
                <c:pt idx="83">
                  <c:v>22025.353735354187</c:v>
                </c:pt>
                <c:pt idx="84">
                  <c:v>22024.149383565229</c:v>
                </c:pt>
                <c:pt idx="85">
                  <c:v>22022.621562713372</c:v>
                </c:pt>
                <c:pt idx="86">
                  <c:v>22020.84882124369</c:v>
                </c:pt>
                <c:pt idx="87">
                  <c:v>22018.90337195943</c:v>
                </c:pt>
                <c:pt idx="88">
                  <c:v>22016.850515202954</c:v>
                </c:pt>
                <c:pt idx="89">
                  <c:v>22014.748288447929</c:v>
                </c:pt>
                <c:pt idx="90">
                  <c:v>22012.647317267649</c:v>
                </c:pt>
              </c:numCache>
            </c:numRef>
          </c:xVal>
          <c:yVal>
            <c:numRef>
              <c:f>'Phase plot K'!$AF$8:$AF$98</c:f>
              <c:numCache>
                <c:formatCode>General</c:formatCode>
                <c:ptCount val="91"/>
                <c:pt idx="0">
                  <c:v>33422</c:v>
                </c:pt>
                <c:pt idx="1">
                  <c:v>30795.193138849714</c:v>
                </c:pt>
                <c:pt idx="2">
                  <c:v>27622.483715121689</c:v>
                </c:pt>
                <c:pt idx="3">
                  <c:v>24443.882839341073</c:v>
                </c:pt>
                <c:pt idx="4">
                  <c:v>21517.40373924594</c:v>
                </c:pt>
                <c:pt idx="5">
                  <c:v>18939.182852124541</c:v>
                </c:pt>
                <c:pt idx="6">
                  <c:v>16722.969338424296</c:v>
                </c:pt>
                <c:pt idx="7">
                  <c:v>14844.865108535196</c:v>
                </c:pt>
                <c:pt idx="8">
                  <c:v>13266.619916906195</c:v>
                </c:pt>
                <c:pt idx="9">
                  <c:v>11947.08788644684</c:v>
                </c:pt>
                <c:pt idx="10">
                  <c:v>10847.463721013641</c:v>
                </c:pt>
                <c:pt idx="11">
                  <c:v>9933.3502808542762</c:v>
                </c:pt>
                <c:pt idx="12">
                  <c:v>9175.2662337010661</c:v>
                </c:pt>
                <c:pt idx="13">
                  <c:v>8548.4286409067299</c:v>
                </c:pt>
                <c:pt idx="14">
                  <c:v>8032.2370248216603</c:v>
                </c:pt>
                <c:pt idx="15">
                  <c:v>7609.6712540409007</c:v>
                </c:pt>
                <c:pt idx="16">
                  <c:v>7266.703770884902</c:v>
                </c:pt>
                <c:pt idx="17">
                  <c:v>6991.7689590409609</c:v>
                </c:pt>
                <c:pt idx="18">
                  <c:v>6775.3033510956193</c:v>
                </c:pt>
                <c:pt idx="19">
                  <c:v>6609.356411456266</c:v>
                </c:pt>
                <c:pt idx="20">
                  <c:v>6487.2655996282292</c:v>
                </c:pt>
                <c:pt idx="21">
                  <c:v>6403.3874621432724</c:v>
                </c:pt>
                <c:pt idx="22">
                  <c:v>6352.8765465841398</c:v>
                </c:pt>
                <c:pt idx="23">
                  <c:v>6331.5048682178112</c:v>
                </c:pt>
                <c:pt idx="24">
                  <c:v>6335.5158973757507</c:v>
                </c:pt>
                <c:pt idx="25">
                  <c:v>6361.5082615041611</c:v>
                </c:pt>
                <c:pt idx="26">
                  <c:v>6406.3454076347743</c:v>
                </c:pt>
                <c:pt idx="27">
                  <c:v>6467.0882696487843</c:v>
                </c:pt>
                <c:pt idx="28">
                  <c:v>6540.9485004102462</c:v>
                </c:pt>
                <c:pt idx="29">
                  <c:v>6625.2600666115468</c:v>
                </c:pt>
                <c:pt idx="30">
                  <c:v>6717.4669977668773</c:v>
                </c:pt>
                <c:pt idx="31">
                  <c:v>6815.1248895274466</c:v>
                </c:pt>
                <c:pt idx="32">
                  <c:v>6915.9134656202923</c:v>
                </c:pt>
                <c:pt idx="33">
                  <c:v>7017.6571952089525</c:v>
                </c:pt>
                <c:pt idx="34">
                  <c:v>7118.3507370185971</c:v>
                </c:pt>
                <c:pt idx="35">
                  <c:v>7216.1859182446879</c:v>
                </c:pt>
                <c:pt idx="36">
                  <c:v>7309.5771079183996</c:v>
                </c:pt>
                <c:pt idx="37">
                  <c:v>7397.1822270265102</c:v>
                </c:pt>
                <c:pt idx="38">
                  <c:v>7477.917227536007</c:v>
                </c:pt>
                <c:pt idx="39">
                  <c:v>7550.9626109904611</c:v>
                </c:pt>
                <c:pt idx="40">
                  <c:v>7615.7613628318313</c:v>
                </c:pt>
                <c:pt idx="41">
                  <c:v>7672.0084618822857</c:v>
                </c:pt>
                <c:pt idx="42">
                  <c:v>7719.6328047155794</c:v>
                </c:pt>
                <c:pt idx="43">
                  <c:v>7758.7729021759678</c:v>
                </c:pt>
                <c:pt idx="44">
                  <c:v>7789.7480283194463</c:v>
                </c:pt>
                <c:pt idx="45">
                  <c:v>7813.0266276883194</c:v>
                </c:pt>
                <c:pt idx="46">
                  <c:v>7829.1937366714601</c:v>
                </c:pt>
                <c:pt idx="47">
                  <c:v>7838.9189870473674</c:v>
                </c:pt>
                <c:pt idx="48">
                  <c:v>7842.9264808374646</c:v>
                </c:pt>
                <c:pt idx="49">
                  <c:v>7841.9675013757269</c:v>
                </c:pt>
                <c:pt idx="50">
                  <c:v>7836.7966960161257</c:v>
                </c:pt>
                <c:pt idx="51">
                  <c:v>7828.1520616222961</c:v>
                </c:pt>
                <c:pt idx="52">
                  <c:v>7816.7388047694467</c:v>
                </c:pt>
                <c:pt idx="53">
                  <c:v>7803.2169443763432</c:v>
                </c:pt>
                <c:pt idx="54">
                  <c:v>7788.1923771073161</c:v>
                </c:pt>
                <c:pt idx="55">
                  <c:v>7772.2110313420508</c:v>
                </c:pt>
                <c:pt idx="56">
                  <c:v>7755.7556862283691</c:v>
                </c:pt>
                <c:pt idx="57">
                  <c:v>7739.2450190826148</c:v>
                </c:pt>
                <c:pt idx="58">
                  <c:v>7723.03445776013</c:v>
                </c:pt>
                <c:pt idx="59">
                  <c:v>7707.4184459364533</c:v>
                </c:pt>
                <c:pt idx="60">
                  <c:v>7692.6337711896449</c:v>
                </c:pt>
                <c:pt idx="61">
                  <c:v>7678.863652560055</c:v>
                </c:pt>
                <c:pt idx="62">
                  <c:v>7666.2423316064405</c:v>
                </c:pt>
                <c:pt idx="63">
                  <c:v>7654.859955955797</c:v>
                </c:pt>
                <c:pt idx="64">
                  <c:v>7644.767585169272</c:v>
                </c:pt>
                <c:pt idx="65">
                  <c:v>7635.9821845131919</c:v>
                </c:pt>
                <c:pt idx="66">
                  <c:v>7628.4915026775434</c:v>
                </c:pt>
                <c:pt idx="67">
                  <c:v>7622.2587548136789</c:v>
                </c:pt>
                <c:pt idx="68">
                  <c:v>7617.2270529347643</c:v>
                </c:pt>
                <c:pt idx="69">
                  <c:v>7613.3235423484311</c:v>
                </c:pt>
                <c:pt idx="70">
                  <c:v>7610.4632160330411</c:v>
                </c:pt>
                <c:pt idx="71">
                  <c:v>7608.5523893714917</c:v>
                </c:pt>
                <c:pt idx="72">
                  <c:v>7607.4918260044506</c:v>
                </c:pt>
                <c:pt idx="73">
                  <c:v>7607.1795122592312</c:v>
                </c:pt>
                <c:pt idx="74">
                  <c:v>7607.5130830582693</c:v>
                </c:pt>
                <c:pt idx="75">
                  <c:v>7608.391906725823</c:v>
                </c:pt>
                <c:pt idx="76">
                  <c:v>7609.7188399201723</c:v>
                </c:pt>
                <c:pt idx="77">
                  <c:v>7611.4016671734116</c:v>
                </c:pt>
                <c:pt idx="78">
                  <c:v>7613.354242313374</c:v>
                </c:pt>
                <c:pt idx="79">
                  <c:v>7615.4973514173944</c:v>
                </c:pt>
                <c:pt idx="80">
                  <c:v>7617.7593189189101</c:v>
                </c:pt>
                <c:pt idx="81">
                  <c:v>7620.076380049537</c:v>
                </c:pt>
                <c:pt idx="82">
                  <c:v>7622.3928439376459</c:v>
                </c:pt>
                <c:pt idx="83">
                  <c:v>7624.6610723866297</c:v>
                </c:pt>
                <c:pt idx="84">
                  <c:v>7626.8412996162297</c:v>
                </c:pt>
                <c:pt idx="85">
                  <c:v>7628.901318073712</c:v>
                </c:pt>
                <c:pt idx="86">
                  <c:v>7630.8160548267606</c:v>
                </c:pt>
                <c:pt idx="87">
                  <c:v>7632.5670620680539</c:v>
                </c:pt>
                <c:pt idx="88">
                  <c:v>7634.1419439360598</c:v>
                </c:pt>
                <c:pt idx="89">
                  <c:v>7635.5337402403584</c:v>
                </c:pt>
                <c:pt idx="90">
                  <c:v>7636.7402858324476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87B-4D31-B03D-9D772A06F888}"/>
            </c:ext>
          </c:extLst>
        </c:ser>
        <c:ser>
          <c:idx val="8"/>
          <c:order val="8"/>
          <c:tx>
            <c:strRef>
              <c:f>'Phase plot K'!$AI$7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K'!$AH$8:$AH$98</c:f>
              <c:numCache>
                <c:formatCode>General</c:formatCode>
                <c:ptCount val="91"/>
                <c:pt idx="0">
                  <c:v>567</c:v>
                </c:pt>
                <c:pt idx="1">
                  <c:v>2982.9946477488211</c:v>
                </c:pt>
                <c:pt idx="2">
                  <c:v>4624.7105043277261</c:v>
                </c:pt>
                <c:pt idx="3">
                  <c:v>5956.4564412073305</c:v>
                </c:pt>
                <c:pt idx="4">
                  <c:v>7151.7017436965361</c:v>
                </c:pt>
                <c:pt idx="5">
                  <c:v>8282.0937315889951</c:v>
                </c:pt>
                <c:pt idx="6">
                  <c:v>9377.7708680387877</c:v>
                </c:pt>
                <c:pt idx="7">
                  <c:v>10450.213808701701</c:v>
                </c:pt>
                <c:pt idx="8">
                  <c:v>11502.016798935443</c:v>
                </c:pt>
                <c:pt idx="9">
                  <c:v>12531.467819519754</c:v>
                </c:pt>
                <c:pt idx="10">
                  <c:v>13534.848946000782</c:v>
                </c:pt>
                <c:pt idx="11">
                  <c:v>14507.647979966339</c:v>
                </c:pt>
                <c:pt idx="12">
                  <c:v>15445.212985536471</c:v>
                </c:pt>
                <c:pt idx="13">
                  <c:v>16343.106108975477</c:v>
                </c:pt>
                <c:pt idx="14">
                  <c:v>17197.289183353318</c:v>
                </c:pt>
                <c:pt idx="15">
                  <c:v>18004.213847112693</c:v>
                </c:pt>
                <c:pt idx="16">
                  <c:v>18760.858094145209</c:v>
                </c:pt>
                <c:pt idx="17">
                  <c:v>19464.734264640454</c:v>
                </c:pt>
                <c:pt idx="18">
                  <c:v>20113.883644299145</c:v>
                </c:pt>
                <c:pt idx="19">
                  <c:v>20706.866782850073</c:v>
                </c:pt>
                <c:pt idx="20">
                  <c:v>21242.754708435281</c:v>
                </c:pt>
                <c:pt idx="21">
                  <c:v>21721.123518794117</c:v>
                </c:pt>
                <c:pt idx="22">
                  <c:v>22142.052889525767</c:v>
                </c:pt>
                <c:pt idx="23">
                  <c:v>22506.127591358236</c:v>
                </c:pt>
                <c:pt idx="24">
                  <c:v>22814.440021807673</c:v>
                </c:pt>
                <c:pt idx="25">
                  <c:v>23068.590984863273</c:v>
                </c:pt>
                <c:pt idx="26">
                  <c:v>23270.6855000793</c:v>
                </c:pt>
                <c:pt idx="27">
                  <c:v>23423.320320317172</c:v>
                </c:pt>
                <c:pt idx="28">
                  <c:v>23529.560117596127</c:v>
                </c:pt>
                <c:pt idx="29">
                  <c:v>23592.899969780712</c:v>
                </c:pt>
                <c:pt idx="30">
                  <c:v>23617.212816782408</c:v>
                </c:pt>
                <c:pt idx="31">
                  <c:v>23606.681870307519</c:v>
                </c:pt>
                <c:pt idx="32">
                  <c:v>23565.719419682857</c:v>
                </c:pt>
                <c:pt idx="33">
                  <c:v>23498.874902449308</c:v>
                </c:pt>
                <c:pt idx="34">
                  <c:v>23410.736313804049</c:v>
                </c:pt>
                <c:pt idx="35">
                  <c:v>23305.82984576172</c:v>
                </c:pt>
                <c:pt idx="36">
                  <c:v>23188.522960467722</c:v>
                </c:pt>
                <c:pt idx="37">
                  <c:v>23062.935873980947</c:v>
                </c:pt>
                <c:pt idx="38">
                  <c:v>22932.865701705028</c:v>
                </c:pt>
                <c:pt idx="39">
                  <c:v>22801.72641132936</c:v>
                </c:pt>
                <c:pt idx="40">
                  <c:v>22672.506407220382</c:v>
                </c:pt>
                <c:pt idx="41">
                  <c:v>22547.744209198841</c:v>
                </c:pt>
                <c:pt idx="42">
                  <c:v>22429.521448363885</c:v>
                </c:pt>
                <c:pt idx="43">
                  <c:v>22319.471401741481</c:v>
                </c:pt>
                <c:pt idx="44">
                  <c:v>22218.800592066666</c:v>
                </c:pt>
                <c:pt idx="45">
                  <c:v>22128.320602858708</c:v>
                </c:pt>
                <c:pt idx="46">
                  <c:v>22048.487173551221</c:v>
                </c:pt>
                <c:pt idx="47">
                  <c:v>21979.443788289846</c:v>
                </c:pt>
                <c:pt idx="48">
                  <c:v>21921.067285890545</c:v>
                </c:pt>
                <c:pt idx="49">
                  <c:v>21873.013428293209</c:v>
                </c:pt>
                <c:pt idx="50">
                  <c:v>21834.760810641616</c:v>
                </c:pt>
                <c:pt idx="51">
                  <c:v>21805.651931641998</c:v>
                </c:pt>
                <c:pt idx="52">
                  <c:v>21784.930636818652</c:v>
                </c:pt>
                <c:pt idx="53">
                  <c:v>21771.775482076875</c:v>
                </c:pt>
                <c:pt idx="54">
                  <c:v>21765.328833999527</c:v>
                </c:pt>
                <c:pt idx="55">
                  <c:v>21764.72172787111</c:v>
                </c:pt>
                <c:pt idx="56">
                  <c:v>21769.094650882234</c:v>
                </c:pt>
                <c:pt idx="57">
                  <c:v>21777.614515256893</c:v>
                </c:pt>
                <c:pt idx="58">
                  <c:v>21789.488143917086</c:v>
                </c:pt>
                <c:pt idx="59">
                  <c:v>21803.972619127948</c:v>
                </c:pt>
                <c:pt idx="60">
                  <c:v>21820.382850656806</c:v>
                </c:pt>
                <c:pt idx="61">
                  <c:v>21838.09671125211</c:v>
                </c:pt>
                <c:pt idx="62">
                  <c:v>21856.558069177521</c:v>
                </c:pt>
                <c:pt idx="63">
                  <c:v>21875.278024246323</c:v>
                </c:pt>
                <c:pt idx="64">
                  <c:v>21893.834628242894</c:v>
                </c:pt>
                <c:pt idx="65">
                  <c:v>21911.871344777581</c:v>
                </c:pt>
                <c:pt idx="66">
                  <c:v>21929.094478729497</c:v>
                </c:pt>
                <c:pt idx="67">
                  <c:v>21945.269782152409</c:v>
                </c:pt>
                <c:pt idx="68">
                  <c:v>21960.218422112943</c:v>
                </c:pt>
                <c:pt idx="69">
                  <c:v>21973.812476389747</c:v>
                </c:pt>
                <c:pt idx="70">
                  <c:v>21985.970105116739</c:v>
                </c:pt>
                <c:pt idx="71">
                  <c:v>21996.650530052037</c:v>
                </c:pt>
                <c:pt idx="72">
                  <c:v>22005.848937924238</c:v>
                </c:pt>
                <c:pt idx="73">
                  <c:v>22013.591409997298</c:v>
                </c:pt>
                <c:pt idx="74">
                  <c:v>22019.92996639866</c:v>
                </c:pt>
                <c:pt idx="75">
                  <c:v>22024.937800726413</c:v>
                </c:pt>
                <c:pt idx="76">
                  <c:v>22028.704767908195</c:v>
                </c:pt>
                <c:pt idx="77">
                  <c:v>22031.333176205728</c:v>
                </c:pt>
                <c:pt idx="78">
                  <c:v>22032.933922673878</c:v>
                </c:pt>
                <c:pt idx="79">
                  <c:v>22033.623000361644</c:v>
                </c:pt>
                <c:pt idx="80">
                  <c:v>22033.518395179311</c:v>
                </c:pt>
                <c:pt idx="81">
                  <c:v>22032.737380757961</c:v>
                </c:pt>
                <c:pt idx="82">
                  <c:v>22031.394210900515</c:v>
                </c:pt>
                <c:pt idx="83">
                  <c:v>22029.598201461165</c:v>
                </c:pt>
                <c:pt idx="84">
                  <c:v>22027.45218676536</c:v>
                </c:pt>
                <c:pt idx="85">
                  <c:v>22025.051330042672</c:v>
                </c:pt>
                <c:pt idx="86">
                  <c:v>22022.482262807043</c:v>
                </c:pt>
                <c:pt idx="87">
                  <c:v>22019.822524670824</c:v>
                </c:pt>
                <c:pt idx="88">
                  <c:v>22017.140272680077</c:v>
                </c:pt>
                <c:pt idx="89">
                  <c:v>22014.494227843246</c:v>
                </c:pt>
                <c:pt idx="90">
                  <c:v>22011.933826007462</c:v>
                </c:pt>
              </c:numCache>
            </c:numRef>
          </c:xVal>
          <c:yVal>
            <c:numRef>
              <c:f>'Phase plot K'!$AI$8:$AI$98</c:f>
              <c:numCache>
                <c:formatCode>General</c:formatCode>
                <c:ptCount val="91"/>
                <c:pt idx="0">
                  <c:v>49433</c:v>
                </c:pt>
                <c:pt idx="1">
                  <c:v>39161.258645272828</c:v>
                </c:pt>
                <c:pt idx="2">
                  <c:v>31753.001470991865</c:v>
                </c:pt>
                <c:pt idx="3">
                  <c:v>26188.70920536714</c:v>
                </c:pt>
                <c:pt idx="4">
                  <c:v>21915.452228057507</c:v>
                </c:pt>
                <c:pt idx="5">
                  <c:v>18586.698445719176</c:v>
                </c:pt>
                <c:pt idx="6">
                  <c:v>15967.12068720778</c:v>
                </c:pt>
                <c:pt idx="7">
                  <c:v>13889.339589107585</c:v>
                </c:pt>
                <c:pt idx="8">
                  <c:v>12230.913942673373</c:v>
                </c:pt>
                <c:pt idx="9">
                  <c:v>10900.629521891178</c:v>
                </c:pt>
                <c:pt idx="10">
                  <c:v>9829.6616135546737</c:v>
                </c:pt>
                <c:pt idx="11">
                  <c:v>8965.5714789950962</c:v>
                </c:pt>
                <c:pt idx="12">
                  <c:v>8268.0830887245847</c:v>
                </c:pt>
                <c:pt idx="13">
                  <c:v>7706.0412108237306</c:v>
                </c:pt>
                <c:pt idx="14">
                  <c:v>7255.183488855524</c:v>
                </c:pt>
                <c:pt idx="15">
                  <c:v>6896.4879158664035</c:v>
                </c:pt>
                <c:pt idx="16">
                  <c:v>6614.934263484346</c:v>
                </c:pt>
                <c:pt idx="17">
                  <c:v>6398.5670881083643</c:v>
                </c:pt>
                <c:pt idx="18">
                  <c:v>6237.7805884766158</c:v>
                </c:pt>
                <c:pt idx="19">
                  <c:v>6124.7680692327185</c:v>
                </c:pt>
                <c:pt idx="20">
                  <c:v>6053.0946386987407</c:v>
                </c:pt>
                <c:pt idx="21">
                  <c:v>6017.3631931734499</c:v>
                </c:pt>
                <c:pt idx="22">
                  <c:v>6012.9520777690241</c:v>
                </c:pt>
                <c:pt idx="23">
                  <c:v>6035.8089504122472</c:v>
                </c:pt>
                <c:pt idx="24">
                  <c:v>6082.2898934104896</c:v>
                </c:pt>
                <c:pt idx="25">
                  <c:v>6149.0360994187422</c:v>
                </c:pt>
                <c:pt idx="26">
                  <c:v>6232.8827590142055</c:v>
                </c:pt>
                <c:pt idx="27">
                  <c:v>6330.7962680993141</c:v>
                </c:pt>
                <c:pt idx="28">
                  <c:v>6439.8366858947356</c:v>
                </c:pt>
                <c:pt idx="29">
                  <c:v>6557.1426278622657</c:v>
                </c:pt>
                <c:pt idx="30">
                  <c:v>6679.9356023218106</c:v>
                </c:pt>
                <c:pt idx="31">
                  <c:v>6805.540345791901</c:v>
                </c:pt>
                <c:pt idx="32">
                  <c:v>6931.4171507627334</c:v>
                </c:pt>
                <c:pt idx="33">
                  <c:v>7055.2016869420677</c:v>
                </c:pt>
                <c:pt idx="34">
                  <c:v>7174.7475518637484</c:v>
                </c:pt>
                <c:pt idx="35">
                  <c:v>7288.1668645972568</c:v>
                </c:pt>
                <c:pt idx="36">
                  <c:v>7393.86468796803</c:v>
                </c:pt>
                <c:pt idx="37">
                  <c:v>7490.5639067830116</c:v>
                </c:pt>
                <c:pt idx="38">
                  <c:v>7577.3183102864732</c:v>
                </c:pt>
                <c:pt idx="39">
                  <c:v>7653.5128867642534</c:v>
                </c:pt>
                <c:pt idx="40">
                  <c:v>7718.8515790069368</c:v>
                </c:pt>
                <c:pt idx="41">
                  <c:v>7773.3338264227341</c:v>
                </c:pt>
                <c:pt idx="42">
                  <c:v>7817.2220262868641</c:v>
                </c:pt>
                <c:pt idx="43">
                  <c:v>7851.0025282330253</c:v>
                </c:pt>
                <c:pt idx="44">
                  <c:v>7875.3429311348273</c:v>
                </c:pt>
                <c:pt idx="45">
                  <c:v>7891.0483223804213</c:v>
                </c:pt>
                <c:pt idx="46">
                  <c:v>7899.0187569317532</c:v>
                </c:pt>
                <c:pt idx="47">
                  <c:v>7900.2097994662954</c:v>
                </c:pt>
                <c:pt idx="48">
                  <c:v>7895.5974258475117</c:v>
                </c:pt>
                <c:pt idx="49">
                  <c:v>7886.1480650539652</c:v>
                </c:pt>
                <c:pt idx="50">
                  <c:v>7872.7941057225971</c:v>
                </c:pt>
                <c:pt idx="51">
                  <c:v>7856.4148195167227</c:v>
                </c:pt>
                <c:pt idx="52">
                  <c:v>7837.8223766298242</c:v>
                </c:pt>
                <c:pt idx="53">
                  <c:v>7817.752444094499</c:v>
                </c:pt>
                <c:pt idx="54">
                  <c:v>7796.8587540513081</c:v>
                </c:pt>
                <c:pt idx="55">
                  <c:v>7775.710991293322</c:v>
                </c:pt>
                <c:pt idx="56">
                  <c:v>7754.7953606149913</c:v>
                </c:pt>
                <c:pt idx="57">
                  <c:v>7734.517239117894</c:v>
                </c:pt>
                <c:pt idx="58">
                  <c:v>7715.2053832532192</c:v>
                </c:pt>
                <c:pt idx="59">
                  <c:v>7697.1172343690178</c:v>
                </c:pt>
                <c:pt idx="60">
                  <c:v>7680.4449420325609</c:v>
                </c:pt>
                <c:pt idx="61">
                  <c:v>7665.3217960881839</c:v>
                </c:pt>
                <c:pt idx="62">
                  <c:v>7651.8288230560802</c:v>
                </c:pt>
                <c:pt idx="63">
                  <c:v>7640.001358469106</c:v>
                </c:pt>
                <c:pt idx="64">
                  <c:v>7629.8354536539782</c:v>
                </c:pt>
                <c:pt idx="65">
                  <c:v>7621.2940136571824</c:v>
                </c:pt>
                <c:pt idx="66">
                  <c:v>7614.312593347423</c:v>
                </c:pt>
                <c:pt idx="67">
                  <c:v>7608.8048022982448</c:v>
                </c:pt>
                <c:pt idx="68">
                  <c:v>7604.6672870486182</c:v>
                </c:pt>
                <c:pt idx="69">
                  <c:v>7601.7842729016938</c:v>
                </c:pt>
                <c:pt idx="70">
                  <c:v>7600.031657589333</c:v>
                </c:pt>
                <c:pt idx="71">
                  <c:v>7599.2806567903926</c:v>
                </c:pt>
                <c:pt idx="72">
                  <c:v>7599.4010073671034</c:v>
                </c:pt>
                <c:pt idx="73">
                  <c:v>7600.2637388348085</c:v>
                </c:pt>
                <c:pt idx="74">
                  <c:v>7601.7435274121626</c:v>
                </c:pt>
                <c:pt idx="75">
                  <c:v>7603.7206502843846</c:v>
                </c:pt>
                <c:pt idx="76">
                  <c:v>7606.0825606134367</c:v>
                </c:pt>
                <c:pt idx="77">
                  <c:v>7608.725106421738</c:v>
                </c:pt>
                <c:pt idx="78">
                  <c:v>7611.5534187731</c:v>
                </c:pt>
                <c:pt idx="79">
                  <c:v>7614.4824966483484</c:v>
                </c:pt>
                <c:pt idx="80">
                  <c:v>7617.4375175144351</c:v>
                </c:pt>
                <c:pt idx="81">
                  <c:v>7620.353903760245</c:v>
                </c:pt>
                <c:pt idx="82">
                  <c:v>7623.1771758720206</c:v>
                </c:pt>
                <c:pt idx="83">
                  <c:v>7625.8626234140593</c:v>
                </c:pt>
                <c:pt idx="84">
                  <c:v>7628.3748245540974</c:v>
                </c:pt>
                <c:pt idx="85">
                  <c:v>7630.6870440380235</c:v>
                </c:pt>
                <c:pt idx="86">
                  <c:v>7632.7805382073057</c:v>
                </c:pt>
                <c:pt idx="87">
                  <c:v>7634.6437939159396</c:v>
                </c:pt>
                <c:pt idx="88">
                  <c:v>7636.2717261080388</c:v>
                </c:pt>
                <c:pt idx="89">
                  <c:v>7637.664856439028</c:v>
                </c:pt>
                <c:pt idx="90">
                  <c:v>7638.8284927448221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7B-4D31-B03D-9D772A06F888}"/>
            </c:ext>
          </c:extLst>
        </c:ser>
        <c:ser>
          <c:idx val="9"/>
          <c:order val="9"/>
          <c:tx>
            <c:strRef>
              <c:f>'Phase plot K'!$AL$7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K'!$AK$8:$AK$98</c:f>
              <c:numCache>
                <c:formatCode>General</c:formatCode>
                <c:ptCount val="91"/>
                <c:pt idx="0">
                  <c:v>4356</c:v>
                </c:pt>
                <c:pt idx="1">
                  <c:v>7409.050268299693</c:v>
                </c:pt>
                <c:pt idx="2">
                  <c:v>10257.867112937274</c:v>
                </c:pt>
                <c:pt idx="3">
                  <c:v>12916.116678877543</c:v>
                </c:pt>
                <c:pt idx="4">
                  <c:v>15396.548271968337</c:v>
                </c:pt>
                <c:pt idx="5">
                  <c:v>17711.056781705851</c:v>
                </c:pt>
                <c:pt idx="6">
                  <c:v>19870.740406265955</c:v>
                </c:pt>
                <c:pt idx="7">
                  <c:v>21885.954230878204</c:v>
                </c:pt>
                <c:pt idx="8">
                  <c:v>23766.360057421916</c:v>
                </c:pt>
                <c:pt idx="9">
                  <c:v>25520.972797246344</c:v>
                </c:pt>
                <c:pt idx="10">
                  <c:v>27158.203686809404</c:v>
                </c:pt>
                <c:pt idx="11">
                  <c:v>28685.900550486345</c:v>
                </c:pt>
                <c:pt idx="12">
                  <c:v>30111.38530867497</c:v>
                </c:pt>
                <c:pt idx="13">
                  <c:v>31441.48890785722</c:v>
                </c:pt>
                <c:pt idx="14">
                  <c:v>32682.583830184689</c:v>
                </c:pt>
                <c:pt idx="15">
                  <c:v>33840.614321950554</c:v>
                </c:pt>
                <c:pt idx="16">
                  <c:v>34921.124461898689</c:v>
                </c:pt>
                <c:pt idx="17">
                  <c:v>35929.284170721774</c:v>
                </c:pt>
                <c:pt idx="18">
                  <c:v>36869.913241268245</c:v>
                </c:pt>
                <c:pt idx="19">
                  <c:v>37747.503443660527</c:v>
                </c:pt>
                <c:pt idx="20">
                  <c:v>38566.238729127414</c:v>
                </c:pt>
                <c:pt idx="21">
                  <c:v>39330.013518773114</c:v>
                </c:pt>
                <c:pt idx="22">
                  <c:v>40042.4490159454</c:v>
                </c:pt>
                <c:pt idx="23">
                  <c:v>40706.90741956931</c:v>
                </c:pt>
                <c:pt idx="24">
                  <c:v>41326.503835728348</c:v>
                </c:pt>
                <c:pt idx="25">
                  <c:v>41904.115579107805</c:v>
                </c:pt>
                <c:pt idx="26">
                  <c:v>42442.388415545895</c:v>
                </c:pt>
                <c:pt idx="27">
                  <c:v>42943.73910968026</c:v>
                </c:pt>
                <c:pt idx="28">
                  <c:v>43410.353391336874</c:v>
                </c:pt>
                <c:pt idx="29">
                  <c:v>43844.178119573553</c:v>
                </c:pt>
                <c:pt idx="30">
                  <c:v>44246.905976484399</c:v>
                </c:pt>
                <c:pt idx="31">
                  <c:v>44619.950428781434</c:v>
                </c:pt>
                <c:pt idx="32">
                  <c:v>44964.407910378686</c:v>
                </c:pt>
                <c:pt idx="33">
                  <c:v>45281.00315288276</c:v>
                </c:pt>
                <c:pt idx="34">
                  <c:v>45570.012268921128</c:v>
                </c:pt>
                <c:pt idx="35">
                  <c:v>45831.15652921718</c:v>
                </c:pt>
                <c:pt idx="36">
                  <c:v>46063.457754034847</c:v>
                </c:pt>
                <c:pt idx="37">
                  <c:v>46265.04393051604</c:v>
                </c:pt>
                <c:pt idx="38">
                  <c:v>46432.891312781023</c:v>
                </c:pt>
                <c:pt idx="39">
                  <c:v>46562.487450688073</c:v>
                </c:pt>
                <c:pt idx="40">
                  <c:v>46647.399552731324</c:v>
                </c:pt>
                <c:pt idx="41">
                  <c:v>46678.736650723324</c:v>
                </c:pt>
                <c:pt idx="42">
                  <c:v>46644.506312641272</c:v>
                </c:pt>
                <c:pt idx="43">
                  <c:v>46528.893848039792</c:v>
                </c:pt>
                <c:pt idx="44">
                  <c:v>46311.543880156678</c:v>
                </c:pt>
                <c:pt idx="45">
                  <c:v>45967.012778760261</c:v>
                </c:pt>
                <c:pt idx="46">
                  <c:v>45464.694770026785</c:v>
                </c:pt>
                <c:pt idx="47">
                  <c:v>44769.696952337523</c:v>
                </c:pt>
                <c:pt idx="48">
                  <c:v>43845.298049665646</c:v>
                </c:pt>
                <c:pt idx="49">
                  <c:v>42657.642682672747</c:v>
                </c:pt>
                <c:pt idx="50">
                  <c:v>41182.974803013465</c:v>
                </c:pt>
                <c:pt idx="51">
                  <c:v>39416.769605968795</c:v>
                </c:pt>
                <c:pt idx="52">
                  <c:v>37382.607345472432</c:v>
                </c:pt>
                <c:pt idx="53">
                  <c:v>35137.192519490935</c:v>
                </c:pt>
                <c:pt idx="54">
                  <c:v>32767.850555847184</c:v>
                </c:pt>
                <c:pt idx="55">
                  <c:v>30381.175598601199</c:v>
                </c:pt>
                <c:pt idx="56">
                  <c:v>28085.590427988409</c:v>
                </c:pt>
                <c:pt idx="57">
                  <c:v>25973.788378004556</c:v>
                </c:pt>
                <c:pt idx="58">
                  <c:v>24110.903007334735</c:v>
                </c:pt>
                <c:pt idx="59">
                  <c:v>22530.989568901135</c:v>
                </c:pt>
                <c:pt idx="60">
                  <c:v>21240.575161917288</c:v>
                </c:pt>
                <c:pt idx="61">
                  <c:v>20225.982095175805</c:v>
                </c:pt>
                <c:pt idx="62">
                  <c:v>19461.242172643379</c:v>
                </c:pt>
                <c:pt idx="63">
                  <c:v>18914.670476914642</c:v>
                </c:pt>
                <c:pt idx="64">
                  <c:v>18553.449082716423</c:v>
                </c:pt>
                <c:pt idx="65">
                  <c:v>18346.372143826589</c:v>
                </c:pt>
                <c:pt idx="66">
                  <c:v>18265.219168309934</c:v>
                </c:pt>
                <c:pt idx="67">
                  <c:v>18285.240915981769</c:v>
                </c:pt>
                <c:pt idx="68">
                  <c:v>18385.137752965024</c:v>
                </c:pt>
                <c:pt idx="69">
                  <c:v>18546.786283288438</c:v>
                </c:pt>
                <c:pt idx="70">
                  <c:v>18754.868772332011</c:v>
                </c:pt>
                <c:pt idx="71">
                  <c:v>18996.48989463356</c:v>
                </c:pt>
                <c:pt idx="72">
                  <c:v>19260.821840701617</c:v>
                </c:pt>
                <c:pt idx="73">
                  <c:v>19538.793928145147</c:v>
                </c:pt>
                <c:pt idx="74">
                  <c:v>19822.829729846988</c:v>
                </c:pt>
                <c:pt idx="75">
                  <c:v>20106.628483738034</c:v>
                </c:pt>
                <c:pt idx="76">
                  <c:v>20384.985073490196</c:v>
                </c:pt>
                <c:pt idx="77">
                  <c:v>20653.642318463768</c:v>
                </c:pt>
                <c:pt idx="78">
                  <c:v>20909.169648724113</c:v>
                </c:pt>
                <c:pt idx="79">
                  <c:v>21148.862919795039</c:v>
                </c:pt>
                <c:pt idx="80">
                  <c:v>21370.66087404425</c:v>
                </c:pt>
                <c:pt idx="81">
                  <c:v>21573.074465272919</c:v>
                </c:pt>
                <c:pt idx="82">
                  <c:v>21755.125892731197</c:v>
                </c:pt>
                <c:pt idx="83">
                  <c:v>21916.294740122747</c:v>
                </c:pt>
                <c:pt idx="84">
                  <c:v>22056.469098641057</c:v>
                </c:pt>
                <c:pt idx="85">
                  <c:v>22175.899988006753</c:v>
                </c:pt>
                <c:pt idx="86">
                  <c:v>22275.15779006005</c:v>
                </c:pt>
                <c:pt idx="87">
                  <c:v>22355.089784196989</c:v>
                </c:pt>
                <c:pt idx="88">
                  <c:v>22416.778224952697</c:v>
                </c:pt>
                <c:pt idx="89">
                  <c:v>22461.498725729514</c:v>
                </c:pt>
                <c:pt idx="90">
                  <c:v>22490.679001199485</c:v>
                </c:pt>
              </c:numCache>
            </c:numRef>
          </c:xVal>
          <c:yVal>
            <c:numRef>
              <c:f>'Phase plot K'!$AL$8:$AL$98</c:f>
              <c:numCache>
                <c:formatCode>General</c:formatCode>
                <c:ptCount val="91"/>
                <c:pt idx="0">
                  <c:v>1</c:v>
                </c:pt>
                <c:pt idx="1">
                  <c:v>0.8304618058269988</c:v>
                </c:pt>
                <c:pt idx="2">
                  <c:v>0.71356135976138546</c:v>
                </c:pt>
                <c:pt idx="3">
                  <c:v>0.63290602869219448</c:v>
                </c:pt>
                <c:pt idx="4">
                  <c:v>0.57825225319089046</c:v>
                </c:pt>
                <c:pt idx="5">
                  <c:v>0.54312936046013727</c:v>
                </c:pt>
                <c:pt idx="6">
                  <c:v>0.52347186750786934</c:v>
                </c:pt>
                <c:pt idx="7">
                  <c:v>0.51681844743024596</c:v>
                </c:pt>
                <c:pt idx="8">
                  <c:v>0.52184078599911043</c:v>
                </c:pt>
                <c:pt idx="9">
                  <c:v>0.53807262965355718</c:v>
                </c:pt>
                <c:pt idx="10">
                  <c:v>0.56576713751160146</c:v>
                </c:pt>
                <c:pt idx="11">
                  <c:v>0.60584306243888142</c:v>
                </c:pt>
                <c:pt idx="12">
                  <c:v>0.6598993706702847</c:v>
                </c:pt>
                <c:pt idx="13">
                  <c:v>0.73028998661148381</c:v>
                </c:pt>
                <c:pt idx="14">
                  <c:v>0.82025887337017178</c:v>
                </c:pt>
                <c:pt idx="15">
                  <c:v>0.93414263973157674</c:v>
                </c:pt>
                <c:pt idx="16">
                  <c:v>1.077654593077733</c:v>
                </c:pt>
                <c:pt idx="17">
                  <c:v>1.2582716024962119</c:v>
                </c:pt>
                <c:pt idx="18">
                  <c:v>1.4857541689774734</c:v>
                </c:pt>
                <c:pt idx="19">
                  <c:v>1.7728416510760545</c:v>
                </c:pt>
                <c:pt idx="20">
                  <c:v>2.1361797803161759</c:v>
                </c:pt>
                <c:pt idx="21">
                  <c:v>2.5975578460301425</c:v>
                </c:pt>
                <c:pt idx="22">
                  <c:v>3.1855601119120043</c:v>
                </c:pt>
                <c:pt idx="23">
                  <c:v>3.9377726544705536</c:v>
                </c:pt>
                <c:pt idx="24">
                  <c:v>4.9037362539248068</c:v>
                </c:pt>
                <c:pt idx="25">
                  <c:v>6.1489027434667189</c:v>
                </c:pt>
                <c:pt idx="26">
                  <c:v>7.7599423930372859</c:v>
                </c:pt>
                <c:pt idx="27">
                  <c:v>9.851871548911296</c:v>
                </c:pt>
                <c:pt idx="28">
                  <c:v>12.577633562239605</c:v>
                </c:pt>
                <c:pt idx="29">
                  <c:v>16.140986006013534</c:v>
                </c:pt>
                <c:pt idx="30">
                  <c:v>20.813841294696314</c:v>
                </c:pt>
                <c:pt idx="31">
                  <c:v>26.959598646874809</c:v>
                </c:pt>
                <c:pt idx="32">
                  <c:v>35.064520031112963</c:v>
                </c:pt>
                <c:pt idx="33">
                  <c:v>45.779871783746337</c:v>
                </c:pt>
                <c:pt idx="34">
                  <c:v>59.978406639755065</c:v>
                </c:pt>
                <c:pt idx="35">
                  <c:v>78.829816968027416</c:v>
                </c:pt>
                <c:pt idx="36">
                  <c:v>103.90103664455434</c:v>
                </c:pt>
                <c:pt idx="37">
                  <c:v>137.28862171819159</c:v>
                </c:pt>
                <c:pt idx="38">
                  <c:v>181.79166636100484</c:v>
                </c:pt>
                <c:pt idx="39">
                  <c:v>241.13429541842504</c:v>
                </c:pt>
                <c:pt idx="40">
                  <c:v>320.24569354534214</c:v>
                </c:pt>
                <c:pt idx="41">
                  <c:v>425.6009938916348</c:v>
                </c:pt>
                <c:pt idx="42">
                  <c:v>565.61490657219053</c:v>
                </c:pt>
                <c:pt idx="43">
                  <c:v>751.05656689060174</c:v>
                </c:pt>
                <c:pt idx="44">
                  <c:v>995.41147574531817</c:v>
                </c:pt>
                <c:pt idx="45">
                  <c:v>1315.046445082234</c:v>
                </c:pt>
                <c:pt idx="46">
                  <c:v>1728.9319344935966</c:v>
                </c:pt>
                <c:pt idx="47">
                  <c:v>2257.5547677230707</c:v>
                </c:pt>
                <c:pt idx="48">
                  <c:v>2920.5625889746721</c:v>
                </c:pt>
                <c:pt idx="49">
                  <c:v>3732.7338323794083</c:v>
                </c:pt>
                <c:pt idx="50">
                  <c:v>4698.244225506488</c:v>
                </c:pt>
                <c:pt idx="51">
                  <c:v>5804.0618907348089</c:v>
                </c:pt>
                <c:pt idx="52">
                  <c:v>7014.5460098602025</c:v>
                </c:pt>
                <c:pt idx="53">
                  <c:v>8270.2949659444657</c:v>
                </c:pt>
                <c:pt idx="54">
                  <c:v>9493.860077070929</c:v>
                </c:pt>
                <c:pt idx="55">
                  <c:v>10602.404924680155</c:v>
                </c:pt>
                <c:pt idx="56">
                  <c:v>11523.715058668096</c:v>
                </c:pt>
                <c:pt idx="57">
                  <c:v>12209.70704004033</c:v>
                </c:pt>
                <c:pt idx="58">
                  <c:v>12642.696040474788</c:v>
                </c:pt>
                <c:pt idx="59">
                  <c:v>12833.386352943344</c:v>
                </c:pt>
                <c:pt idx="60">
                  <c:v>12813.102428868791</c:v>
                </c:pt>
                <c:pt idx="61">
                  <c:v>12624.135634803813</c:v>
                </c:pt>
                <c:pt idx="62">
                  <c:v>12311.293675240589</c:v>
                </c:pt>
                <c:pt idx="63">
                  <c:v>11916.096767029459</c:v>
                </c:pt>
                <c:pt idx="64">
                  <c:v>11473.692732219712</c:v>
                </c:pt>
                <c:pt idx="65">
                  <c:v>11011.860343947552</c:v>
                </c:pt>
                <c:pt idx="66">
                  <c:v>10551.317701563356</c:v>
                </c:pt>
                <c:pt idx="67">
                  <c:v>10106.684877360591</c:v>
                </c:pt>
                <c:pt idx="68">
                  <c:v>9687.6623041330949</c:v>
                </c:pt>
                <c:pt idx="69">
                  <c:v>9300.1746771217295</c:v>
                </c:pt>
                <c:pt idx="70">
                  <c:v>8947.3629376145382</c:v>
                </c:pt>
                <c:pt idx="71">
                  <c:v>8630.3875178237249</c:v>
                </c:pt>
                <c:pt idx="72">
                  <c:v>8349.0487005537761</c:v>
                </c:pt>
                <c:pt idx="73">
                  <c:v>8102.2487629406005</c:v>
                </c:pt>
                <c:pt idx="74">
                  <c:v>7888.3259896614245</c:v>
                </c:pt>
                <c:pt idx="75">
                  <c:v>7705.2893817288868</c:v>
                </c:pt>
                <c:pt idx="76">
                  <c:v>7550.9788611733311</c:v>
                </c:pt>
                <c:pt idx="77">
                  <c:v>7423.1710517181236</c:v>
                </c:pt>
                <c:pt idx="78">
                  <c:v>7319.64628125134</c:v>
                </c:pt>
                <c:pt idx="79">
                  <c:v>7238.2286824302673</c:v>
                </c:pt>
                <c:pt idx="80">
                  <c:v>7176.8082365787413</c:v>
                </c:pt>
                <c:pt idx="81">
                  <c:v>7133.3512482072265</c:v>
                </c:pt>
                <c:pt idx="82">
                  <c:v>7105.9039384042526</c:v>
                </c:pt>
                <c:pt idx="83">
                  <c:v>7092.592484643742</c:v>
                </c:pt>
                <c:pt idx="84">
                  <c:v>7091.6218055378222</c:v>
                </c:pt>
                <c:pt idx="85">
                  <c:v>7101.2746055546422</c:v>
                </c:pt>
                <c:pt idx="86">
                  <c:v>7119.9115916746205</c:v>
                </c:pt>
                <c:pt idx="87">
                  <c:v>7145.9733053020263</c:v>
                </c:pt>
                <c:pt idx="88">
                  <c:v>7177.9836480400618</c:v>
                </c:pt>
                <c:pt idx="89">
                  <c:v>7214.5549006614092</c:v>
                </c:pt>
                <c:pt idx="90">
                  <c:v>7254.3938304809362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87B-4D31-B03D-9D772A06F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60816"/>
        <c:axId val="1246156656"/>
      </c:scatterChart>
      <c:valAx>
        <c:axId val="124616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56656"/>
        <c:crosses val="autoZero"/>
        <c:crossBetween val="midCat"/>
      </c:valAx>
      <c:valAx>
        <c:axId val="12461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6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1" i="0" u="none" strike="noStrike" baseline="0">
                <a:effectLst/>
              </a:rPr>
              <a:t>Phase plot for solutions obtained using third-order Runge-Kutta method</a:t>
            </a:r>
            <a:endParaRPr lang="pl-PL"/>
          </a:p>
        </c:rich>
      </c:tx>
      <c:layout>
        <c:manualLayout>
          <c:xMode val="edge"/>
          <c:yMode val="edge"/>
          <c:x val="0.11726425444641696"/>
          <c:y val="2.16853393232680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'Phase plot K'!$BA$7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'Phase plot K'!$AZ$8:$AZ$98</c:f>
              <c:numCache>
                <c:formatCode>General</c:formatCode>
                <c:ptCount val="91"/>
                <c:pt idx="0">
                  <c:v>0</c:v>
                </c:pt>
                <c:pt idx="1">
                  <c:v>5714.2726266427699</c:v>
                </c:pt>
                <c:pt idx="2">
                  <c:v>10720.342273556651</c:v>
                </c:pt>
                <c:pt idx="3">
                  <c:v>15129.60211610572</c:v>
                </c:pt>
                <c:pt idx="4">
                  <c:v>19026.429301809356</c:v>
                </c:pt>
                <c:pt idx="5">
                  <c:v>22477.872531082176</c:v>
                </c:pt>
                <c:pt idx="6">
                  <c:v>25539.117655451671</c:v>
                </c:pt>
                <c:pt idx="7">
                  <c:v>28256.732635609394</c:v>
                </c:pt>
                <c:pt idx="8">
                  <c:v>30670.696606311307</c:v>
                </c:pt>
                <c:pt idx="9">
                  <c:v>32815.73776121722</c:v>
                </c:pt>
                <c:pt idx="10">
                  <c:v>34722.263465565738</c:v>
                </c:pt>
                <c:pt idx="11">
                  <c:v>36417.040331947523</c:v>
                </c:pt>
                <c:pt idx="12">
                  <c:v>37923.714545235998</c:v>
                </c:pt>
                <c:pt idx="13">
                  <c:v>39263.225561321902</c:v>
                </c:pt>
                <c:pt idx="14">
                  <c:v>40454.145343304692</c:v>
                </c:pt>
                <c:pt idx="15">
                  <c:v>41512.963215041709</c:v>
                </c:pt>
                <c:pt idx="16">
                  <c:v>42454.329297443015</c:v>
                </c:pt>
                <c:pt idx="17">
                  <c:v>43291.265213866231</c:v>
                </c:pt>
                <c:pt idx="18">
                  <c:v>44035.348118643029</c:v>
                </c:pt>
                <c:pt idx="19">
                  <c:v>44696.872442855478</c:v>
                </c:pt>
                <c:pt idx="20">
                  <c:v>45284.992675255191</c:v>
                </c:pt>
                <c:pt idx="21">
                  <c:v>45807.849776256349</c:v>
                </c:pt>
                <c:pt idx="22">
                  <c:v>46272.683324344929</c:v>
                </c:pt>
                <c:pt idx="23">
                  <c:v>46685.931135973471</c:v>
                </c:pt>
                <c:pt idx="24">
                  <c:v>47053.317832720553</c:v>
                </c:pt>
                <c:pt idx="25">
                  <c:v>47379.933622766628</c:v>
                </c:pt>
                <c:pt idx="26">
                  <c:v>47670.304398550652</c:v>
                </c:pt>
                <c:pt idx="27">
                  <c:v>47928.454116744411</c:v>
                </c:pt>
                <c:pt idx="28">
                  <c:v>48157.960312599091</c:v>
                </c:pt>
                <c:pt idx="29">
                  <c:v>48362.003503118816</c:v>
                </c:pt>
                <c:pt idx="30">
                  <c:v>48543.411148899548</c:v>
                </c:pt>
                <c:pt idx="31">
                  <c:v>48704.696770396491</c:v>
                </c:pt>
                <c:pt idx="32">
                  <c:v>48848.094749087286</c:v>
                </c:pt>
                <c:pt idx="33">
                  <c:v>48975.591286166069</c:v>
                </c:pt>
                <c:pt idx="34">
                  <c:v>49088.951940016639</c:v>
                </c:pt>
                <c:pt idx="35">
                  <c:v>49189.746117957446</c:v>
                </c:pt>
                <c:pt idx="36">
                  <c:v>49279.368856957393</c:v>
                </c:pt>
                <c:pt idx="37">
                  <c:v>49359.060191624252</c:v>
                </c:pt>
                <c:pt idx="38">
                  <c:v>49429.922375282127</c:v>
                </c:pt>
                <c:pt idx="39">
                  <c:v>49492.935190957563</c:v>
                </c:pt>
                <c:pt idx="40">
                  <c:v>49548.969563213381</c:v>
                </c:pt>
                <c:pt idx="41">
                  <c:v>49598.79965867463</c:v>
                </c:pt>
                <c:pt idx="42">
                  <c:v>49643.113642487835</c:v>
                </c:pt>
                <c:pt idx="43">
                  <c:v>49682.523239579779</c:v>
                </c:pt>
                <c:pt idx="44">
                  <c:v>49717.572233199266</c:v>
                </c:pt>
                <c:pt idx="45">
                  <c:v>49748.744018623751</c:v>
                </c:pt>
                <c:pt idx="46">
                  <c:v>49776.468316902465</c:v>
                </c:pt>
                <c:pt idx="47">
                  <c:v>49801.127141918623</c:v>
                </c:pt>
                <c:pt idx="48">
                  <c:v>49823.060103733493</c:v>
                </c:pt>
                <c:pt idx="49">
                  <c:v>49842.569121987413</c:v>
                </c:pt>
                <c:pt idx="50">
                  <c:v>49859.922614955292</c:v>
                </c:pt>
                <c:pt idx="51">
                  <c:v>49875.35922257723</c:v>
                </c:pt>
                <c:pt idx="52">
                  <c:v>49889.091115310497</c:v>
                </c:pt>
                <c:pt idx="53">
                  <c:v>49901.306934890083</c:v>
                </c:pt>
                <c:pt idx="54">
                  <c:v>49912.174407962848</c:v>
                </c:pt>
                <c:pt idx="55">
                  <c:v>49921.842669005207</c:v>
                </c:pt>
                <c:pt idx="56">
                  <c:v>49930.444324884375</c:v>
                </c:pt>
                <c:pt idx="57">
                  <c:v>49938.097289822217</c:v>
                </c:pt>
                <c:pt idx="58">
                  <c:v>49944.906416319893</c:v>
                </c:pt>
                <c:pt idx="59">
                  <c:v>49950.964944756044</c:v>
                </c:pt>
                <c:pt idx="60">
                  <c:v>49956.355791842259</c:v>
                </c:pt>
                <c:pt idx="61">
                  <c:v>49961.152695871824</c:v>
                </c:pt>
                <c:pt idx="62">
                  <c:v>49965.421234700181</c:v>
                </c:pt>
                <c:pt idx="63">
                  <c:v>49969.2197306202</c:v>
                </c:pt>
                <c:pt idx="64">
                  <c:v>49972.600054717848</c:v>
                </c:pt>
                <c:pt idx="65">
                  <c:v>49975.608341892002</c:v>
                </c:pt>
                <c:pt idx="66">
                  <c:v>49978.285626476463</c:v>
                </c:pt>
                <c:pt idx="67">
                  <c:v>49980.668407295321</c:v>
                </c:pt>
                <c:pt idx="68">
                  <c:v>49982.789149999298</c:v>
                </c:pt>
                <c:pt idx="69">
                  <c:v>49984.676733656823</c:v>
                </c:pt>
                <c:pt idx="70">
                  <c:v>49986.35684779696</c:v>
                </c:pt>
                <c:pt idx="71">
                  <c:v>49987.852345411477</c:v>
                </c:pt>
                <c:pt idx="72">
                  <c:v>49989.183556810109</c:v>
                </c:pt>
                <c:pt idx="73">
                  <c:v>49990.368568678488</c:v>
                </c:pt>
                <c:pt idx="74">
                  <c:v>49991.423472203991</c:v>
                </c:pt>
                <c:pt idx="75">
                  <c:v>49992.362583704802</c:v>
                </c:pt>
                <c:pt idx="76">
                  <c:v>49993.198640815281</c:v>
                </c:pt>
                <c:pt idx="77">
                  <c:v>49993.942976941013</c:v>
                </c:pt>
                <c:pt idx="78">
                  <c:v>49994.605676395346</c:v>
                </c:pt>
                <c:pt idx="79">
                  <c:v>49995.19571236091</c:v>
                </c:pt>
                <c:pt idx="80">
                  <c:v>49995.721069581363</c:v>
                </c:pt>
                <c:pt idx="81">
                  <c:v>49996.188853476924</c:v>
                </c:pt>
                <c:pt idx="82">
                  <c:v>49996.605387188967</c:v>
                </c:pt>
                <c:pt idx="83">
                  <c:v>49996.976297891786</c:v>
                </c:pt>
                <c:pt idx="84">
                  <c:v>49997.306593561014</c:v>
                </c:pt>
                <c:pt idx="85">
                  <c:v>49997.600731256047</c:v>
                </c:pt>
                <c:pt idx="86">
                  <c:v>49997.862677856494</c:v>
                </c:pt>
                <c:pt idx="87">
                  <c:v>49998.095964088323</c:v>
                </c:pt>
                <c:pt idx="88">
                  <c:v>49998.303732582586</c:v>
                </c:pt>
                <c:pt idx="89">
                  <c:v>49998.488780627304</c:v>
                </c:pt>
                <c:pt idx="90">
                  <c:v>49998.653598199708</c:v>
                </c:pt>
              </c:numCache>
            </c:numRef>
          </c:xVal>
          <c:yVal>
            <c:numRef>
              <c:f>'Phase plot K'!$BA$8:$BA$98</c:f>
              <c:numCache>
                <c:formatCode>General</c:formatCode>
                <c:ptCount val="91"/>
                <c:pt idx="0">
                  <c:v>5010</c:v>
                </c:pt>
                <c:pt idx="1">
                  <c:v>3784.2414236943723</c:v>
                </c:pt>
                <c:pt idx="2">
                  <c:v>2914.219159110598</c:v>
                </c:pt>
                <c:pt idx="3">
                  <c:v>2282.6537573480305</c:v>
                </c:pt>
                <c:pt idx="4">
                  <c:v>1814.9310632016698</c:v>
                </c:pt>
                <c:pt idx="5">
                  <c:v>1462.2792783612622</c:v>
                </c:pt>
                <c:pt idx="6">
                  <c:v>1192.0517606311446</c:v>
                </c:pt>
                <c:pt idx="7">
                  <c:v>981.92718972213049</c:v>
                </c:pt>
                <c:pt idx="8">
                  <c:v>816.34887722223823</c:v>
                </c:pt>
                <c:pt idx="9">
                  <c:v>684.2839684623101</c:v>
                </c:pt>
                <c:pt idx="10">
                  <c:v>577.78179598190354</c:v>
                </c:pt>
                <c:pt idx="11">
                  <c:v>491.02771042242921</c:v>
                </c:pt>
                <c:pt idx="12">
                  <c:v>419.71072380343799</c:v>
                </c:pt>
                <c:pt idx="13">
                  <c:v>360.59378685528259</c:v>
                </c:pt>
                <c:pt idx="14">
                  <c:v>311.21724629597935</c:v>
                </c:pt>
                <c:pt idx="15">
                  <c:v>269.69127216818879</c:v>
                </c:pt>
                <c:pt idx="16">
                  <c:v>234.54862496706363</c:v>
                </c:pt>
                <c:pt idx="17">
                  <c:v>204.63892376724442</c:v>
                </c:pt>
                <c:pt idx="18">
                  <c:v>179.05183440535686</c:v>
                </c:pt>
                <c:pt idx="19">
                  <c:v>157.06065897894823</c:v>
                </c:pt>
                <c:pt idx="20">
                  <c:v>138.08048339832209</c:v>
                </c:pt>
                <c:pt idx="21">
                  <c:v>121.63682596424047</c:v>
                </c:pt>
                <c:pt idx="22">
                  <c:v>107.34193780206152</c:v>
                </c:pt>
                <c:pt idx="23">
                  <c:v>94.876732604974947</c:v>
                </c:pt>
                <c:pt idx="24">
                  <c:v>83.976895299656846</c:v>
                </c:pt>
                <c:pt idx="25">
                  <c:v>74.422119541113744</c:v>
                </c:pt>
                <c:pt idx="26">
                  <c:v>66.027706847379619</c:v>
                </c:pt>
                <c:pt idx="27">
                  <c:v>58.637962052632339</c:v>
                </c:pt>
                <c:pt idx="28">
                  <c:v>52.120965117821832</c:v>
                </c:pt>
                <c:pt idx="29">
                  <c:v>46.36440491570761</c:v>
                </c:pt>
                <c:pt idx="30">
                  <c:v>41.272237920363516</c:v>
                </c:pt>
                <c:pt idx="31">
                  <c:v>36.761991787992685</c:v>
                </c:pt>
                <c:pt idx="32">
                  <c:v>32.762576235121109</c:v>
                </c:pt>
                <c:pt idx="33">
                  <c:v>29.212495378595555</c:v>
                </c:pt>
                <c:pt idx="34">
                  <c:v>26.058379637242254</c:v>
                </c:pt>
                <c:pt idx="35">
                  <c:v>23.253773448960512</c:v>
                </c:pt>
                <c:pt idx="36">
                  <c:v>20.758128909059636</c:v>
                </c:pt>
                <c:pt idx="37">
                  <c:v>18.535966066046356</c:v>
                </c:pt>
                <c:pt idx="38">
                  <c:v>16.55616881397971</c:v>
                </c:pt>
                <c:pt idx="39">
                  <c:v>14.791391683620233</c:v>
                </c:pt>
                <c:pt idx="40">
                  <c:v>13.217557795564209</c:v>
                </c:pt>
                <c:pt idx="41">
                  <c:v>11.813432125255524</c:v>
                </c:pt>
                <c:pt idx="42">
                  <c:v>10.560257289261026</c:v>
                </c:pt>
                <c:pt idx="43">
                  <c:v>9.4414414816438033</c:v>
                </c:pt>
                <c:pt idx="44">
                  <c:v>8.4422901111992612</c:v>
                </c:pt>
                <c:pt idx="45">
                  <c:v>7.5497742238013883</c:v>
                </c:pt>
                <c:pt idx="46">
                  <c:v>6.7523300229994003</c:v>
                </c:pt>
                <c:pt idx="47">
                  <c:v>6.0396847910699583</c:v>
                </c:pt>
                <c:pt idx="48">
                  <c:v>5.4027053121949811</c:v>
                </c:pt>
                <c:pt idx="49">
                  <c:v>4.8332655484134905</c:v>
                </c:pt>
                <c:pt idx="50">
                  <c:v>4.324130848066404</c:v>
                </c:pt>
                <c:pt idx="51">
                  <c:v>3.8688563996117145</c:v>
                </c:pt>
                <c:pt idx="52">
                  <c:v>3.4616979998332145</c:v>
                </c:pt>
                <c:pt idx="53">
                  <c:v>3.0975334995369161</c:v>
                </c:pt>
                <c:pt idx="54">
                  <c:v>2.7717935336738893</c:v>
                </c:pt>
                <c:pt idx="55">
                  <c:v>2.4804003458762507</c:v>
                </c:pt>
                <c:pt idx="56">
                  <c:v>2.2197136871752088</c:v>
                </c:pt>
                <c:pt idx="57">
                  <c:v>1.9864829112207878</c:v>
                </c:pt>
                <c:pt idx="58">
                  <c:v>1.7778045084939675</c:v>
                </c:pt>
                <c:pt idx="59">
                  <c:v>1.5910844237079045</c:v>
                </c:pt>
                <c:pt idx="60">
                  <c:v>1.4240045870046216</c:v>
                </c:pt>
                <c:pt idx="61">
                  <c:v>1.2744931632416066</c:v>
                </c:pt>
                <c:pt idx="62">
                  <c:v>1.1406980867281518</c:v>
                </c:pt>
                <c:pt idx="63">
                  <c:v>1.0209635029315021</c:v>
                </c:pt>
                <c:pt idx="64">
                  <c:v>0.91380878533842713</c:v>
                </c:pt>
                <c:pt idx="65">
                  <c:v>0.81790983599138967</c:v>
                </c:pt>
                <c:pt idx="66">
                  <c:v>0.73208241318200729</c:v>
                </c:pt>
                <c:pt idx="67">
                  <c:v>0.65526726017701664</c:v>
                </c:pt>
                <c:pt idx="68">
                  <c:v>0.58651683533955967</c:v>
                </c:pt>
                <c:pt idx="69">
                  <c:v>0.52498346714884292</c:v>
                </c:pt>
                <c:pt idx="70">
                  <c:v>0.46990877788244079</c:v>
                </c:pt>
                <c:pt idx="71">
                  <c:v>0.42061423750270893</c:v>
                </c:pt>
                <c:pt idx="72">
                  <c:v>0.37649272491627928</c:v>
                </c:pt>
                <c:pt idx="73">
                  <c:v>0.33700098753748059</c:v>
                </c:pt>
                <c:pt idx="74">
                  <c:v>0.30165290222494306</c:v>
                </c:pt>
                <c:pt idx="75">
                  <c:v>0.27001345138282118</c:v>
                </c:pt>
                <c:pt idx="76">
                  <c:v>0.2416933375018846</c:v>
                </c:pt>
                <c:pt idx="77">
                  <c:v>0.21634416781438148</c:v>
                </c:pt>
                <c:pt idx="78">
                  <c:v>0.19365414818241763</c:v>
                </c:pt>
                <c:pt idx="79">
                  <c:v>0.17334423194727797</c:v>
                </c:pt>
                <c:pt idx="80">
                  <c:v>0.15516467533626441</c:v>
                </c:pt>
                <c:pt idx="81">
                  <c:v>0.13889195624100342</c:v>
                </c:pt>
                <c:pt idx="82">
                  <c:v>0.1243260178225525</c:v>
                </c:pt>
                <c:pt idx="83">
                  <c:v>0.11128780253030619</c:v>
                </c:pt>
                <c:pt idx="84">
                  <c:v>9.9617045801814186E-2</c:v>
                </c:pt>
                <c:pt idx="85">
                  <c:v>8.9170301990260131E-2</c:v>
                </c:pt>
                <c:pt idx="86">
                  <c:v>7.9819177990478996E-2</c:v>
                </c:pt>
                <c:pt idx="87">
                  <c:v>7.1448752642655461E-2</c:v>
                </c:pt>
                <c:pt idx="88">
                  <c:v>6.3956162320251878E-2</c:v>
                </c:pt>
                <c:pt idx="89">
                  <c:v>5.724933518621058E-2</c:v>
                </c:pt>
                <c:pt idx="90">
                  <c:v>5.1245858456461103E-2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33-4941-ADC0-FB93FC15165A}"/>
            </c:ext>
          </c:extLst>
        </c:ser>
        <c:ser>
          <c:idx val="1"/>
          <c:order val="1"/>
          <c:tx>
            <c:strRef>
              <c:f>'Phase plot K'!$BD$7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'Phase plot K'!$BC$8:$BC$98</c:f>
              <c:numCache>
                <c:formatCode>General</c:formatCode>
                <c:ptCount val="91"/>
                <c:pt idx="0">
                  <c:v>0</c:v>
                </c:pt>
                <c:pt idx="1">
                  <c:v>5442.9957811777704</c:v>
                </c:pt>
                <c:pt idx="2">
                  <c:v>9907.7230870135572</c:v>
                </c:pt>
                <c:pt idx="3">
                  <c:v>13732.125848905389</c:v>
                </c:pt>
                <c:pt idx="4">
                  <c:v>17097.867930386801</c:v>
                </c:pt>
                <c:pt idx="5">
                  <c:v>20109.402526852566</c:v>
                </c:pt>
                <c:pt idx="6">
                  <c:v>22830.768875242142</c:v>
                </c:pt>
                <c:pt idx="7">
                  <c:v>25303.937947023554</c:v>
                </c:pt>
                <c:pt idx="8">
                  <c:v>27558.420039924571</c:v>
                </c:pt>
                <c:pt idx="9">
                  <c:v>29616.472681546511</c:v>
                </c:pt>
                <c:pt idx="10">
                  <c:v>31495.989847323046</c:v>
                </c:pt>
                <c:pt idx="11">
                  <c:v>33212.128158391322</c:v>
                </c:pt>
                <c:pt idx="12">
                  <c:v>34778.229394062517</c:v>
                </c:pt>
                <c:pt idx="13">
                  <c:v>36206.345623276196</c:v>
                </c:pt>
                <c:pt idx="14">
                  <c:v>37507.538770084233</c:v>
                </c:pt>
                <c:pt idx="15">
                  <c:v>38692.052549967797</c:v>
                </c:pt>
                <c:pt idx="16">
                  <c:v>39769.413090834983</c:v>
                </c:pt>
                <c:pt idx="17">
                  <c:v>40748.490663965844</c:v>
                </c:pt>
                <c:pt idx="18">
                  <c:v>41637.541069641913</c:v>
                </c:pt>
                <c:pt idx="19">
                  <c:v>42444.237104891072</c:v>
                </c:pt>
                <c:pt idx="20">
                  <c:v>43175.695792311984</c:v>
                </c:pt>
                <c:pt idx="21">
                  <c:v>43838.504289685952</c:v>
                </c:pt>
                <c:pt idx="22">
                  <c:v>44438.745821716439</c:v>
                </c:pt>
                <c:pt idx="23">
                  <c:v>44982.026098182418</c:v>
                </c:pt>
                <c:pt idx="24">
                  <c:v>45473.500220039103</c:v>
                </c:pt>
                <c:pt idx="25">
                  <c:v>45917.899853938492</c:v>
                </c:pt>
                <c:pt idx="26">
                  <c:v>46319.560372370739</c:v>
                </c:pt>
                <c:pt idx="27">
                  <c:v>46682.447648829511</c:v>
                </c:pt>
                <c:pt idx="28">
                  <c:v>47010.184228051228</c:v>
                </c:pt>
                <c:pt idx="29">
                  <c:v>47306.074638841455</c:v>
                </c:pt>
                <c:pt idx="30">
                  <c:v>47573.129669011258</c:v>
                </c:pt>
                <c:pt idx="31">
                  <c:v>47814.089471883854</c:v>
                </c:pt>
                <c:pt idx="32">
                  <c:v>48031.445418447256</c:v>
                </c:pt>
                <c:pt idx="33">
                  <c:v>48227.46064724146</c:v>
                </c:pt>
                <c:pt idx="34">
                  <c:v>48404.189295307588</c:v>
                </c:pt>
                <c:pt idx="35">
                  <c:v>48563.494418411465</c:v>
                </c:pt>
                <c:pt idx="36">
                  <c:v>48707.064627983069</c:v>
                </c:pt>
                <c:pt idx="37">
                  <c:v>48836.429486582318</c:v>
                </c:pt>
                <c:pt idx="38">
                  <c:v>48952.973714002146</c:v>
                </c:pt>
                <c:pt idx="39">
                  <c:v>49057.950263085084</c:v>
                </c:pt>
                <c:pt idx="40">
                  <c:v>49152.492328611297</c:v>
                </c:pt>
                <c:pt idx="41">
                  <c:v>49237.6243547759</c:v>
                </c:pt>
                <c:pt idx="42">
                  <c:v>49314.272107286153</c:v>
                </c:pt>
                <c:pt idx="43">
                  <c:v>49383.271875368511</c:v>
                </c:pt>
                <c:pt idx="44">
                  <c:v>49445.378867304469</c:v>
                </c:pt>
                <c:pt idx="45">
                  <c:v>49501.274860773679</c:v>
                </c:pt>
                <c:pt idx="46">
                  <c:v>49551.575166481634</c:v>
                </c:pt>
                <c:pt idx="47">
                  <c:v>49596.83496045247</c:v>
                </c:pt>
                <c:pt idx="48">
                  <c:v>49637.555037103957</c:v>
                </c:pt>
                <c:pt idx="49">
                  <c:v>49674.187031890804</c:v>
                </c:pt>
                <c:pt idx="50">
                  <c:v>49707.138158979396</c:v>
                </c:pt>
                <c:pt idx="51">
                  <c:v>49736.77550615769</c:v>
                </c:pt>
                <c:pt idx="52">
                  <c:v>49763.429926029035</c:v>
                </c:pt>
                <c:pt idx="53">
                  <c:v>49787.39955951619</c:v>
                </c:pt>
                <c:pt idx="54">
                  <c:v>49808.953024830385</c:v>
                </c:pt>
                <c:pt idx="55">
                  <c:v>49828.332302351344</c:v>
                </c:pt>
                <c:pt idx="56">
                  <c:v>49845.755343322999</c:v>
                </c:pt>
                <c:pt idx="57">
                  <c:v>49861.418427897217</c:v>
                </c:pt>
                <c:pt idx="58">
                  <c:v>49875.49829585226</c:v>
                </c:pt>
                <c:pt idx="59">
                  <c:v>49888.154071269251</c:v>
                </c:pt>
                <c:pt idx="60">
                  <c:v>49899.529000562223</c:v>
                </c:pt>
                <c:pt idx="61">
                  <c:v>49909.752021518601</c:v>
                </c:pt>
                <c:pt idx="62">
                  <c:v>49918.939179408342</c:v>
                </c:pt>
                <c:pt idx="63">
                  <c:v>49927.194904753997</c:v>
                </c:pt>
                <c:pt idx="64">
                  <c:v>49934.61316601107</c:v>
                </c:pt>
                <c:pt idx="65">
                  <c:v>49941.278509180651</c:v>
                </c:pt>
                <c:pt idx="66">
                  <c:v>49947.266995255435</c:v>
                </c:pt>
                <c:pt idx="67">
                  <c:v>49952.647045378282</c:v>
                </c:pt>
                <c:pt idx="68">
                  <c:v>49957.480202661383</c:v>
                </c:pt>
                <c:pt idx="69">
                  <c:v>49961.821818767094</c:v>
                </c:pt>
                <c:pt idx="70">
                  <c:v>49965.721672581109</c:v>
                </c:pt>
                <c:pt idx="71">
                  <c:v>49969.224527609076</c:v>
                </c:pt>
                <c:pt idx="72">
                  <c:v>49972.370634092484</c:v>
                </c:pt>
                <c:pt idx="73">
                  <c:v>49975.196181263374</c:v>
                </c:pt>
                <c:pt idx="74">
                  <c:v>49977.733704635139</c:v>
                </c:pt>
                <c:pt idx="75">
                  <c:v>49980.012452753006</c:v>
                </c:pt>
                <c:pt idx="76">
                  <c:v>49982.058717399254</c:v>
                </c:pt>
                <c:pt idx="77">
                  <c:v>49983.896130859961</c:v>
                </c:pt>
                <c:pt idx="78">
                  <c:v>49985.545933508765</c:v>
                </c:pt>
                <c:pt idx="79">
                  <c:v>49987.027214645532</c:v>
                </c:pt>
                <c:pt idx="80">
                  <c:v>49988.357129240452</c:v>
                </c:pt>
                <c:pt idx="81">
                  <c:v>49989.55109297439</c:v>
                </c:pt>
                <c:pt idx="82">
                  <c:v>49990.622957731779</c:v>
                </c:pt>
                <c:pt idx="83">
                  <c:v>49991.585169490187</c:v>
                </c:pt>
                <c:pt idx="84">
                  <c:v>49992.448910359366</c:v>
                </c:pt>
                <c:pt idx="85">
                  <c:v>49993.224226349761</c:v>
                </c:pt>
                <c:pt idx="86">
                  <c:v>49993.920142294242</c:v>
                </c:pt>
                <c:pt idx="87">
                  <c:v>49994.544765206258</c:v>
                </c:pt>
                <c:pt idx="88">
                  <c:v>49995.105377230328</c:v>
                </c:pt>
                <c:pt idx="89">
                  <c:v>49995.608519226356</c:v>
                </c:pt>
                <c:pt idx="90">
                  <c:v>49996.060065925718</c:v>
                </c:pt>
              </c:numCache>
            </c:numRef>
          </c:xVal>
          <c:yVal>
            <c:numRef>
              <c:f>'Phase plot K'!$BD$8:$BD$98</c:f>
              <c:numCache>
                <c:formatCode>General</c:formatCode>
                <c:ptCount val="91"/>
                <c:pt idx="0">
                  <c:v>38476</c:v>
                </c:pt>
                <c:pt idx="1">
                  <c:v>29050.558104082731</c:v>
                </c:pt>
                <c:pt idx="2">
                  <c:v>22328.444114889411</c:v>
                </c:pt>
                <c:pt idx="3">
                  <c:v>17419.747593991982</c:v>
                </c:pt>
                <c:pt idx="4">
                  <c:v>13767.280072665788</c:v>
                </c:pt>
                <c:pt idx="5">
                  <c:v>11006.337805301644</c:v>
                </c:pt>
                <c:pt idx="6">
                  <c:v>8890.4204643098128</c:v>
                </c:pt>
                <c:pt idx="7">
                  <c:v>7248.7876872333609</c:v>
                </c:pt>
                <c:pt idx="8">
                  <c:v>5960.8286763283495</c:v>
                </c:pt>
                <c:pt idx="9">
                  <c:v>4939.9332913911176</c:v>
                </c:pt>
                <c:pt idx="10">
                  <c:v>4123.0170881036584</c:v>
                </c:pt>
                <c:pt idx="11">
                  <c:v>3463.5471631593282</c:v>
                </c:pt>
                <c:pt idx="12">
                  <c:v>2926.8040977774153</c:v>
                </c:pt>
                <c:pt idx="13">
                  <c:v>2486.6081418208096</c:v>
                </c:pt>
                <c:pt idx="14">
                  <c:v>2123.0239454590551</c:v>
                </c:pt>
                <c:pt idx="15">
                  <c:v>1820.7305454285508</c:v>
                </c:pt>
                <c:pt idx="16">
                  <c:v>1567.8503367433664</c:v>
                </c:pt>
                <c:pt idx="17">
                  <c:v>1355.0988559816778</c:v>
                </c:pt>
                <c:pt idx="18">
                  <c:v>1175.161427073089</c:v>
                </c:pt>
                <c:pt idx="19">
                  <c:v>1022.2319468034185</c:v>
                </c:pt>
                <c:pt idx="20">
                  <c:v>891.66869434501939</c:v>
                </c:pt>
                <c:pt idx="21">
                  <c:v>779.73537822532546</c:v>
                </c:pt>
                <c:pt idx="22">
                  <c:v>683.40480340396823</c:v>
                </c:pt>
                <c:pt idx="23">
                  <c:v>600.20891704124483</c:v>
                </c:pt>
                <c:pt idx="24">
                  <c:v>528.12346921176288</c:v>
                </c:pt>
                <c:pt idx="25">
                  <c:v>465.47869848630779</c:v>
                </c:pt>
                <c:pt idx="26">
                  <c:v>410.88972123529459</c:v>
                </c:pt>
                <c:pt idx="27">
                  <c:v>363.20193889143911</c:v>
                </c:pt>
                <c:pt idx="28">
                  <c:v>321.4479652975586</c:v>
                </c:pt>
                <c:pt idx="29">
                  <c:v>284.81344548208267</c:v>
                </c:pt>
                <c:pt idx="30">
                  <c:v>252.60977772541295</c:v>
                </c:pt>
                <c:pt idx="31">
                  <c:v>224.25222596131275</c:v>
                </c:pt>
                <c:pt idx="32">
                  <c:v>199.24226435814418</c:v>
                </c:pt>
                <c:pt idx="33">
                  <c:v>177.15326248478573</c:v>
                </c:pt>
                <c:pt idx="34">
                  <c:v>157.61882092361924</c:v>
                </c:pt>
                <c:pt idx="35">
                  <c:v>140.32322031875168</c:v>
                </c:pt>
                <c:pt idx="36">
                  <c:v>124.99356387639405</c:v>
                </c:pt>
                <c:pt idx="37">
                  <c:v>111.39328324776905</c:v>
                </c:pt>
                <c:pt idx="38">
                  <c:v>99.316747156576511</c:v>
                </c:pt>
                <c:pt idx="39">
                  <c:v>88.584766010759097</c:v>
                </c:pt>
                <c:pt idx="40">
                  <c:v>79.040827743459829</c:v>
                </c:pt>
                <c:pt idx="41">
                  <c:v>70.547933025796198</c:v>
                </c:pt>
                <c:pt idx="42">
                  <c:v>62.985923872232071</c:v>
                </c:pt>
                <c:pt idx="43">
                  <c:v>56.249220102308492</c:v>
                </c:pt>
                <c:pt idx="44">
                  <c:v>50.244894338508551</c:v>
                </c:pt>
                <c:pt idx="45">
                  <c:v>44.891029134737806</c:v>
                </c:pt>
                <c:pt idx="46">
                  <c:v>40.115310155684902</c:v>
                </c:pt>
                <c:pt idx="47">
                  <c:v>35.853817614814581</c:v>
                </c:pt>
                <c:pt idx="48">
                  <c:v>32.049984855312076</c:v>
                </c:pt>
                <c:pt idx="49">
                  <c:v>28.65369835698716</c:v>
                </c:pt>
                <c:pt idx="50">
                  <c:v>25.620517833490865</c:v>
                </c:pt>
                <c:pt idx="51">
                  <c:v>22.910998652766224</c:v>
                </c:pt>
                <c:pt idx="52">
                  <c:v>20.490101730645666</c:v>
                </c:pt>
                <c:pt idx="53">
                  <c:v>18.326678440386591</c:v>
                </c:pt>
                <c:pt idx="54">
                  <c:v>16.393020050830025</c:v>
                </c:pt>
                <c:pt idx="55">
                  <c:v>14.66446283326664</c:v>
                </c:pt>
                <c:pt idx="56">
                  <c:v>13.119041326269791</c:v>
                </c:pt>
                <c:pt idx="57">
                  <c:v>11.737183370181938</c:v>
                </c:pt>
                <c:pt idx="58">
                  <c:v>10.501441459972417</c:v>
                </c:pt>
                <c:pt idx="59">
                  <c:v>9.3962557501413766</c:v>
                </c:pt>
                <c:pt idx="60">
                  <c:v>8.4077447051543697</c:v>
                </c:pt>
                <c:pt idx="61">
                  <c:v>7.5235199453791477</c:v>
                </c:pt>
                <c:pt idx="62">
                  <c:v>6.7325223094012596</c:v>
                </c:pt>
                <c:pt idx="63">
                  <c:v>6.024876553380925</c:v>
                </c:pt>
                <c:pt idx="64">
                  <c:v>5.3917624486057161</c:v>
                </c:pt>
                <c:pt idx="65">
                  <c:v>4.8253003292890764</c:v>
                </c:pt>
                <c:pt idx="66">
                  <c:v>4.3184493919396214</c:v>
                </c:pt>
                <c:pt idx="67">
                  <c:v>3.8649172618601919</c:v>
                </c:pt>
                <c:pt idx="68">
                  <c:v>3.45907952697323</c:v>
                </c:pt>
                <c:pt idx="69">
                  <c:v>3.0959080987290157</c:v>
                </c:pt>
                <c:pt idx="70">
                  <c:v>2.7709073980977554</c:v>
                </c:pt>
                <c:pt idx="71">
                  <c:v>2.4800574847172627</c:v>
                </c:pt>
                <c:pt idx="72">
                  <c:v>2.2197633517971318</c:v>
                </c:pt>
                <c:pt idx="73">
                  <c:v>1.9868097005796763</c:v>
                </c:pt>
                <c:pt idx="74">
                  <c:v>1.7783205878921178</c:v>
                </c:pt>
                <c:pt idx="75">
                  <c:v>1.5917234101702364</c:v>
                </c:pt>
                <c:pt idx="76">
                  <c:v>1.424716748628361</c:v>
                </c:pt>
                <c:pt idx="77">
                  <c:v>1.2752416541320322</c:v>
                </c:pt>
                <c:pt idx="78">
                  <c:v>1.1414559977689573</c:v>
                </c:pt>
                <c:pt idx="79">
                  <c:v>1.0217115549420337</c:v>
                </c:pt>
                <c:pt idx="80">
                  <c:v>0.91453352773860019</c:v>
                </c:pt>
                <c:pt idx="81">
                  <c:v>0.81860224297662765</c:v>
                </c:pt>
                <c:pt idx="82">
                  <c:v>0.73273679222114818</c:v>
                </c:pt>
                <c:pt idx="83">
                  <c:v>0.65588040566132588</c:v>
                </c:pt>
                <c:pt idx="84">
                  <c:v>0.58708737443785042</c:v>
                </c:pt>
                <c:pt idx="85">
                  <c:v>0.5255113561575363</c:v>
                </c:pt>
                <c:pt idx="86">
                  <c:v>0.47039491622842888</c:v>
                </c:pt>
                <c:pt idx="87">
                  <c:v>0.42106017355742481</c:v>
                </c:pt>
                <c:pt idx="88">
                  <c:v>0.37690043330361944</c:v>
                </c:pt>
                <c:pt idx="89">
                  <c:v>0.33737270197607777</c:v>
                </c:pt>
                <c:pt idx="90">
                  <c:v>0.30199099138169938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33-4941-ADC0-FB93FC15165A}"/>
            </c:ext>
          </c:extLst>
        </c:ser>
        <c:ser>
          <c:idx val="2"/>
          <c:order val="2"/>
          <c:tx>
            <c:strRef>
              <c:f>'Phase plot K'!$BJ$7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'Phase plot K'!$BI$8:$BI$98</c:f>
              <c:numCache>
                <c:formatCode>General</c:formatCode>
                <c:ptCount val="91"/>
                <c:pt idx="0">
                  <c:v>9471</c:v>
                </c:pt>
                <c:pt idx="1">
                  <c:v>12785.882952963319</c:v>
                </c:pt>
                <c:pt idx="2">
                  <c:v>15717.545951952799</c:v>
                </c:pt>
                <c:pt idx="3">
                  <c:v>18384.888347712062</c:v>
                </c:pt>
                <c:pt idx="4">
                  <c:v>20849.304764314602</c:v>
                </c:pt>
                <c:pt idx="5">
                  <c:v>23143.551405650513</c:v>
                </c:pt>
                <c:pt idx="6">
                  <c:v>25285.854386989766</c:v>
                </c:pt>
                <c:pt idx="7">
                  <c:v>27287.124708499166</c:v>
                </c:pt>
                <c:pt idx="8">
                  <c:v>29154.737633915647</c:v>
                </c:pt>
                <c:pt idx="9">
                  <c:v>30894.51690526291</c:v>
                </c:pt>
                <c:pt idx="10">
                  <c:v>32511.751479610128</c:v>
                </c:pt>
                <c:pt idx="11">
                  <c:v>34011.68303656653</c:v>
                </c:pt>
                <c:pt idx="12">
                  <c:v>35399.704669025181</c:v>
                </c:pt>
                <c:pt idx="13">
                  <c:v>36681.40570622708</c:v>
                </c:pt>
                <c:pt idx="14">
                  <c:v>37862.539225369146</c:v>
                </c:pt>
                <c:pt idx="15">
                  <c:v>38948.955567115619</c:v>
                </c:pt>
                <c:pt idx="16">
                  <c:v>39946.525905413211</c:v>
                </c:pt>
                <c:pt idx="17">
                  <c:v>40861.068664063016</c:v>
                </c:pt>
                <c:pt idx="18">
                  <c:v>41698.285005220161</c:v>
                </c:pt>
                <c:pt idx="19">
                  <c:v>42463.705835412584</c:v>
                </c:pt>
                <c:pt idx="20">
                  <c:v>43162.65066321769</c:v>
                </c:pt>
                <c:pt idx="21">
                  <c:v>43800.197528686396</c:v>
                </c:pt>
                <c:pt idx="22">
                  <c:v>44381.162701383117</c:v>
                </c:pt>
                <c:pt idx="23">
                  <c:v>44910.088663619616</c:v>
                </c:pt>
                <c:pt idx="24">
                  <c:v>45391.238906951294</c:v>
                </c:pt>
                <c:pt idx="25">
                  <c:v>45828.598181694091</c:v>
                </c:pt>
                <c:pt idx="26">
                  <c:v>46225.876996388164</c:v>
                </c:pt>
                <c:pt idx="27">
                  <c:v>46586.519334885292</c:v>
                </c:pt>
                <c:pt idx="28">
                  <c:v>46913.712725249621</c:v>
                </c:pt>
                <c:pt idx="29">
                  <c:v>47210.399947711798</c:v>
                </c:pt>
                <c:pt idx="30">
                  <c:v>47479.291804442728</c:v>
                </c:pt>
                <c:pt idx="31">
                  <c:v>47722.880490870346</c:v>
                </c:pt>
                <c:pt idx="32">
                  <c:v>47943.453207287144</c:v>
                </c:pt>
                <c:pt idx="33">
                  <c:v>48143.105732089614</c:v>
                </c:pt>
                <c:pt idx="34">
                  <c:v>48323.755746025396</c:v>
                </c:pt>
                <c:pt idx="35">
                  <c:v>48487.155752253995</c:v>
                </c:pt>
                <c:pt idx="36">
                  <c:v>48634.905481729285</c:v>
                </c:pt>
                <c:pt idx="37">
                  <c:v>48768.463709102012</c:v>
                </c:pt>
                <c:pt idx="38">
                  <c:v>48889.159432539287</c:v>
                </c:pt>
                <c:pt idx="39">
                  <c:v>48998.202392884879</c:v>
                </c:pt>
                <c:pt idx="40">
                  <c:v>49096.692924565104</c:v>
                </c:pt>
                <c:pt idx="41">
                  <c:v>49185.631143531005</c:v>
                </c:pt>
                <c:pt idx="42">
                  <c:v>49265.925487112065</c:v>
                </c:pt>
                <c:pt idx="43">
                  <c:v>49338.400627598647</c:v>
                </c:pt>
                <c:pt idx="44">
                  <c:v>49403.804786212306</c:v>
                </c:pt>
                <c:pt idx="45">
                  <c:v>49462.816477309127</c:v>
                </c:pt>
                <c:pt idx="46">
                  <c:v>49516.050714553799</c:v>
                </c:pt>
                <c:pt idx="47">
                  <c:v>49564.064711694387</c:v>
                </c:pt>
                <c:pt idx="48">
                  <c:v>49607.363110696977</c:v>
                </c:pt>
                <c:pt idx="49">
                  <c:v>49646.40276955528</c:v>
                </c:pt>
                <c:pt idx="50">
                  <c:v>49681.59714122524</c:v>
                </c:pt>
                <c:pt idx="51">
                  <c:v>49713.320273968864</c:v>
                </c:pt>
                <c:pt idx="52">
                  <c:v>49741.910462020242</c:v>
                </c:pt>
                <c:pt idx="53">
                  <c:v>49767.673573984663</c:v>
                </c:pt>
                <c:pt idx="54">
                  <c:v>49790.886084806378</c:v>
                </c:pt>
                <c:pt idx="55">
                  <c:v>49811.797835536752</c:v>
                </c:pt>
                <c:pt idx="56">
                  <c:v>49830.634543535416</c:v>
                </c:pt>
                <c:pt idx="57">
                  <c:v>49847.600084168349</c:v>
                </c:pt>
                <c:pt idx="58">
                  <c:v>49862.878563545833</c:v>
                </c:pt>
                <c:pt idx="59">
                  <c:v>49876.636200383851</c:v>
                </c:pt>
                <c:pt idx="60">
                  <c:v>49889.023033682344</c:v>
                </c:pt>
                <c:pt idx="61">
                  <c:v>49900.17447159873</c:v>
                </c:pt>
                <c:pt idx="62">
                  <c:v>49910.21269565753</c:v>
                </c:pt>
                <c:pt idx="63">
                  <c:v>49919.247933277817</c:v>
                </c:pt>
                <c:pt idx="64">
                  <c:v>49927.379610518765</c:v>
                </c:pt>
                <c:pt idx="65">
                  <c:v>49934.697395937706</c:v>
                </c:pt>
                <c:pt idx="66">
                  <c:v>49941.282145522855</c:v>
                </c:pt>
                <c:pt idx="67">
                  <c:v>49947.206757800341</c:v>
                </c:pt>
                <c:pt idx="68">
                  <c:v>49952.536947419525</c:v>
                </c:pt>
                <c:pt idx="69">
                  <c:v>49957.331944787693</c:v>
                </c:pt>
                <c:pt idx="70">
                  <c:v>49961.645128651529</c:v>
                </c:pt>
                <c:pt idx="71">
                  <c:v>49965.524597904419</c:v>
                </c:pt>
                <c:pt idx="72">
                  <c:v>49969.013688331659</c:v>
                </c:pt>
                <c:pt idx="73">
                  <c:v>49972.151439486966</c:v>
                </c:pt>
                <c:pt idx="74">
                  <c:v>49974.973016419004</c:v>
                </c:pt>
                <c:pt idx="75">
                  <c:v>49977.510090533309</c:v>
                </c:pt>
                <c:pt idx="76">
                  <c:v>49979.791183479385</c:v>
                </c:pt>
                <c:pt idx="77">
                  <c:v>49981.841977592136</c:v>
                </c:pt>
                <c:pt idx="78">
                  <c:v>49983.685596088064</c:v>
                </c:pt>
                <c:pt idx="79">
                  <c:v>49985.342855917581</c:v>
                </c:pt>
                <c:pt idx="80">
                  <c:v>49986.832495902454</c:v>
                </c:pt>
                <c:pt idx="81">
                  <c:v>49988.171382539877</c:v>
                </c:pt>
                <c:pt idx="82">
                  <c:v>49989.374695629791</c:v>
                </c:pt>
                <c:pt idx="83">
                  <c:v>49990.456095677575</c:v>
                </c:pt>
                <c:pt idx="84">
                  <c:v>49991.427874838875</c:v>
                </c:pt>
                <c:pt idx="85">
                  <c:v>49992.301093004899</c:v>
                </c:pt>
                <c:pt idx="86">
                  <c:v>49993.085700473843</c:v>
                </c:pt>
                <c:pt idx="87">
                  <c:v>49993.790648515707</c:v>
                </c:pt>
                <c:pt idx="88">
                  <c:v>49994.423989012197</c:v>
                </c:pt>
                <c:pt idx="89">
                  <c:v>49994.992964239784</c:v>
                </c:pt>
                <c:pt idx="90">
                  <c:v>49995.504087761001</c:v>
                </c:pt>
              </c:numCache>
            </c:numRef>
          </c:xVal>
          <c:yVal>
            <c:numRef>
              <c:f>'Phase plot K'!$BJ$8:$BJ$98</c:f>
              <c:numCache>
                <c:formatCode>General</c:formatCode>
                <c:ptCount val="91"/>
                <c:pt idx="0">
                  <c:v>40529</c:v>
                </c:pt>
                <c:pt idx="1">
                  <c:v>31539.82136593695</c:v>
                </c:pt>
                <c:pt idx="2">
                  <c:v>24821.849042381698</c:v>
                </c:pt>
                <c:pt idx="3">
                  <c:v>19732.766763264735</c:v>
                </c:pt>
                <c:pt idx="4">
                  <c:v>15832.774221881416</c:v>
                </c:pt>
                <c:pt idx="5">
                  <c:v>12812.97507861084</c:v>
                </c:pt>
                <c:pt idx="6">
                  <c:v>10452.373544851078</c:v>
                </c:pt>
                <c:pt idx="7">
                  <c:v>8590.5785802989976</c:v>
                </c:pt>
                <c:pt idx="8">
                  <c:v>7109.7975223582189</c:v>
                </c:pt>
                <c:pt idx="9">
                  <c:v>5922.6280069516888</c:v>
                </c:pt>
                <c:pt idx="10">
                  <c:v>4963.6126630471263</c:v>
                </c:pt>
                <c:pt idx="11">
                  <c:v>4183.3056791771878</c:v>
                </c:pt>
                <c:pt idx="12">
                  <c:v>3544.0518022276306</c:v>
                </c:pt>
                <c:pt idx="13">
                  <c:v>3016.9517660118449</c:v>
                </c:pt>
                <c:pt idx="14">
                  <c:v>2579.6604046867687</c:v>
                </c:pt>
                <c:pt idx="15">
                  <c:v>2214.7755106146765</c:v>
                </c:pt>
                <c:pt idx="16">
                  <c:v>1908.6497302728633</c:v>
                </c:pt>
                <c:pt idx="17">
                  <c:v>1650.5079534153958</c:v>
                </c:pt>
                <c:pt idx="18">
                  <c:v>1431.7870217116099</c:v>
                </c:pt>
                <c:pt idx="19">
                  <c:v>1245.6384050515785</c:v>
                </c:pt>
                <c:pt idx="20">
                  <c:v>1086.5511653868718</c:v>
                </c:pt>
                <c:pt idx="21">
                  <c:v>950.06429547584366</c:v>
                </c:pt>
                <c:pt idx="22">
                  <c:v>832.54589013453563</c:v>
                </c:pt>
                <c:pt idx="23">
                  <c:v>731.02260398875876</c:v>
                </c:pt>
                <c:pt idx="24">
                  <c:v>643.04717449989369</c:v>
                </c:pt>
                <c:pt idx="25">
                  <c:v>566.59492828362579</c:v>
                </c:pt>
                <c:pt idx="26">
                  <c:v>499.98248157453554</c:v>
                </c:pt>
                <c:pt idx="27">
                  <c:v>441.80353038407088</c:v>
                </c:pt>
                <c:pt idx="28">
                  <c:v>390.87787098496989</c:v>
                </c:pt>
                <c:pt idx="29">
                  <c:v>346.21071678058712</c:v>
                </c:pt>
                <c:pt idx="30">
                  <c:v>306.9600692678892</c:v>
                </c:pt>
                <c:pt idx="31">
                  <c:v>272.41042052997886</c:v>
                </c:pt>
                <c:pt idx="32">
                  <c:v>241.95145729299958</c:v>
                </c:pt>
                <c:pt idx="33">
                  <c:v>215.06073467376652</c:v>
                </c:pt>
                <c:pt idx="34">
                  <c:v>191.28951521125148</c:v>
                </c:pt>
                <c:pt idx="35">
                  <c:v>170.25114319480141</c:v>
                </c:pt>
                <c:pt idx="36">
                  <c:v>151.61145867868362</c:v>
                </c:pt>
                <c:pt idx="37">
                  <c:v>135.08085957531006</c:v>
                </c:pt>
                <c:pt idx="38">
                  <c:v>120.4077010733814</c:v>
                </c:pt>
                <c:pt idx="39">
                  <c:v>107.3727847572604</c:v>
                </c:pt>
                <c:pt idx="40">
                  <c:v>95.784739302939755</c:v>
                </c:pt>
                <c:pt idx="41">
                  <c:v>85.47613359604955</c:v>
                </c:pt>
                <c:pt idx="42">
                  <c:v>76.300193920190878</c:v>
                </c:pt>
                <c:pt idx="43">
                  <c:v>68.128021305506891</c:v>
                </c:pt>
                <c:pt idx="44">
                  <c:v>60.846224594790989</c:v>
                </c:pt>
                <c:pt idx="45">
                  <c:v>54.354900347173313</c:v>
                </c:pt>
                <c:pt idx="46">
                  <c:v>48.565903185679652</c:v>
                </c:pt>
                <c:pt idx="47">
                  <c:v>43.401360248446018</c:v>
                </c:pt>
                <c:pt idx="48">
                  <c:v>38.792391526354287</c:v>
                </c:pt>
                <c:pt idx="49">
                  <c:v>34.678004455643304</c:v>
                </c:pt>
                <c:pt idx="50">
                  <c:v>31.00413649173278</c:v>
                </c:pt>
                <c:pt idx="51">
                  <c:v>27.722823763806282</c:v>
                </c:pt>
                <c:pt idx="52">
                  <c:v>24.791477491464597</c:v>
                </c:pt>
                <c:pt idx="53">
                  <c:v>22.172252788031699</c:v>
                </c:pt>
                <c:pt idx="54">
                  <c:v>19.831496901727142</c:v>
                </c:pt>
                <c:pt idx="55">
                  <c:v>17.739265953222763</c:v>
                </c:pt>
                <c:pt idx="56">
                  <c:v>15.868900894020328</c:v>
                </c:pt>
                <c:pt idx="57">
                  <c:v>14.196654797229616</c:v>
                </c:pt>
                <c:pt idx="58">
                  <c:v>12.701364751128169</c:v>
                </c:pt>
                <c:pt idx="59">
                  <c:v>11.364162597087155</c:v>
                </c:pt>
                <c:pt idx="60">
                  <c:v>10.168219570055907</c:v>
                </c:pt>
                <c:pt idx="61">
                  <c:v>9.0985205886190492</c:v>
                </c:pt>
                <c:pt idx="62">
                  <c:v>8.1416645245103805</c:v>
                </c:pt>
                <c:pt idx="63">
                  <c:v>7.2856872762213127</c:v>
                </c:pt>
                <c:pt idx="64">
                  <c:v>6.5199048925850072</c:v>
                </c:pt>
                <c:pt idx="65">
                  <c:v>5.8347743519460886</c:v>
                </c:pt>
                <c:pt idx="66">
                  <c:v>5.2217699106193303</c:v>
                </c:pt>
                <c:pt idx="67">
                  <c:v>4.6732731989579914</c:v>
                </c:pt>
                <c:pt idx="68">
                  <c:v>4.1824754712512888</c:v>
                </c:pt>
                <c:pt idx="69">
                  <c:v>3.7432906124637655</c:v>
                </c:pt>
                <c:pt idx="70">
                  <c:v>3.35027767519292</c:v>
                </c:pt>
                <c:pt idx="71">
                  <c:v>2.9985718680618132</c:v>
                </c:pt>
                <c:pt idx="72">
                  <c:v>2.6838230453538783</c:v>
                </c:pt>
                <c:pt idx="73">
                  <c:v>2.4021408597887257</c:v>
                </c:pt>
                <c:pt idx="74">
                  <c:v>2.1500458382491985</c:v>
                </c:pt>
                <c:pt idx="75">
                  <c:v>1.9244257259615618</c:v>
                </c:pt>
                <c:pt idx="76">
                  <c:v>1.7224965197646602</c:v>
                </c:pt>
                <c:pt idx="77">
                  <c:v>1.5417676770935389</c:v>
                </c:pt>
                <c:pt idx="78">
                  <c:v>1.3800110453538208</c:v>
                </c:pt>
                <c:pt idx="79">
                  <c:v>1.2352331075059413</c:v>
                </c:pt>
                <c:pt idx="80">
                  <c:v>1.105650184797301</c:v>
                </c:pt>
                <c:pt idx="81">
                  <c:v>0.98966627743578317</c:v>
                </c:pt>
                <c:pt idx="82">
                  <c:v>0.88585325924540148</c:v>
                </c:pt>
                <c:pt idx="83">
                  <c:v>0.79293317355073989</c:v>
                </c:pt>
                <c:pt idx="84">
                  <c:v>0.70976240519225042</c:v>
                </c:pt>
                <c:pt idx="85">
                  <c:v>0.63531752810583797</c:v>
                </c:pt>
                <c:pt idx="86">
                  <c:v>0.56868264967863935</c:v>
                </c:pt>
                <c:pt idx="87">
                  <c:v>0.5090380924422836</c:v>
                </c:pt>
                <c:pt idx="88">
                  <c:v>0.45565027086820403</c:v>
                </c:pt>
                <c:pt idx="89">
                  <c:v>0.40786263633457764</c:v>
                </c:pt>
                <c:pt idx="90">
                  <c:v>0.36508757695860877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33-4941-ADC0-FB93FC15165A}"/>
            </c:ext>
          </c:extLst>
        </c:ser>
        <c:ser>
          <c:idx val="3"/>
          <c:order val="3"/>
          <c:tx>
            <c:strRef>
              <c:f>'Phase plot K'!$BG$7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K'!$BF$8:$BF$98</c:f>
              <c:numCache>
                <c:formatCode>General</c:formatCode>
                <c:ptCount val="91"/>
                <c:pt idx="0">
                  <c:v>0</c:v>
                </c:pt>
                <c:pt idx="1">
                  <c:v>5742.6100828671588</c:v>
                </c:pt>
                <c:pt idx="2">
                  <c:v>10807.288624858804</c:v>
                </c:pt>
                <c:pt idx="3">
                  <c:v>15281.956753388527</c:v>
                </c:pt>
                <c:pt idx="4">
                  <c:v>19239.769240061272</c:v>
                </c:pt>
                <c:pt idx="5">
                  <c:v>22742.937859378781</c:v>
                </c:pt>
                <c:pt idx="6">
                  <c:v>25845.129632268265</c:v>
                </c:pt>
                <c:pt idx="7">
                  <c:v>28593.073369466281</c:v>
                </c:pt>
                <c:pt idx="8">
                  <c:v>31027.704426825141</c:v>
                </c:pt>
                <c:pt idx="9">
                  <c:v>33185.025865971955</c:v>
                </c:pt>
                <c:pt idx="10">
                  <c:v>35096.78577813795</c:v>
                </c:pt>
                <c:pt idx="11">
                  <c:v>36791.028726374367</c:v>
                </c:pt>
                <c:pt idx="12">
                  <c:v>38292.556335965834</c:v>
                </c:pt>
                <c:pt idx="13">
                  <c:v>39623.31913276681</c:v>
                </c:pt>
                <c:pt idx="14">
                  <c:v>40802.754224664655</c:v>
                </c:pt>
                <c:pt idx="15">
                  <c:v>41848.078931416378</c:v>
                </c:pt>
                <c:pt idx="16">
                  <c:v>42774.547691380612</c:v>
                </c:pt>
                <c:pt idx="17">
                  <c:v>43595.677792912837</c:v>
                </c:pt>
                <c:pt idx="18">
                  <c:v>44323.448290248481</c:v>
                </c:pt>
                <c:pt idx="19">
                  <c:v>44968.475637663614</c:v>
                </c:pt>
                <c:pt idx="20">
                  <c:v>45540.168976869762</c:v>
                </c:pt>
                <c:pt idx="21">
                  <c:v>46046.867560900289</c:v>
                </c:pt>
                <c:pt idx="22">
                  <c:v>46495.962444643257</c:v>
                </c:pt>
                <c:pt idx="23">
                  <c:v>46894.004287616415</c:v>
                </c:pt>
                <c:pt idx="24">
                  <c:v>47246.79887950889</c:v>
                </c:pt>
                <c:pt idx="25">
                  <c:v>47559.491801026263</c:v>
                </c:pt>
                <c:pt idx="26">
                  <c:v>47836.643463351036</c:v>
                </c:pt>
                <c:pt idx="27">
                  <c:v>48082.295623305617</c:v>
                </c:pt>
                <c:pt idx="28">
                  <c:v>48300.030343946011</c:v>
                </c:pt>
                <c:pt idx="29">
                  <c:v>48493.022258752579</c:v>
                </c:pt>
                <c:pt idx="30">
                  <c:v>48664.084899462752</c:v>
                </c:pt>
                <c:pt idx="31">
                  <c:v>48815.711761043298</c:v>
                </c:pt>
                <c:pt idx="32">
                  <c:v>48950.112700809397</c:v>
                </c:pt>
                <c:pt idx="33">
                  <c:v>49069.246201003749</c:v>
                </c:pt>
                <c:pt idx="34">
                  <c:v>49174.84796418374</c:v>
                </c:pt>
                <c:pt idx="35">
                  <c:v>49268.456257614263</c:v>
                </c:pt>
                <c:pt idx="36">
                  <c:v>49351.434375734891</c:v>
                </c:pt>
                <c:pt idx="37">
                  <c:v>49424.99054797156</c:v>
                </c:pt>
                <c:pt idx="38">
                  <c:v>49490.195582086977</c:v>
                </c:pt>
                <c:pt idx="39">
                  <c:v>49547.998500375717</c:v>
                </c:pt>
                <c:pt idx="40">
                  <c:v>49599.240396836649</c:v>
                </c:pt>
                <c:pt idx="41">
                  <c:v>49644.666717578148</c:v>
                </c:pt>
                <c:pt idx="42">
                  <c:v>49684.938143759486</c:v>
                </c:pt>
                <c:pt idx="43">
                  <c:v>49720.640236015897</c:v>
                </c:pt>
                <c:pt idx="44">
                  <c:v>49752.291981262359</c:v>
                </c:pt>
                <c:pt idx="45">
                  <c:v>49780.353366763236</c:v>
                </c:pt>
                <c:pt idx="46">
                  <c:v>49805.232092160826</c:v>
                </c:pt>
                <c:pt idx="47">
                  <c:v>49827.28951757108</c:v>
                </c:pt>
                <c:pt idx="48">
                  <c:v>49846.845934697762</c:v>
                </c:pt>
                <c:pt idx="49">
                  <c:v>49864.185238025457</c:v>
                </c:pt>
                <c:pt idx="50">
                  <c:v>49879.559064384463</c:v>
                </c:pt>
                <c:pt idx="51">
                  <c:v>49893.190461408849</c:v>
                </c:pt>
                <c:pt idx="52">
                  <c:v>49905.277138521036</c:v>
                </c:pt>
                <c:pt idx="53">
                  <c:v>49915.994347970831</c:v>
                </c:pt>
                <c:pt idx="54">
                  <c:v>49925.497438046295</c:v>
                </c:pt>
                <c:pt idx="55">
                  <c:v>49933.924115778449</c:v>
                </c:pt>
                <c:pt idx="56">
                  <c:v>49941.39645221227</c:v>
                </c:pt>
                <c:pt idx="57">
                  <c:v>49948.022659550472</c:v>
                </c:pt>
                <c:pt idx="58">
                  <c:v>49953.898666139321</c:v>
                </c:pt>
                <c:pt idx="59">
                  <c:v>49959.109512308365</c:v>
                </c:pt>
                <c:pt idx="60">
                  <c:v>49963.730587455517</c:v>
                </c:pt>
                <c:pt idx="61">
                  <c:v>49967.828726446649</c:v>
                </c:pt>
                <c:pt idx="62">
                  <c:v>49971.463181341293</c:v>
                </c:pt>
                <c:pt idx="63">
                  <c:v>49974.686482632664</c:v>
                </c:pt>
                <c:pt idx="64">
                  <c:v>49977.545202574598</c:v>
                </c:pt>
                <c:pt idx="65">
                  <c:v>49980.080631736433</c:v>
                </c:pt>
                <c:pt idx="66">
                  <c:v>49982.329378658302</c:v>
                </c:pt>
                <c:pt idx="67">
                  <c:v>49984.323901355208</c:v>
                </c:pt>
                <c:pt idx="68">
                  <c:v>49986.092978422465</c:v>
                </c:pt>
                <c:pt idx="69">
                  <c:v>49987.662126612246</c:v>
                </c:pt>
                <c:pt idx="70">
                  <c:v>49989.053970969246</c:v>
                </c:pt>
                <c:pt idx="71">
                  <c:v>49990.288572920334</c:v>
                </c:pt>
                <c:pt idx="72">
                  <c:v>49991.383721099141</c:v>
                </c:pt>
                <c:pt idx="73">
                  <c:v>49992.355189142385</c:v>
                </c:pt>
                <c:pt idx="74">
                  <c:v>49993.216964212697</c:v>
                </c:pt>
                <c:pt idx="75">
                  <c:v>49993.981449575323</c:v>
                </c:pt>
                <c:pt idx="76">
                  <c:v>49994.659644177751</c:v>
                </c:pt>
                <c:pt idx="77">
                  <c:v>49995.26130184556</c:v>
                </c:pt>
                <c:pt idx="78">
                  <c:v>49995.795072410729</c:v>
                </c:pt>
                <c:pt idx="79">
                  <c:v>49996.268626825127</c:v>
                </c:pt>
                <c:pt idx="80">
                  <c:v>49996.688768078428</c:v>
                </c:pt>
                <c:pt idx="81">
                  <c:v>49997.061529532904</c:v>
                </c:pt>
                <c:pt idx="82">
                  <c:v>49997.392262104149</c:v>
                </c:pt>
                <c:pt idx="83">
                  <c:v>49997.685711554303</c:v>
                </c:pt>
                <c:pt idx="84">
                  <c:v>49997.946087020529</c:v>
                </c:pt>
                <c:pt idx="85">
                  <c:v>49998.177121773631</c:v>
                </c:pt>
                <c:pt idx="86">
                  <c:v>49998.382127088873</c:v>
                </c:pt>
                <c:pt idx="87">
                  <c:v>49998.564040010671</c:v>
                </c:pt>
                <c:pt idx="88">
                  <c:v>49998.725465704141</c:v>
                </c:pt>
                <c:pt idx="89">
                  <c:v>49998.868715007615</c:v>
                </c:pt>
                <c:pt idx="90">
                  <c:v>49998.995837730661</c:v>
                </c:pt>
              </c:numCache>
            </c:numRef>
          </c:xVal>
          <c:yVal>
            <c:numRef>
              <c:f>'Phase plot K'!$BG$8:$BG$98</c:f>
              <c:numCache>
                <c:formatCode>General</c:formatCode>
                <c:ptCount val="91"/>
                <c:pt idx="0">
                  <c:v>1654</c:v>
                </c:pt>
                <c:pt idx="1">
                  <c:v>1249.3793249670614</c:v>
                </c:pt>
                <c:pt idx="2">
                  <c:v>962.33556133732577</c:v>
                </c:pt>
                <c:pt idx="3">
                  <c:v>754.10518985839315</c:v>
                </c:pt>
                <c:pt idx="4">
                  <c:v>599.98346487480626</c:v>
                </c:pt>
                <c:pt idx="5">
                  <c:v>483.82155103335725</c:v>
                </c:pt>
                <c:pt idx="6">
                  <c:v>394.81918506722218</c:v>
                </c:pt>
                <c:pt idx="7">
                  <c:v>325.60142749449153</c:v>
                </c:pt>
                <c:pt idx="8">
                  <c:v>271.0356346941399</c:v>
                </c:pt>
                <c:pt idx="9">
                  <c:v>227.48674727668904</c:v>
                </c:pt>
                <c:pt idx="10">
                  <c:v>192.33850070154853</c:v>
                </c:pt>
                <c:pt idx="11">
                  <c:v>163.67957875692321</c:v>
                </c:pt>
                <c:pt idx="12">
                  <c:v>140.09417569000854</c:v>
                </c:pt>
                <c:pt idx="13">
                  <c:v>120.5198998540762</c:v>
                </c:pt>
                <c:pt idx="14">
                  <c:v>104.14987262844657</c:v>
                </c:pt>
                <c:pt idx="15">
                  <c:v>90.364304480397493</c:v>
                </c:pt>
                <c:pt idx="16">
                  <c:v>78.682029925039686</c:v>
                </c:pt>
                <c:pt idx="17">
                  <c:v>68.725748151122218</c:v>
                </c:pt>
                <c:pt idx="18">
                  <c:v>60.196800073818146</c:v>
                </c:pt>
                <c:pt idx="19">
                  <c:v>52.856663328604178</c:v>
                </c:pt>
                <c:pt idx="20">
                  <c:v>46.513234932168778</c:v>
                </c:pt>
                <c:pt idx="21">
                  <c:v>41.010563373221508</c:v>
                </c:pt>
                <c:pt idx="22">
                  <c:v>36.221091597627407</c:v>
                </c:pt>
                <c:pt idx="23">
                  <c:v>32.039745481635265</c:v>
                </c:pt>
                <c:pt idx="24">
                  <c:v>28.379391169060785</c:v>
                </c:pt>
                <c:pt idx="25">
                  <c:v>25.167316549218022</c:v>
                </c:pt>
                <c:pt idx="26">
                  <c:v>22.342485259286988</c:v>
                </c:pt>
                <c:pt idx="27">
                  <c:v>19.85337795844514</c:v>
                </c:pt>
                <c:pt idx="28">
                  <c:v>17.656283360136086</c:v>
                </c:pt>
                <c:pt idx="29">
                  <c:v>15.713936151023164</c:v>
                </c:pt>
                <c:pt idx="30">
                  <c:v>13.994424272258952</c:v>
                </c:pt>
                <c:pt idx="31">
                  <c:v>12.470306730714523</c:v>
                </c:pt>
                <c:pt idx="32">
                  <c:v>11.117896994960853</c:v>
                </c:pt>
                <c:pt idx="33">
                  <c:v>9.9166774212040405</c:v>
                </c:pt>
                <c:pt idx="34">
                  <c:v>8.8488179807124343</c:v>
                </c:pt>
                <c:pt idx="35">
                  <c:v>7.8987784928715232</c:v>
                </c:pt>
                <c:pt idx="36">
                  <c:v>7.0529780923602763</c:v>
                </c:pt>
                <c:pt idx="37">
                  <c:v>6.2995191292766153</c:v>
                </c:pt>
                <c:pt idx="38">
                  <c:v>5.6279553775950664</c:v>
                </c:pt>
                <c:pt idx="39">
                  <c:v>5.0290965025993755</c:v>
                </c:pt>
                <c:pt idx="40">
                  <c:v>4.4948423551668366</c:v>
                </c:pt>
                <c:pt idx="41">
                  <c:v>4.0180419272739591</c:v>
                </c:pt>
                <c:pt idx="42">
                  <c:v>3.5923727996441936</c:v>
                </c:pt>
                <c:pt idx="43">
                  <c:v>3.2122377002522358</c:v>
                </c:pt>
                <c:pt idx="44">
                  <c:v>2.8726754180069163</c:v>
                </c:pt>
                <c:pt idx="45">
                  <c:v>2.56928381497791</c:v>
                </c:pt>
                <c:pt idx="46">
                  <c:v>2.2981530803848407</c:v>
                </c:pt>
                <c:pt idx="47">
                  <c:v>2.0558076913604952</c:v>
                </c:pt>
                <c:pt idx="48">
                  <c:v>1.839155805611439</c:v>
                </c:pt>
                <c:pt idx="49">
                  <c:v>1.6454450222766184</c:v>
                </c:pt>
                <c:pt idx="50">
                  <c:v>1.4722236194872189</c:v>
                </c:pt>
                <c:pt idx="51">
                  <c:v>1.3173065181699832</c:v>
                </c:pt>
                <c:pt idx="52">
                  <c:v>1.1787453376594164</c:v>
                </c:pt>
                <c:pt idx="53">
                  <c:v>1.0548020045481996</c:v>
                </c:pt>
                <c:pt idx="54">
                  <c:v>0.94392545575924691</c:v>
                </c:pt>
                <c:pt idx="55">
                  <c:v>0.84473104312916825</c:v>
                </c:pt>
                <c:pt idx="56">
                  <c:v>0.75598230229540342</c:v>
                </c:pt>
                <c:pt idx="57">
                  <c:v>0.67657479533535281</c:v>
                </c:pt>
                <c:pt idx="58">
                  <c:v>0.6055217759885928</c:v>
                </c:pt>
                <c:pt idx="59">
                  <c:v>0.54194145967147767</c:v>
                </c:pt>
                <c:pt idx="60">
                  <c:v>0.48504570889400878</c:v>
                </c:pt>
                <c:pt idx="61">
                  <c:v>0.43412996894596645</c:v>
                </c:pt>
                <c:pt idx="62">
                  <c:v>0.38856430951307253</c:v>
                </c:pt>
                <c:pt idx="63">
                  <c:v>0.34778544577096193</c:v>
                </c:pt>
                <c:pt idx="64">
                  <c:v>0.3112896279422373</c:v>
                </c:pt>
                <c:pt idx="65">
                  <c:v>0.27862630166693747</c:v>
                </c:pt>
                <c:pt idx="66">
                  <c:v>0.24939245314157632</c:v>
                </c:pt>
                <c:pt idx="67">
                  <c:v>0.22322756308600419</c:v>
                </c:pt>
                <c:pt idx="68">
                  <c:v>0.199809102417285</c:v>
                </c:pt>
                <c:pt idx="69">
                  <c:v>0.17884851022702231</c:v>
                </c:pt>
                <c:pt idx="70">
                  <c:v>0.16008760142574777</c:v>
                </c:pt>
                <c:pt idx="71">
                  <c:v>0.14329535736400972</c:v>
                </c:pt>
                <c:pt idx="72">
                  <c:v>0.12826505797394785</c:v>
                </c:pt>
                <c:pt idx="73">
                  <c:v>0.11481171859040491</c:v>
                </c:pt>
                <c:pt idx="74">
                  <c:v>0.10276979868643049</c:v>
                </c:pt>
                <c:pt idx="75">
                  <c:v>9.1991153362449868E-2</c:v>
                </c:pt>
                <c:pt idx="76">
                  <c:v>8.2343201619948805E-2</c:v>
                </c:pt>
                <c:pt idx="77">
                  <c:v>7.3707288279775629E-2</c:v>
                </c:pt>
                <c:pt idx="78">
                  <c:v>6.5977218915804881E-2</c:v>
                </c:pt>
                <c:pt idx="79">
                  <c:v>5.905794940468858E-2</c:v>
                </c:pt>
                <c:pt idx="80">
                  <c:v>5.2864413674770065E-2</c:v>
                </c:pt>
                <c:pt idx="81">
                  <c:v>4.7320475000770683E-2</c:v>
                </c:pt>
                <c:pt idx="82">
                  <c:v>4.2357987760788113E-2</c:v>
                </c:pt>
                <c:pt idx="83">
                  <c:v>3.7915957970562582E-2</c:v>
                </c:pt>
                <c:pt idx="84">
                  <c:v>3.3939792156281359E-2</c:v>
                </c:pt>
                <c:pt idx="85">
                  <c:v>3.0380625238480525E-2</c:v>
                </c:pt>
                <c:pt idx="86">
                  <c:v>2.7194719090920867E-2</c:v>
                </c:pt>
                <c:pt idx="87">
                  <c:v>2.4342924322951928E-2</c:v>
                </c:pt>
                <c:pt idx="88">
                  <c:v>2.1790198623584951E-2</c:v>
                </c:pt>
                <c:pt idx="89">
                  <c:v>1.950517571067362E-2</c:v>
                </c:pt>
                <c:pt idx="90">
                  <c:v>1.7459779558469099E-2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33-4941-ADC0-FB93FC15165A}"/>
            </c:ext>
          </c:extLst>
        </c:ser>
        <c:ser>
          <c:idx val="4"/>
          <c:order val="4"/>
          <c:tx>
            <c:strRef>
              <c:f>'Phase plot K'!$BM$7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K'!$BL$8:$BL$98</c:f>
              <c:numCache>
                <c:formatCode>General</c:formatCode>
                <c:ptCount val="91"/>
                <c:pt idx="0">
                  <c:v>29931</c:v>
                </c:pt>
                <c:pt idx="1">
                  <c:v>30370.900302930604</c:v>
                </c:pt>
                <c:pt idx="2">
                  <c:v>31041.440127176083</c:v>
                </c:pt>
                <c:pt idx="3">
                  <c:v>31862.825530274724</c:v>
                </c:pt>
                <c:pt idx="4">
                  <c:v>32777.815739138568</c:v>
                </c:pt>
                <c:pt idx="5">
                  <c:v>33744.842180621425</c:v>
                </c:pt>
                <c:pt idx="6">
                  <c:v>34733.517927409375</c:v>
                </c:pt>
                <c:pt idx="7">
                  <c:v>35721.618782003869</c:v>
                </c:pt>
                <c:pt idx="8">
                  <c:v>36692.991492364032</c:v>
                </c:pt>
                <c:pt idx="9">
                  <c:v>37636.062035239105</c:v>
                </c:pt>
                <c:pt idx="10">
                  <c:v>38542.743934122838</c:v>
                </c:pt>
                <c:pt idx="11">
                  <c:v>39407.621545984111</c:v>
                </c:pt>
                <c:pt idx="12">
                  <c:v>40227.328099205806</c:v>
                </c:pt>
                <c:pt idx="13">
                  <c:v>41000.065550832936</c:v>
                </c:pt>
                <c:pt idx="14">
                  <c:v>41725.230269576692</c:v>
                </c:pt>
                <c:pt idx="15">
                  <c:v>42403.119315851138</c:v>
                </c:pt>
                <c:pt idx="16">
                  <c:v>43034.69911569859</c:v>
                </c:pt>
                <c:pt idx="17">
                  <c:v>43621.423045145391</c:v>
                </c:pt>
                <c:pt idx="18">
                  <c:v>44165.087708786123</c:v>
                </c:pt>
                <c:pt idx="19">
                  <c:v>44667.720026150673</c:v>
                </c:pt>
                <c:pt idx="20">
                  <c:v>45131.488947282989</c:v>
                </c:pt>
                <c:pt idx="21">
                  <c:v>45558.636902087725</c:v>
                </c:pt>
                <c:pt idx="22">
                  <c:v>45951.427072274448</c:v>
                </c:pt>
                <c:pt idx="23">
                  <c:v>46312.10334261346</c:v>
                </c:pt>
                <c:pt idx="24">
                  <c:v>46642.860395263226</c:v>
                </c:pt>
                <c:pt idx="25">
                  <c:v>46945.821895669847</c:v>
                </c:pt>
                <c:pt idx="26">
                  <c:v>47223.025108495807</c:v>
                </c:pt>
                <c:pt idx="27">
                  <c:v>47476.410597413626</c:v>
                </c:pt>
                <c:pt idx="28">
                  <c:v>47707.815918603417</c:v>
                </c:pt>
                <c:pt idx="29">
                  <c:v>47918.972426104752</c:v>
                </c:pt>
                <c:pt idx="30">
                  <c:v>48111.504476925147</c:v>
                </c:pt>
                <c:pt idx="31">
                  <c:v>48286.930462237047</c:v>
                </c:pt>
                <c:pt idx="32">
                  <c:v>48446.665203896358</c:v>
                </c:pt>
                <c:pt idx="33">
                  <c:v>48592.023347564354</c:v>
                </c:pt>
                <c:pt idx="34">
                  <c:v>48724.223458705659</c:v>
                </c:pt>
                <c:pt idx="35">
                  <c:v>48844.39258875994</c:v>
                </c:pt>
                <c:pt idx="36">
                  <c:v>48953.571128371608</c:v>
                </c:pt>
                <c:pt idx="37">
                  <c:v>49052.717804779379</c:v>
                </c:pt>
                <c:pt idx="38">
                  <c:v>49142.71471301304</c:v>
                </c:pt>
                <c:pt idx="39">
                  <c:v>49224.37229681154</c:v>
                </c:pt>
                <c:pt idx="40">
                  <c:v>49298.434216307287</c:v>
                </c:pt>
                <c:pt idx="41">
                  <c:v>49365.582056456733</c:v>
                </c:pt>
                <c:pt idx="42">
                  <c:v>49426.439843707136</c:v>
                </c:pt>
                <c:pt idx="43">
                  <c:v>49481.578349108466</c:v>
                </c:pt>
                <c:pt idx="44">
                  <c:v>49531.519164526588</c:v>
                </c:pt>
                <c:pt idx="45">
                  <c:v>49576.738545216926</c:v>
                </c:pt>
                <c:pt idx="46">
                  <c:v>49617.671017125715</c:v>
                </c:pt>
                <c:pt idx="47">
                  <c:v>49654.71275118614</c:v>
                </c:pt>
                <c:pt idx="48">
                  <c:v>49688.224709803515</c:v>
                </c:pt>
                <c:pt idx="49">
                  <c:v>49718.535572869587</c:v>
                </c:pt>
                <c:pt idx="50">
                  <c:v>49745.944452167605</c:v>
                </c:pt>
                <c:pt idx="51">
                  <c:v>49770.7234040556</c:v>
                </c:pt>
                <c:pt idx="52">
                  <c:v>49793.119750949074</c:v>
                </c:pt>
                <c:pt idx="53">
                  <c:v>49813.358222451483</c:v>
                </c:pt>
                <c:pt idx="54">
                  <c:v>49831.642927069952</c:v>
                </c:pt>
                <c:pt idx="55">
                  <c:v>49848.159165360463</c:v>
                </c:pt>
                <c:pt idx="56">
                  <c:v>49863.075095116328</c:v>
                </c:pt>
                <c:pt idx="57">
                  <c:v>49876.543258882302</c:v>
                </c:pt>
                <c:pt idx="58">
                  <c:v>49888.70198367288</c:v>
                </c:pt>
                <c:pt idx="59">
                  <c:v>49899.67666232078</c:v>
                </c:pt>
                <c:pt idx="60">
                  <c:v>49909.580925397968</c:v>
                </c:pt>
                <c:pt idx="61">
                  <c:v>49918.517712151683</c:v>
                </c:pt>
                <c:pt idx="62">
                  <c:v>49926.580248392675</c:v>
                </c:pt>
                <c:pt idx="63">
                  <c:v>49933.85293877092</c:v>
                </c:pt>
                <c:pt idx="64">
                  <c:v>49940.412180382002</c:v>
                </c:pt>
                <c:pt idx="65">
                  <c:v>49946.327104169817</c:v>
                </c:pt>
                <c:pt idx="66">
                  <c:v>49951.660250131863</c:v>
                </c:pt>
                <c:pt idx="67">
                  <c:v>49956.468181894415</c:v>
                </c:pt>
                <c:pt idx="68">
                  <c:v>49960.802045807955</c:v>
                </c:pt>
                <c:pt idx="69">
                  <c:v>49964.708079319164</c:v>
                </c:pt>
                <c:pt idx="70">
                  <c:v>49968.228073004801</c:v>
                </c:pt>
                <c:pt idx="71">
                  <c:v>49971.399790305062</c:v>
                </c:pt>
                <c:pt idx="72">
                  <c:v>49974.257348668769</c:v>
                </c:pt>
                <c:pt idx="73">
                  <c:v>49976.831565519817</c:v>
                </c:pt>
                <c:pt idx="74">
                  <c:v>49979.150272172439</c:v>
                </c:pt>
                <c:pt idx="75">
                  <c:v>49981.238598561475</c:v>
                </c:pt>
                <c:pt idx="76">
                  <c:v>49983.119231411802</c:v>
                </c:pt>
                <c:pt idx="77">
                  <c:v>49984.812648247389</c:v>
                </c:pt>
                <c:pt idx="78">
                  <c:v>49986.337329433998</c:v>
                </c:pt>
                <c:pt idx="79">
                  <c:v>49987.709950259465</c:v>
                </c:pt>
                <c:pt idx="80">
                  <c:v>49988.945554880411</c:v>
                </c:pt>
                <c:pt idx="81">
                  <c:v>49990.057713803493</c:v>
                </c:pt>
                <c:pt idx="82">
                  <c:v>49991.058666421675</c:v>
                </c:pt>
                <c:pt idx="83">
                  <c:v>49991.959449990616</c:v>
                </c:pt>
                <c:pt idx="84">
                  <c:v>49992.770016306255</c:v>
                </c:pt>
                <c:pt idx="85">
                  <c:v>49993.499337231275</c:v>
                </c:pt>
                <c:pt idx="86">
                  <c:v>49994.155500114139</c:v>
                </c:pt>
                <c:pt idx="87">
                  <c:v>49994.745794049704</c:v>
                </c:pt>
                <c:pt idx="88">
                  <c:v>49995.276787843752</c:v>
                </c:pt>
                <c:pt idx="89">
                  <c:v>49995.754400464662</c:v>
                </c:pt>
                <c:pt idx="90">
                  <c:v>49996.183964693468</c:v>
                </c:pt>
              </c:numCache>
            </c:numRef>
          </c:xVal>
          <c:yVal>
            <c:numRef>
              <c:f>'Phase plot K'!$BM$8:$BM$98</c:f>
              <c:numCache>
                <c:formatCode>General</c:formatCode>
                <c:ptCount val="91"/>
                <c:pt idx="0">
                  <c:v>20069</c:v>
                </c:pt>
                <c:pt idx="1">
                  <c:v>16723.920880162161</c:v>
                </c:pt>
                <c:pt idx="2">
                  <c:v>13964.616503796504</c:v>
                </c:pt>
                <c:pt idx="3">
                  <c:v>11692.144949178044</c:v>
                </c:pt>
                <c:pt idx="4">
                  <c:v>9820.2594823848776</c:v>
                </c:pt>
                <c:pt idx="5">
                  <c:v>8276.1409111175817</c:v>
                </c:pt>
                <c:pt idx="6">
                  <c:v>6999.4760383247985</c:v>
                </c:pt>
                <c:pt idx="7">
                  <c:v>5940.8914239547839</c:v>
                </c:pt>
                <c:pt idx="8">
                  <c:v>5060.2499935630331</c:v>
                </c:pt>
                <c:pt idx="9">
                  <c:v>4325.0476175321928</c:v>
                </c:pt>
                <c:pt idx="10">
                  <c:v>3709.0047578218664</c:v>
                </c:pt>
                <c:pt idx="11">
                  <c:v>3190.8765318463143</c:v>
                </c:pt>
                <c:pt idx="12">
                  <c:v>2753.4706641171401</c:v>
                </c:pt>
                <c:pt idx="13">
                  <c:v>2382.848868242228</c:v>
                </c:pt>
                <c:pt idx="14">
                  <c:v>2067.6834131635314</c:v>
                </c:pt>
                <c:pt idx="15">
                  <c:v>1798.741676528437</c:v>
                </c:pt>
                <c:pt idx="16">
                  <c:v>1568.4745692636425</c:v>
                </c:pt>
                <c:pt idx="17">
                  <c:v>1370.6883940273317</c:v>
                </c:pt>
                <c:pt idx="18">
                  <c:v>1200.2832851098722</c:v>
                </c:pt>
                <c:pt idx="19">
                  <c:v>1053.0445727242627</c:v>
                </c:pt>
                <c:pt idx="20">
                  <c:v>925.47612803162519</c:v>
                </c:pt>
                <c:pt idx="21">
                  <c:v>814.66698306138767</c:v>
                </c:pt>
                <c:pt idx="22">
                  <c:v>718.18433127785079</c:v>
                </c:pt>
                <c:pt idx="23">
                  <c:v>633.98746339582533</c:v>
                </c:pt>
                <c:pt idx="24">
                  <c:v>560.35834261196112</c:v>
                </c:pt>
                <c:pt idx="25">
                  <c:v>495.84543088182875</c:v>
                </c:pt>
                <c:pt idx="26">
                  <c:v>439.21809202135779</c:v>
                </c:pt>
                <c:pt idx="27">
                  <c:v>389.42945852104492</c:v>
                </c:pt>
                <c:pt idx="28">
                  <c:v>345.58608959558353</c:v>
                </c:pt>
                <c:pt idx="29">
                  <c:v>306.92309411694606</c:v>
                </c:pt>
                <c:pt idx="30">
                  <c:v>272.78366421214139</c:v>
                </c:pt>
                <c:pt idx="31">
                  <c:v>242.60217955972703</c:v>
                </c:pt>
                <c:pt idx="32">
                  <c:v>215.89021139494446</c:v>
                </c:pt>
                <c:pt idx="33">
                  <c:v>192.22488876786718</c:v>
                </c:pt>
                <c:pt idx="34">
                  <c:v>171.23919535945396</c:v>
                </c:pt>
                <c:pt idx="35">
                  <c:v>152.61384912214456</c:v>
                </c:pt>
                <c:pt idx="36">
                  <c:v>136.07048383326838</c:v>
                </c:pt>
                <c:pt idx="37">
                  <c:v>121.36590496662784</c:v>
                </c:pt>
                <c:pt idx="38">
                  <c:v>108.28723494116909</c:v>
                </c:pt>
                <c:pt idx="39">
                  <c:v>96.647797019436723</c:v>
                </c:pt>
                <c:pt idx="40">
                  <c:v>86.283614646461899</c:v>
                </c:pt>
                <c:pt idx="41">
                  <c:v>77.050425212334929</c:v>
                </c:pt>
                <c:pt idx="42">
                  <c:v>68.821125168324727</c:v>
                </c:pt>
                <c:pt idx="43">
                  <c:v>61.48357797907105</c:v>
                </c:pt>
                <c:pt idx="44">
                  <c:v>54.938728226271415</c:v>
                </c:pt>
                <c:pt idx="45">
                  <c:v>49.098974827140658</c:v>
                </c:pt>
                <c:pt idx="46">
                  <c:v>43.886764218883229</c:v>
                </c:pt>
                <c:pt idx="47">
                  <c:v>39.23337082732435</c:v>
                </c:pt>
                <c:pt idx="48">
                  <c:v>35.077837454402143</c:v>
                </c:pt>
                <c:pt idx="49">
                  <c:v>31.366052602219742</c:v>
                </c:pt>
                <c:pt idx="50">
                  <c:v>28.049945374824066</c:v>
                </c:pt>
                <c:pt idx="51">
                  <c:v>25.086781602847896</c:v>
                </c:pt>
                <c:pt idx="52">
                  <c:v>22.438547333565555</c:v>
                </c:pt>
                <c:pt idx="53">
                  <c:v>20.07140791107075</c:v>
                </c:pt>
                <c:pt idx="54">
                  <c:v>17.955232612168281</c:v>
                </c:pt>
                <c:pt idx="55">
                  <c:v>16.063176263259994</c:v>
                </c:pt>
                <c:pt idx="56">
                  <c:v>14.371310490905726</c:v>
                </c:pt>
                <c:pt idx="57">
                  <c:v>12.858298293751931</c:v>
                </c:pt>
                <c:pt idx="58">
                  <c:v>11.505106498772163</c:v>
                </c:pt>
                <c:pt idx="59">
                  <c:v>10.294751406996481</c:v>
                </c:pt>
                <c:pt idx="60">
                  <c:v>9.2120735650907548</c:v>
                </c:pt>
                <c:pt idx="61">
                  <c:v>8.243538137372358</c:v>
                </c:pt>
                <c:pt idx="62">
                  <c:v>7.3770578130481956</c:v>
                </c:pt>
                <c:pt idx="63">
                  <c:v>6.6018355779892275</c:v>
                </c:pt>
                <c:pt idx="64">
                  <c:v>5.9082250194601054</c:v>
                </c:pt>
                <c:pt idx="65">
                  <c:v>5.2876061244236032</c:v>
                </c:pt>
                <c:pt idx="66">
                  <c:v>4.7322747844395519</c:v>
                </c:pt>
                <c:pt idx="67">
                  <c:v>4.2353444387123682</c:v>
                </c:pt>
                <c:pt idx="68">
                  <c:v>3.7906584764829461</c:v>
                </c:pt>
                <c:pt idx="69">
                  <c:v>3.3927121848871562</c:v>
                </c:pt>
                <c:pt idx="70">
                  <c:v>3.0365831721329757</c:v>
                </c:pt>
                <c:pt idx="71">
                  <c:v>2.7178693213527296</c:v>
                </c:pt>
                <c:pt idx="72">
                  <c:v>2.4326334402819874</c:v>
                </c:pt>
                <c:pt idx="73">
                  <c:v>2.1773538681383684</c:v>
                </c:pt>
                <c:pt idx="74">
                  <c:v>1.9488803855401604</c:v>
                </c:pt>
                <c:pt idx="75">
                  <c:v>1.7443948475680928</c:v>
                </c:pt>
                <c:pt idx="76">
                  <c:v>1.5613760254618223</c:v>
                </c:pt>
                <c:pt idx="77">
                  <c:v>1.3975682000948921</c:v>
                </c:pt>
                <c:pt idx="78">
                  <c:v>1.250953101267978</c:v>
                </c:pt>
                <c:pt idx="79">
                  <c:v>1.1197248318448674</c:v>
                </c:pt>
                <c:pt idx="80">
                  <c:v>1.0022674555589275</c:v>
                </c:pt>
                <c:pt idx="81">
                  <c:v>0.89713496257218084</c:v>
                </c:pt>
                <c:pt idx="82">
                  <c:v>0.8030333581235487</c:v>
                </c:pt>
                <c:pt idx="83">
                  <c:v>0.71880464733497262</c:v>
                </c:pt>
                <c:pt idx="84">
                  <c:v>0.64341251387038645</c:v>
                </c:pt>
                <c:pt idx="85">
                  <c:v>0.57592951202658837</c:v>
                </c:pt>
                <c:pt idx="86">
                  <c:v>0.51552561129523511</c:v>
                </c:pt>
                <c:pt idx="87">
                  <c:v>0.46145794975044996</c:v>
                </c:pt>
                <c:pt idx="88">
                  <c:v>0.41306166803188615</c:v>
                </c:pt>
                <c:pt idx="89">
                  <c:v>0.36974170942395679</c:v>
                </c:pt>
                <c:pt idx="90">
                  <c:v>0.33096548376806023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933-4941-ADC0-FB93FC15165A}"/>
            </c:ext>
          </c:extLst>
        </c:ser>
        <c:ser>
          <c:idx val="5"/>
          <c:order val="5"/>
          <c:tx>
            <c:strRef>
              <c:f>'Phase plot K'!$BJ$7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K'!$BI$8:$BI$98</c:f>
              <c:numCache>
                <c:formatCode>General</c:formatCode>
                <c:ptCount val="91"/>
                <c:pt idx="0">
                  <c:v>9471</c:v>
                </c:pt>
                <c:pt idx="1">
                  <c:v>12785.882952963319</c:v>
                </c:pt>
                <c:pt idx="2">
                  <c:v>15717.545951952799</c:v>
                </c:pt>
                <c:pt idx="3">
                  <c:v>18384.888347712062</c:v>
                </c:pt>
                <c:pt idx="4">
                  <c:v>20849.304764314602</c:v>
                </c:pt>
                <c:pt idx="5">
                  <c:v>23143.551405650513</c:v>
                </c:pt>
                <c:pt idx="6">
                  <c:v>25285.854386989766</c:v>
                </c:pt>
                <c:pt idx="7">
                  <c:v>27287.124708499166</c:v>
                </c:pt>
                <c:pt idx="8">
                  <c:v>29154.737633915647</c:v>
                </c:pt>
                <c:pt idx="9">
                  <c:v>30894.51690526291</c:v>
                </c:pt>
                <c:pt idx="10">
                  <c:v>32511.751479610128</c:v>
                </c:pt>
                <c:pt idx="11">
                  <c:v>34011.68303656653</c:v>
                </c:pt>
                <c:pt idx="12">
                  <c:v>35399.704669025181</c:v>
                </c:pt>
                <c:pt idx="13">
                  <c:v>36681.40570622708</c:v>
                </c:pt>
                <c:pt idx="14">
                  <c:v>37862.539225369146</c:v>
                </c:pt>
                <c:pt idx="15">
                  <c:v>38948.955567115619</c:v>
                </c:pt>
                <c:pt idx="16">
                  <c:v>39946.525905413211</c:v>
                </c:pt>
                <c:pt idx="17">
                  <c:v>40861.068664063016</c:v>
                </c:pt>
                <c:pt idx="18">
                  <c:v>41698.285005220161</c:v>
                </c:pt>
                <c:pt idx="19">
                  <c:v>42463.705835412584</c:v>
                </c:pt>
                <c:pt idx="20">
                  <c:v>43162.65066321769</c:v>
                </c:pt>
                <c:pt idx="21">
                  <c:v>43800.197528686396</c:v>
                </c:pt>
                <c:pt idx="22">
                  <c:v>44381.162701383117</c:v>
                </c:pt>
                <c:pt idx="23">
                  <c:v>44910.088663619616</c:v>
                </c:pt>
                <c:pt idx="24">
                  <c:v>45391.238906951294</c:v>
                </c:pt>
                <c:pt idx="25">
                  <c:v>45828.598181694091</c:v>
                </c:pt>
                <c:pt idx="26">
                  <c:v>46225.876996388164</c:v>
                </c:pt>
                <c:pt idx="27">
                  <c:v>46586.519334885292</c:v>
                </c:pt>
                <c:pt idx="28">
                  <c:v>46913.712725249621</c:v>
                </c:pt>
                <c:pt idx="29">
                  <c:v>47210.399947711798</c:v>
                </c:pt>
                <c:pt idx="30">
                  <c:v>47479.291804442728</c:v>
                </c:pt>
                <c:pt idx="31">
                  <c:v>47722.880490870346</c:v>
                </c:pt>
                <c:pt idx="32">
                  <c:v>47943.453207287144</c:v>
                </c:pt>
                <c:pt idx="33">
                  <c:v>48143.105732089614</c:v>
                </c:pt>
                <c:pt idx="34">
                  <c:v>48323.755746025396</c:v>
                </c:pt>
                <c:pt idx="35">
                  <c:v>48487.155752253995</c:v>
                </c:pt>
                <c:pt idx="36">
                  <c:v>48634.905481729285</c:v>
                </c:pt>
                <c:pt idx="37">
                  <c:v>48768.463709102012</c:v>
                </c:pt>
                <c:pt idx="38">
                  <c:v>48889.159432539287</c:v>
                </c:pt>
                <c:pt idx="39">
                  <c:v>48998.202392884879</c:v>
                </c:pt>
                <c:pt idx="40">
                  <c:v>49096.692924565104</c:v>
                </c:pt>
                <c:pt idx="41">
                  <c:v>49185.631143531005</c:v>
                </c:pt>
                <c:pt idx="42">
                  <c:v>49265.925487112065</c:v>
                </c:pt>
                <c:pt idx="43">
                  <c:v>49338.400627598647</c:v>
                </c:pt>
                <c:pt idx="44">
                  <c:v>49403.804786212306</c:v>
                </c:pt>
                <c:pt idx="45">
                  <c:v>49462.816477309127</c:v>
                </c:pt>
                <c:pt idx="46">
                  <c:v>49516.050714553799</c:v>
                </c:pt>
                <c:pt idx="47">
                  <c:v>49564.064711694387</c:v>
                </c:pt>
                <c:pt idx="48">
                  <c:v>49607.363110696977</c:v>
                </c:pt>
                <c:pt idx="49">
                  <c:v>49646.40276955528</c:v>
                </c:pt>
                <c:pt idx="50">
                  <c:v>49681.59714122524</c:v>
                </c:pt>
                <c:pt idx="51">
                  <c:v>49713.320273968864</c:v>
                </c:pt>
                <c:pt idx="52">
                  <c:v>49741.910462020242</c:v>
                </c:pt>
                <c:pt idx="53">
                  <c:v>49767.673573984663</c:v>
                </c:pt>
                <c:pt idx="54">
                  <c:v>49790.886084806378</c:v>
                </c:pt>
                <c:pt idx="55">
                  <c:v>49811.797835536752</c:v>
                </c:pt>
                <c:pt idx="56">
                  <c:v>49830.634543535416</c:v>
                </c:pt>
                <c:pt idx="57">
                  <c:v>49847.600084168349</c:v>
                </c:pt>
                <c:pt idx="58">
                  <c:v>49862.878563545833</c:v>
                </c:pt>
                <c:pt idx="59">
                  <c:v>49876.636200383851</c:v>
                </c:pt>
                <c:pt idx="60">
                  <c:v>49889.023033682344</c:v>
                </c:pt>
                <c:pt idx="61">
                  <c:v>49900.17447159873</c:v>
                </c:pt>
                <c:pt idx="62">
                  <c:v>49910.21269565753</c:v>
                </c:pt>
                <c:pt idx="63">
                  <c:v>49919.247933277817</c:v>
                </c:pt>
                <c:pt idx="64">
                  <c:v>49927.379610518765</c:v>
                </c:pt>
                <c:pt idx="65">
                  <c:v>49934.697395937706</c:v>
                </c:pt>
                <c:pt idx="66">
                  <c:v>49941.282145522855</c:v>
                </c:pt>
                <c:pt idx="67">
                  <c:v>49947.206757800341</c:v>
                </c:pt>
                <c:pt idx="68">
                  <c:v>49952.536947419525</c:v>
                </c:pt>
                <c:pt idx="69">
                  <c:v>49957.331944787693</c:v>
                </c:pt>
                <c:pt idx="70">
                  <c:v>49961.645128651529</c:v>
                </c:pt>
                <c:pt idx="71">
                  <c:v>49965.524597904419</c:v>
                </c:pt>
                <c:pt idx="72">
                  <c:v>49969.013688331659</c:v>
                </c:pt>
                <c:pt idx="73">
                  <c:v>49972.151439486966</c:v>
                </c:pt>
                <c:pt idx="74">
                  <c:v>49974.973016419004</c:v>
                </c:pt>
                <c:pt idx="75">
                  <c:v>49977.510090533309</c:v>
                </c:pt>
                <c:pt idx="76">
                  <c:v>49979.791183479385</c:v>
                </c:pt>
                <c:pt idx="77">
                  <c:v>49981.841977592136</c:v>
                </c:pt>
                <c:pt idx="78">
                  <c:v>49983.685596088064</c:v>
                </c:pt>
                <c:pt idx="79">
                  <c:v>49985.342855917581</c:v>
                </c:pt>
                <c:pt idx="80">
                  <c:v>49986.832495902454</c:v>
                </c:pt>
                <c:pt idx="81">
                  <c:v>49988.171382539877</c:v>
                </c:pt>
                <c:pt idx="82">
                  <c:v>49989.374695629791</c:v>
                </c:pt>
                <c:pt idx="83">
                  <c:v>49990.456095677575</c:v>
                </c:pt>
                <c:pt idx="84">
                  <c:v>49991.427874838875</c:v>
                </c:pt>
                <c:pt idx="85">
                  <c:v>49992.301093004899</c:v>
                </c:pt>
                <c:pt idx="86">
                  <c:v>49993.085700473843</c:v>
                </c:pt>
                <c:pt idx="87">
                  <c:v>49993.790648515707</c:v>
                </c:pt>
                <c:pt idx="88">
                  <c:v>49994.423989012197</c:v>
                </c:pt>
                <c:pt idx="89">
                  <c:v>49994.992964239784</c:v>
                </c:pt>
                <c:pt idx="90">
                  <c:v>49995.504087761001</c:v>
                </c:pt>
              </c:numCache>
            </c:numRef>
          </c:xVal>
          <c:yVal>
            <c:numRef>
              <c:f>'Phase plot K'!$BJ$8:$BJ$98</c:f>
              <c:numCache>
                <c:formatCode>General</c:formatCode>
                <c:ptCount val="91"/>
                <c:pt idx="0">
                  <c:v>40529</c:v>
                </c:pt>
                <c:pt idx="1">
                  <c:v>31539.82136593695</c:v>
                </c:pt>
                <c:pt idx="2">
                  <c:v>24821.849042381698</c:v>
                </c:pt>
                <c:pt idx="3">
                  <c:v>19732.766763264735</c:v>
                </c:pt>
                <c:pt idx="4">
                  <c:v>15832.774221881416</c:v>
                </c:pt>
                <c:pt idx="5">
                  <c:v>12812.97507861084</c:v>
                </c:pt>
                <c:pt idx="6">
                  <c:v>10452.373544851078</c:v>
                </c:pt>
                <c:pt idx="7">
                  <c:v>8590.5785802989976</c:v>
                </c:pt>
                <c:pt idx="8">
                  <c:v>7109.7975223582189</c:v>
                </c:pt>
                <c:pt idx="9">
                  <c:v>5922.6280069516888</c:v>
                </c:pt>
                <c:pt idx="10">
                  <c:v>4963.6126630471263</c:v>
                </c:pt>
                <c:pt idx="11">
                  <c:v>4183.3056791771878</c:v>
                </c:pt>
                <c:pt idx="12">
                  <c:v>3544.0518022276306</c:v>
                </c:pt>
                <c:pt idx="13">
                  <c:v>3016.9517660118449</c:v>
                </c:pt>
                <c:pt idx="14">
                  <c:v>2579.6604046867687</c:v>
                </c:pt>
                <c:pt idx="15">
                  <c:v>2214.7755106146765</c:v>
                </c:pt>
                <c:pt idx="16">
                  <c:v>1908.6497302728633</c:v>
                </c:pt>
                <c:pt idx="17">
                  <c:v>1650.5079534153958</c:v>
                </c:pt>
                <c:pt idx="18">
                  <c:v>1431.7870217116099</c:v>
                </c:pt>
                <c:pt idx="19">
                  <c:v>1245.6384050515785</c:v>
                </c:pt>
                <c:pt idx="20">
                  <c:v>1086.5511653868718</c:v>
                </c:pt>
                <c:pt idx="21">
                  <c:v>950.06429547584366</c:v>
                </c:pt>
                <c:pt idx="22">
                  <c:v>832.54589013453563</c:v>
                </c:pt>
                <c:pt idx="23">
                  <c:v>731.02260398875876</c:v>
                </c:pt>
                <c:pt idx="24">
                  <c:v>643.04717449989369</c:v>
                </c:pt>
                <c:pt idx="25">
                  <c:v>566.59492828362579</c:v>
                </c:pt>
                <c:pt idx="26">
                  <c:v>499.98248157453554</c:v>
                </c:pt>
                <c:pt idx="27">
                  <c:v>441.80353038407088</c:v>
                </c:pt>
                <c:pt idx="28">
                  <c:v>390.87787098496989</c:v>
                </c:pt>
                <c:pt idx="29">
                  <c:v>346.21071678058712</c:v>
                </c:pt>
                <c:pt idx="30">
                  <c:v>306.9600692678892</c:v>
                </c:pt>
                <c:pt idx="31">
                  <c:v>272.41042052997886</c:v>
                </c:pt>
                <c:pt idx="32">
                  <c:v>241.95145729299958</c:v>
                </c:pt>
                <c:pt idx="33">
                  <c:v>215.06073467376652</c:v>
                </c:pt>
                <c:pt idx="34">
                  <c:v>191.28951521125148</c:v>
                </c:pt>
                <c:pt idx="35">
                  <c:v>170.25114319480141</c:v>
                </c:pt>
                <c:pt idx="36">
                  <c:v>151.61145867868362</c:v>
                </c:pt>
                <c:pt idx="37">
                  <c:v>135.08085957531006</c:v>
                </c:pt>
                <c:pt idx="38">
                  <c:v>120.4077010733814</c:v>
                </c:pt>
                <c:pt idx="39">
                  <c:v>107.3727847572604</c:v>
                </c:pt>
                <c:pt idx="40">
                  <c:v>95.784739302939755</c:v>
                </c:pt>
                <c:pt idx="41">
                  <c:v>85.47613359604955</c:v>
                </c:pt>
                <c:pt idx="42">
                  <c:v>76.300193920190878</c:v>
                </c:pt>
                <c:pt idx="43">
                  <c:v>68.128021305506891</c:v>
                </c:pt>
                <c:pt idx="44">
                  <c:v>60.846224594790989</c:v>
                </c:pt>
                <c:pt idx="45">
                  <c:v>54.354900347173313</c:v>
                </c:pt>
                <c:pt idx="46">
                  <c:v>48.565903185679652</c:v>
                </c:pt>
                <c:pt idx="47">
                  <c:v>43.401360248446018</c:v>
                </c:pt>
                <c:pt idx="48">
                  <c:v>38.792391526354287</c:v>
                </c:pt>
                <c:pt idx="49">
                  <c:v>34.678004455643304</c:v>
                </c:pt>
                <c:pt idx="50">
                  <c:v>31.00413649173278</c:v>
                </c:pt>
                <c:pt idx="51">
                  <c:v>27.722823763806282</c:v>
                </c:pt>
                <c:pt idx="52">
                  <c:v>24.791477491464597</c:v>
                </c:pt>
                <c:pt idx="53">
                  <c:v>22.172252788031699</c:v>
                </c:pt>
                <c:pt idx="54">
                  <c:v>19.831496901727142</c:v>
                </c:pt>
                <c:pt idx="55">
                  <c:v>17.739265953222763</c:v>
                </c:pt>
                <c:pt idx="56">
                  <c:v>15.868900894020328</c:v>
                </c:pt>
                <c:pt idx="57">
                  <c:v>14.196654797229616</c:v>
                </c:pt>
                <c:pt idx="58">
                  <c:v>12.701364751128169</c:v>
                </c:pt>
                <c:pt idx="59">
                  <c:v>11.364162597087155</c:v>
                </c:pt>
                <c:pt idx="60">
                  <c:v>10.168219570055907</c:v>
                </c:pt>
                <c:pt idx="61">
                  <c:v>9.0985205886190492</c:v>
                </c:pt>
                <c:pt idx="62">
                  <c:v>8.1416645245103805</c:v>
                </c:pt>
                <c:pt idx="63">
                  <c:v>7.2856872762213127</c:v>
                </c:pt>
                <c:pt idx="64">
                  <c:v>6.5199048925850072</c:v>
                </c:pt>
                <c:pt idx="65">
                  <c:v>5.8347743519460886</c:v>
                </c:pt>
                <c:pt idx="66">
                  <c:v>5.2217699106193303</c:v>
                </c:pt>
                <c:pt idx="67">
                  <c:v>4.6732731989579914</c:v>
                </c:pt>
                <c:pt idx="68">
                  <c:v>4.1824754712512888</c:v>
                </c:pt>
                <c:pt idx="69">
                  <c:v>3.7432906124637655</c:v>
                </c:pt>
                <c:pt idx="70">
                  <c:v>3.35027767519292</c:v>
                </c:pt>
                <c:pt idx="71">
                  <c:v>2.9985718680618132</c:v>
                </c:pt>
                <c:pt idx="72">
                  <c:v>2.6838230453538783</c:v>
                </c:pt>
                <c:pt idx="73">
                  <c:v>2.4021408597887257</c:v>
                </c:pt>
                <c:pt idx="74">
                  <c:v>2.1500458382491985</c:v>
                </c:pt>
                <c:pt idx="75">
                  <c:v>1.9244257259615618</c:v>
                </c:pt>
                <c:pt idx="76">
                  <c:v>1.7224965197646602</c:v>
                </c:pt>
                <c:pt idx="77">
                  <c:v>1.5417676770935389</c:v>
                </c:pt>
                <c:pt idx="78">
                  <c:v>1.3800110453538208</c:v>
                </c:pt>
                <c:pt idx="79">
                  <c:v>1.2352331075059413</c:v>
                </c:pt>
                <c:pt idx="80">
                  <c:v>1.105650184797301</c:v>
                </c:pt>
                <c:pt idx="81">
                  <c:v>0.98966627743578317</c:v>
                </c:pt>
                <c:pt idx="82">
                  <c:v>0.88585325924540148</c:v>
                </c:pt>
                <c:pt idx="83">
                  <c:v>0.79293317355073989</c:v>
                </c:pt>
                <c:pt idx="84">
                  <c:v>0.70976240519225042</c:v>
                </c:pt>
                <c:pt idx="85">
                  <c:v>0.63531752810583797</c:v>
                </c:pt>
                <c:pt idx="86">
                  <c:v>0.56868264967863935</c:v>
                </c:pt>
                <c:pt idx="87">
                  <c:v>0.5090380924422836</c:v>
                </c:pt>
                <c:pt idx="88">
                  <c:v>0.45565027086820403</c:v>
                </c:pt>
                <c:pt idx="89">
                  <c:v>0.40786263633457764</c:v>
                </c:pt>
                <c:pt idx="90">
                  <c:v>0.36508757695860877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933-4941-ADC0-FB93FC15165A}"/>
            </c:ext>
          </c:extLst>
        </c:ser>
        <c:ser>
          <c:idx val="7"/>
          <c:order val="6"/>
          <c:tx>
            <c:strRef>
              <c:f>'Phase plot K'!$BS$7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K'!$BR$8:$BR$98</c:f>
              <c:numCache>
                <c:formatCode>General</c:formatCode>
                <c:ptCount val="91"/>
                <c:pt idx="0">
                  <c:v>16578</c:v>
                </c:pt>
                <c:pt idx="1">
                  <c:v>18645.231781084094</c:v>
                </c:pt>
                <c:pt idx="2">
                  <c:v>20666.418836353227</c:v>
                </c:pt>
                <c:pt idx="3">
                  <c:v>22634.436999721915</c:v>
                </c:pt>
                <c:pt idx="4">
                  <c:v>24539.945622228392</c:v>
                </c:pt>
                <c:pt idx="5">
                  <c:v>26373.813014891541</c:v>
                </c:pt>
                <c:pt idx="6">
                  <c:v>28128.269965304313</c:v>
                </c:pt>
                <c:pt idx="7">
                  <c:v>29797.378504869965</c:v>
                </c:pt>
                <c:pt idx="8">
                  <c:v>31377.125092347593</c:v>
                </c:pt>
                <c:pt idx="9">
                  <c:v>32865.31183022941</c:v>
                </c:pt>
                <c:pt idx="10">
                  <c:v>34261.347174289156</c:v>
                </c:pt>
                <c:pt idx="11">
                  <c:v>35565.996276280777</c:v>
                </c:pt>
                <c:pt idx="12">
                  <c:v>36781.126186073467</c:v>
                </c:pt>
                <c:pt idx="13">
                  <c:v>37909.465679818852</c:v>
                </c:pt>
                <c:pt idx="14">
                  <c:v>38954.389807938642</c:v>
                </c:pt>
                <c:pt idx="15">
                  <c:v>39919.733263422902</c:v>
                </c:pt>
                <c:pt idx="16">
                  <c:v>40809.633059974971</c:v>
                </c:pt>
                <c:pt idx="17">
                  <c:v>41628.398944920256</c:v>
                </c:pt>
                <c:pt idx="18">
                  <c:v>42380.408901110328</c:v>
                </c:pt>
                <c:pt idx="19">
                  <c:v>43070.026647008948</c:v>
                </c:pt>
                <c:pt idx="20">
                  <c:v>43701.537979741232</c:v>
                </c:pt>
                <c:pt idx="21">
                  <c:v>44279.102960801298</c:v>
                </c:pt>
                <c:pt idx="22">
                  <c:v>44806.72121392555</c:v>
                </c:pt>
                <c:pt idx="23">
                  <c:v>45288.207923397327</c:v>
                </c:pt>
                <c:pt idx="24">
                  <c:v>45727.178448539184</c:v>
                </c:pt>
                <c:pt idx="25">
                  <c:v>46127.039783123393</c:v>
                </c:pt>
                <c:pt idx="26">
                  <c:v>46490.987374617624</c:v>
                </c:pt>
                <c:pt idx="27">
                  <c:v>46822.006072232791</c:v>
                </c:pt>
                <c:pt idx="28">
                  <c:v>47122.874193527852</c:v>
                </c:pt>
                <c:pt idx="29">
                  <c:v>47396.169888170414</c:v>
                </c:pt>
                <c:pt idx="30">
                  <c:v>47644.279136970392</c:v>
                </c:pt>
                <c:pt idx="31">
                  <c:v>47869.404857691399</c:v>
                </c:pt>
                <c:pt idx="32">
                  <c:v>48073.576699735044</c:v>
                </c:pt>
                <c:pt idx="33">
                  <c:v>48258.661200802475</c:v>
                </c:pt>
                <c:pt idx="34">
                  <c:v>48426.37205302919</c:v>
                </c:pt>
                <c:pt idx="35">
                  <c:v>48578.280286510839</c:v>
                </c:pt>
                <c:pt idx="36">
                  <c:v>48715.824226906727</c:v>
                </c:pt>
                <c:pt idx="37">
                  <c:v>48840.319122919929</c:v>
                </c:pt>
                <c:pt idx="38">
                  <c:v>48952.966370607362</c:v>
                </c:pt>
                <c:pt idx="39">
                  <c:v>49054.862286102973</c:v>
                </c:pt>
                <c:pt idx="40">
                  <c:v>49147.006397643112</c:v>
                </c:pt>
                <c:pt idx="41">
                  <c:v>49230.309242763171</c:v>
                </c:pt>
                <c:pt idx="42">
                  <c:v>49305.599668016737</c:v>
                </c:pt>
                <c:pt idx="43">
                  <c:v>49373.631637234175</c:v>
                </c:pt>
                <c:pt idx="44">
                  <c:v>49435.090560747063</c:v>
                </c:pt>
                <c:pt idx="45">
                  <c:v>49490.599162616672</c:v>
                </c:pt>
                <c:pt idx="46">
                  <c:v>49540.722906092495</c:v>
                </c:pt>
                <c:pt idx="47">
                  <c:v>49585.974999594655</c:v>
                </c:pt>
                <c:pt idx="48">
                  <c:v>49626.821006708356</c:v>
                </c:pt>
                <c:pt idx="49">
                  <c:v>49663.683084198317</c:v>
                </c:pt>
                <c:pt idx="50">
                  <c:v>49696.943872056261</c:v>
                </c:pt>
                <c:pt idx="51">
                  <c:v>49726.950059213879</c:v>
                </c:pt>
                <c:pt idx="52">
                  <c:v>49754.015647889246</c:v>
                </c:pt>
                <c:pt idx="53">
                  <c:v>49778.424938668206</c:v>
                </c:pt>
                <c:pt idx="54">
                  <c:v>49800.435257417739</c:v>
                </c:pt>
                <c:pt idx="55">
                  <c:v>49820.27944403646</c:v>
                </c:pt>
                <c:pt idx="56">
                  <c:v>49838.168121907162</c:v>
                </c:pt>
                <c:pt idx="57">
                  <c:v>49854.29176575804</c:v>
                </c:pt>
                <c:pt idx="58">
                  <c:v>49868.822584485664</c:v>
                </c:pt>
                <c:pt idx="59">
                  <c:v>49881.916234361408</c:v>
                </c:pt>
                <c:pt idx="60">
                  <c:v>49893.713376945816</c:v>
                </c:pt>
                <c:pt idx="61">
                  <c:v>49904.341094981879</c:v>
                </c:pt>
                <c:pt idx="62">
                  <c:v>49913.914178533683</c:v>
                </c:pt>
                <c:pt idx="63">
                  <c:v>49922.536292685523</c:v>
                </c:pt>
                <c:pt idx="64">
                  <c:v>49930.301037220175</c:v>
                </c:pt>
                <c:pt idx="65">
                  <c:v>49937.292907854047</c:v>
                </c:pt>
                <c:pt idx="66">
                  <c:v>49943.588167821224</c:v>
                </c:pt>
                <c:pt idx="67">
                  <c:v>49949.255637866503</c:v>
                </c:pt>
                <c:pt idx="68">
                  <c:v>49954.357412027915</c:v>
                </c:pt>
                <c:pt idx="69">
                  <c:v>49958.949505959565</c:v>
                </c:pt>
                <c:pt idx="70">
                  <c:v>49963.082443963707</c:v>
                </c:pt>
                <c:pt idx="71">
                  <c:v>49966.801790364159</c:v>
                </c:pt>
                <c:pt idx="72">
                  <c:v>49970.14863035881</c:v>
                </c:pt>
                <c:pt idx="73">
                  <c:v>49973.160005034399</c:v>
                </c:pt>
                <c:pt idx="74">
                  <c:v>49975.869304809654</c:v>
                </c:pt>
                <c:pt idx="75">
                  <c:v>49978.306625190031</c:v>
                </c:pt>
                <c:pt idx="76">
                  <c:v>49980.499088367062</c:v>
                </c:pt>
                <c:pt idx="77">
                  <c:v>49982.471133874569</c:v>
                </c:pt>
                <c:pt idx="78">
                  <c:v>49984.244781221088</c:v>
                </c:pt>
                <c:pt idx="79">
                  <c:v>49985.839867150142</c:v>
                </c:pt>
                <c:pt idx="80">
                  <c:v>49987.274259935868</c:v>
                </c:pt>
                <c:pt idx="81">
                  <c:v>49988.564052898852</c:v>
                </c:pt>
                <c:pt idx="82">
                  <c:v>49989.723739124143</c:v>
                </c:pt>
                <c:pt idx="83">
                  <c:v>49990.766369178811</c:v>
                </c:pt>
                <c:pt idx="84">
                  <c:v>49991.703693458127</c:v>
                </c:pt>
                <c:pt idx="85">
                  <c:v>49992.546290636739</c:v>
                </c:pt>
                <c:pt idx="86">
                  <c:v>49993.303683562168</c:v>
                </c:pt>
                <c:pt idx="87">
                  <c:v>49993.98444380171</c:v>
                </c:pt>
                <c:pt idx="88">
                  <c:v>49994.596285939093</c:v>
                </c:pt>
                <c:pt idx="89">
                  <c:v>49995.146152613233</c:v>
                </c:pt>
                <c:pt idx="90">
                  <c:v>49995.640291196949</c:v>
                </c:pt>
              </c:numCache>
            </c:numRef>
          </c:xVal>
          <c:yVal>
            <c:numRef>
              <c:f>'Phase plot K'!$BS$8:$BS$98</c:f>
              <c:numCache>
                <c:formatCode>General</c:formatCode>
                <c:ptCount val="91"/>
                <c:pt idx="0">
                  <c:v>33422</c:v>
                </c:pt>
                <c:pt idx="1">
                  <c:v>26622.388071774389</c:v>
                </c:pt>
                <c:pt idx="2">
                  <c:v>21363.072335324745</c:v>
                </c:pt>
                <c:pt idx="3">
                  <c:v>17266.518694506438</c:v>
                </c:pt>
                <c:pt idx="4">
                  <c:v>14053.332091069398</c:v>
                </c:pt>
                <c:pt idx="5">
                  <c:v>11515.473375713422</c:v>
                </c:pt>
                <c:pt idx="6">
                  <c:v>9497.1543358983963</c:v>
                </c:pt>
                <c:pt idx="7">
                  <c:v>7881.0659481139892</c:v>
                </c:pt>
                <c:pt idx="8">
                  <c:v>6578.3808474667148</c:v>
                </c:pt>
                <c:pt idx="9">
                  <c:v>5521.456762302465</c:v>
                </c:pt>
                <c:pt idx="10">
                  <c:v>4658.4867518530327</c:v>
                </c:pt>
                <c:pt idx="11">
                  <c:v>3949.559848810009</c:v>
                </c:pt>
                <c:pt idx="12">
                  <c:v>3363.7477484159408</c:v>
                </c:pt>
                <c:pt idx="13">
                  <c:v>2876.9407611126162</c:v>
                </c:pt>
                <c:pt idx="14">
                  <c:v>2470.2329611387904</c:v>
                </c:pt>
                <c:pt idx="15">
                  <c:v>2128.7114401125959</c:v>
                </c:pt>
                <c:pt idx="16">
                  <c:v>1840.544107673823</c:v>
                </c:pt>
                <c:pt idx="17">
                  <c:v>1596.2889886823596</c:v>
                </c:pt>
                <c:pt idx="18">
                  <c:v>1388.3685778066786</c:v>
                </c:pt>
                <c:pt idx="19">
                  <c:v>1210.6677556668399</c:v>
                </c:pt>
                <c:pt idx="20">
                  <c:v>1058.2246368300134</c:v>
                </c:pt>
                <c:pt idx="21">
                  <c:v>926.99164681340869</c:v>
                </c:pt>
                <c:pt idx="22">
                  <c:v>813.64992805098962</c:v>
                </c:pt>
                <c:pt idx="23">
                  <c:v>715.464438496752</c:v>
                </c:pt>
                <c:pt idx="24">
                  <c:v>630.17025169304532</c:v>
                </c:pt>
                <c:pt idx="25">
                  <c:v>555.88289668738378</c:v>
                </c:pt>
                <c:pt idx="26">
                  <c:v>491.02730894237794</c:v>
                </c:pt>
                <c:pt idx="27">
                  <c:v>434.28125782465833</c:v>
                </c:pt>
                <c:pt idx="28">
                  <c:v>384.53008751294317</c:v>
                </c:pt>
                <c:pt idx="29">
                  <c:v>340.83034015878832</c:v>
                </c:pt>
                <c:pt idx="30">
                  <c:v>302.38038426214439</c:v>
                </c:pt>
                <c:pt idx="31">
                  <c:v>268.49659257005339</c:v>
                </c:pt>
                <c:pt idx="32">
                  <c:v>238.59393560264655</c:v>
                </c:pt>
                <c:pt idx="33">
                  <c:v>212.17010375039416</c:v>
                </c:pt>
                <c:pt idx="34">
                  <c:v>188.79246104613628</c:v>
                </c:pt>
                <c:pt idx="35">
                  <c:v>168.08728083136526</c:v>
                </c:pt>
                <c:pt idx="36">
                  <c:v>149.73082782575048</c:v>
                </c:pt>
                <c:pt idx="37">
                  <c:v>133.44194025910267</c:v>
                </c:pt>
                <c:pt idx="38">
                  <c:v>118.97583554341713</c:v>
                </c:pt>
                <c:pt idx="39">
                  <c:v>106.11891785497862</c:v>
                </c:pt>
                <c:pt idx="40">
                  <c:v>94.684409318592643</c:v>
                </c:pt>
                <c:pt idx="41">
                  <c:v>84.50866080432624</c:v>
                </c:pt>
                <c:pt idx="42">
                  <c:v>75.448025632299476</c:v>
                </c:pt>
                <c:pt idx="43">
                  <c:v>67.376201252043387</c:v>
                </c:pt>
                <c:pt idx="44">
                  <c:v>60.181961395042777</c:v>
                </c:pt>
                <c:pt idx="45">
                  <c:v>53.767215205112493</c:v>
                </c:pt>
                <c:pt idx="46">
                  <c:v>48.045341142706306</c:v>
                </c:pt>
                <c:pt idx="47">
                  <c:v>42.939752592675596</c:v>
                </c:pt>
                <c:pt idx="48">
                  <c:v>38.382659517223679</c:v>
                </c:pt>
                <c:pt idx="49">
                  <c:v>34.313996530872295</c:v>
                </c:pt>
                <c:pt idx="50">
                  <c:v>30.680492703987962</c:v>
                </c:pt>
                <c:pt idx="51">
                  <c:v>27.434862441249656</c:v>
                </c:pt>
                <c:pt idx="52">
                  <c:v>24.535100102655793</c:v>
                </c:pt>
                <c:pt idx="53">
                  <c:v>21.943863773847227</c:v>
                </c:pt>
                <c:pt idx="54">
                  <c:v>19.627935858887824</c:v>
                </c:pt>
                <c:pt idx="55">
                  <c:v>17.557750049792922</c:v>
                </c:pt>
                <c:pt idx="56">
                  <c:v>15.706975793476104</c:v>
                </c:pt>
                <c:pt idx="57">
                  <c:v>14.052152685208247</c:v>
                </c:pt>
                <c:pt idx="58">
                  <c:v>12.572368314087589</c:v>
                </c:pt>
                <c:pt idx="59">
                  <c:v>11.248974007651087</c:v>
                </c:pt>
                <c:pt idx="60">
                  <c:v>10.065333699893332</c:v>
                </c:pt>
                <c:pt idx="61">
                  <c:v>9.0066018042780396</c:v>
                </c:pt>
                <c:pt idx="62">
                  <c:v>8.0595265309970578</c:v>
                </c:pt>
                <c:pt idx="63">
                  <c:v>7.2122755622783892</c:v>
                </c:pt>
                <c:pt idx="64">
                  <c:v>6.4542814045457808</c:v>
                </c:pt>
                <c:pt idx="65">
                  <c:v>5.7761040828728953</c:v>
                </c:pt>
                <c:pt idx="66">
                  <c:v>5.1693091406946881</c:v>
                </c:pt>
                <c:pt idx="67">
                  <c:v>4.6263591637904717</c:v>
                </c:pt>
                <c:pt idx="68">
                  <c:v>4.1405172684942606</c:v>
                </c:pt>
                <c:pt idx="69">
                  <c:v>3.7057611852132859</c:v>
                </c:pt>
                <c:pt idx="70">
                  <c:v>3.3167067340680685</c:v>
                </c:pt>
                <c:pt idx="71">
                  <c:v>2.9685396335122132</c:v>
                </c:pt>
                <c:pt idx="72">
                  <c:v>2.6569547082598488</c:v>
                </c:pt>
                <c:pt idx="73">
                  <c:v>2.3781016723659181</c:v>
                </c:pt>
                <c:pt idx="74">
                  <c:v>2.1285367590852426</c:v>
                </c:pt>
                <c:pt idx="75">
                  <c:v>1.9051795530582811</c:v>
                </c:pt>
                <c:pt idx="76">
                  <c:v>1.7052744540304798</c:v>
                </c:pt>
                <c:pt idx="77">
                  <c:v>1.5263562660680989</c:v>
                </c:pt>
                <c:pt idx="78">
                  <c:v>1.3662194632485882</c:v>
                </c:pt>
                <c:pt idx="79">
                  <c:v>1.2228907330739673</c:v>
                </c:pt>
                <c:pt idx="80">
                  <c:v>1.0946044432370126</c:v>
                </c:pt>
                <c:pt idx="81">
                  <c:v>0.9797807165996133</c:v>
                </c:pt>
                <c:pt idx="82">
                  <c:v>0.87700583395715537</c:v>
                </c:pt>
                <c:pt idx="83">
                  <c:v>0.7850147149134713</c:v>
                </c:pt>
                <c:pt idx="84">
                  <c:v>0.70267525445614354</c:v>
                </c:pt>
                <c:pt idx="85">
                  <c:v>0.6289743170178046</c:v>
                </c:pt>
                <c:pt idx="86">
                  <c:v>0.5630052112981877</c:v>
                </c:pt>
                <c:pt idx="87">
                  <c:v>0.50395648822074079</c:v>
                </c:pt>
                <c:pt idx="88">
                  <c:v>0.45110192138375771</c:v>
                </c:pt>
                <c:pt idx="89">
                  <c:v>0.40379154448212723</c:v>
                </c:pt>
                <c:pt idx="90">
                  <c:v>0.36144363363528059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933-4941-ADC0-FB93FC15165A}"/>
            </c:ext>
          </c:extLst>
        </c:ser>
        <c:ser>
          <c:idx val="8"/>
          <c:order val="7"/>
          <c:tx>
            <c:strRef>
              <c:f>'Phase plot K'!$BV$7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K'!$BU$8:$BU$98</c:f>
              <c:numCache>
                <c:formatCode>General</c:formatCode>
                <c:ptCount val="91"/>
                <c:pt idx="0">
                  <c:v>567</c:v>
                </c:pt>
                <c:pt idx="1">
                  <c:v>5787.6622840138116</c:v>
                </c:pt>
                <c:pt idx="2">
                  <c:v>9997.1313351267472</c:v>
                </c:pt>
                <c:pt idx="3">
                  <c:v>13585.822609063905</c:v>
                </c:pt>
                <c:pt idx="4">
                  <c:v>16752.454524156139</c:v>
                </c:pt>
                <c:pt idx="5">
                  <c:v>19604.774730864454</c:v>
                </c:pt>
                <c:pt idx="6">
                  <c:v>22204.591262556722</c:v>
                </c:pt>
                <c:pt idx="7">
                  <c:v>24589.546228199149</c:v>
                </c:pt>
                <c:pt idx="8">
                  <c:v>26784.239213407749</c:v>
                </c:pt>
                <c:pt idx="9">
                  <c:v>28806.122258165215</c:v>
                </c:pt>
                <c:pt idx="10">
                  <c:v>30668.691410856001</c:v>
                </c:pt>
                <c:pt idx="11">
                  <c:v>32383.22757775601</c:v>
                </c:pt>
                <c:pt idx="12">
                  <c:v>33959.739830636732</c:v>
                </c:pt>
                <c:pt idx="13">
                  <c:v>35407.464849302363</c:v>
                </c:pt>
                <c:pt idx="14">
                  <c:v>36735.119284815468</c:v>
                </c:pt>
                <c:pt idx="15">
                  <c:v>37951.016459518367</c:v>
                </c:pt>
                <c:pt idx="16">
                  <c:v>39063.110994847593</c:v>
                </c:pt>
                <c:pt idx="17">
                  <c:v>40079.007596715928</c:v>
                </c:pt>
                <c:pt idx="18">
                  <c:v>41005.954362505596</c:v>
                </c:pt>
                <c:pt idx="19">
                  <c:v>41850.831717502711</c:v>
                </c:pt>
                <c:pt idx="20">
                  <c:v>42620.142697433752</c:v>
                </c:pt>
                <c:pt idx="21">
                  <c:v>43320.007187684627</c:v>
                </c:pt>
                <c:pt idx="22">
                  <c:v>43956.16098171968</c:v>
                </c:pt>
                <c:pt idx="23">
                  <c:v>44533.959579515351</c:v>
                </c:pt>
                <c:pt idx="24">
                  <c:v>45058.386180146917</c:v>
                </c:pt>
                <c:pt idx="25">
                  <c:v>45534.063131064977</c:v>
                </c:pt>
                <c:pt idx="26">
                  <c:v>45965.266059402631</c:v>
                </c:pt>
                <c:pt idx="27">
                  <c:v>46355.939955431626</c:v>
                </c:pt>
                <c:pt idx="28">
                  <c:v>46709.716562081558</c:v>
                </c:pt>
                <c:pt idx="29">
                  <c:v>47029.932522326133</c:v>
                </c:pt>
                <c:pt idx="30">
                  <c:v>47319.647834292024</c:v>
                </c:pt>
                <c:pt idx="31">
                  <c:v>47581.664254870797</c:v>
                </c:pt>
                <c:pt idx="32">
                  <c:v>47818.543373081833</c:v>
                </c:pt>
                <c:pt idx="33">
                  <c:v>48032.62414340963</c:v>
                </c:pt>
                <c:pt idx="34">
                  <c:v>48226.039727067211</c:v>
                </c:pt>
                <c:pt idx="35">
                  <c:v>48400.733536522253</c:v>
                </c:pt>
                <c:pt idx="36">
                  <c:v>48558.474416857316</c:v>
                </c:pt>
                <c:pt idx="37">
                  <c:v>48700.870927889846</c:v>
                </c:pt>
                <c:pt idx="38">
                  <c:v>48829.384714676096</c:v>
                </c:pt>
                <c:pt idx="39">
                  <c:v>48945.342972187267</c:v>
                </c:pt>
                <c:pt idx="40">
                  <c:v>49049.950023567144</c:v>
                </c:pt>
                <c:pt idx="41">
                  <c:v>49144.298041314207</c:v>
                </c:pt>
                <c:pt idx="42">
                  <c:v>49229.376947704135</c:v>
                </c:pt>
                <c:pt idx="43">
                  <c:v>49306.083535388949</c:v>
                </c:pt>
                <c:pt idx="44">
                  <c:v>49375.229851881071</c:v>
                </c:pt>
                <c:pt idx="45">
                  <c:v>49437.550892967694</c:v>
                </c:pt>
                <c:pt idx="46">
                  <c:v>49493.711650340134</c:v>
                </c:pt>
                <c:pt idx="47">
                  <c:v>49544.313558136826</c:v>
                </c:pt>
                <c:pt idx="48">
                  <c:v>49589.900381905209</c:v>
                </c:pt>
                <c:pt idx="49">
                  <c:v>49630.963591861895</c:v>
                </c:pt>
                <c:pt idx="50">
                  <c:v>49667.947260408917</c:v>
                </c:pt>
                <c:pt idx="51">
                  <c:v>49701.252521754832</c:v>
                </c:pt>
                <c:pt idx="52">
                  <c:v>49731.241629276527</c:v>
                </c:pt>
                <c:pt idx="53">
                  <c:v>49758.241644004658</c:v>
                </c:pt>
                <c:pt idx="54">
                  <c:v>49782.547785371426</c:v>
                </c:pt>
                <c:pt idx="55">
                  <c:v>49804.426473159561</c:v>
                </c:pt>
                <c:pt idx="56">
                  <c:v>49824.118087462164</c:v>
                </c:pt>
                <c:pt idx="57">
                  <c:v>49841.839471422216</c:v>
                </c:pt>
                <c:pt idx="58">
                  <c:v>49857.786199580565</c:v>
                </c:pt>
                <c:pt idx="59">
                  <c:v>49872.134632828682</c:v>
                </c:pt>
                <c:pt idx="60">
                  <c:v>49885.043779241503</c:v>
                </c:pt>
                <c:pt idx="61">
                  <c:v>49896.656978456595</c:v>
                </c:pt>
                <c:pt idx="62">
                  <c:v>49907.103425767382</c:v>
                </c:pt>
                <c:pt idx="63">
                  <c:v>49916.499550707777</c:v>
                </c:pt>
                <c:pt idx="64">
                  <c:v>49924.950263618484</c:v>
                </c:pt>
                <c:pt idx="65">
                  <c:v>49932.550082497713</c:v>
                </c:pt>
                <c:pt idx="66">
                  <c:v>49939.384151345141</c:v>
                </c:pt>
                <c:pt idx="67">
                  <c:v>49945.529160202561</c:v>
                </c:pt>
                <c:pt idx="68">
                  <c:v>49951.054176172263</c:v>
                </c:pt>
                <c:pt idx="69">
                  <c:v>49956.021393849092</c:v>
                </c:pt>
                <c:pt idx="70">
                  <c:v>49960.486812828894</c:v>
                </c:pt>
                <c:pt idx="71">
                  <c:v>49964.500849249795</c:v>
                </c:pt>
                <c:pt idx="72">
                  <c:v>49968.108887677765</c:v>
                </c:pt>
                <c:pt idx="73">
                  <c:v>49971.351779060191</c:v>
                </c:pt>
                <c:pt idx="74">
                  <c:v>49974.266289935367</c:v>
                </c:pt>
                <c:pt idx="75">
                  <c:v>49976.885507598527</c:v>
                </c:pt>
                <c:pt idx="76">
                  <c:v>49979.239205481448</c:v>
                </c:pt>
                <c:pt idx="77">
                  <c:v>49981.354172599618</c:v>
                </c:pt>
                <c:pt idx="78">
                  <c:v>49983.254510554951</c:v>
                </c:pt>
                <c:pt idx="79">
                  <c:v>49984.961901249524</c:v>
                </c:pt>
                <c:pt idx="80">
                  <c:v>49986.495848164341</c:v>
                </c:pt>
                <c:pt idx="81">
                  <c:v>49987.873893783479</c:v>
                </c:pt>
                <c:pt idx="82">
                  <c:v>49989.111815496195</c:v>
                </c:pt>
                <c:pt idx="83">
                  <c:v>49990.223802084751</c:v>
                </c:pt>
                <c:pt idx="84">
                  <c:v>49991.22261270231</c:v>
                </c:pt>
                <c:pt idx="85">
                  <c:v>49992.11972006104</c:v>
                </c:pt>
                <c:pt idx="86">
                  <c:v>49992.925439383675</c:v>
                </c:pt>
                <c:pt idx="87">
                  <c:v>49993.649044520986</c:v>
                </c:pt>
                <c:pt idx="88">
                  <c:v>49994.298872501146</c:v>
                </c:pt>
                <c:pt idx="89">
                  <c:v>49994.882417653404</c:v>
                </c:pt>
                <c:pt idx="90">
                  <c:v>49995.406416337129</c:v>
                </c:pt>
              </c:numCache>
            </c:numRef>
          </c:xVal>
          <c:yVal>
            <c:numRef>
              <c:f>'Phase plot K'!$BV$8:$BV$98</c:f>
              <c:numCache>
                <c:formatCode>General</c:formatCode>
                <c:ptCount val="91"/>
                <c:pt idx="0">
                  <c:v>49433</c:v>
                </c:pt>
                <c:pt idx="1">
                  <c:v>37385.345991124523</c:v>
                </c:pt>
                <c:pt idx="2">
                  <c:v>28757.093385142096</c:v>
                </c:pt>
                <c:pt idx="3">
                  <c:v>22432.656962275156</c:v>
                </c:pt>
                <c:pt idx="4">
                  <c:v>17713.235583911675</c:v>
                </c:pt>
                <c:pt idx="5">
                  <c:v>14139.136845694989</c:v>
                </c:pt>
                <c:pt idx="6">
                  <c:v>11397.596484837984</c:v>
                </c:pt>
                <c:pt idx="7">
                  <c:v>9270.5109473360808</c:v>
                </c:pt>
                <c:pt idx="8">
                  <c:v>7602.8610856422365</c:v>
                </c:pt>
                <c:pt idx="9">
                  <c:v>6282.7410273974338</c:v>
                </c:pt>
                <c:pt idx="10">
                  <c:v>5228.2925585383946</c:v>
                </c:pt>
                <c:pt idx="11">
                  <c:v>4378.935240333527</c:v>
                </c:pt>
                <c:pt idx="12">
                  <c:v>3689.360345710938</c:v>
                </c:pt>
                <c:pt idx="13">
                  <c:v>3125.3498360321264</c:v>
                </c:pt>
                <c:pt idx="14">
                  <c:v>2660.825512650496</c:v>
                </c:pt>
                <c:pt idx="15">
                  <c:v>2275.7413774368374</c:v>
                </c:pt>
                <c:pt idx="16">
                  <c:v>1954.5621455844284</c:v>
                </c:pt>
                <c:pt idx="17">
                  <c:v>1685.1542004658697</c:v>
                </c:pt>
                <c:pt idx="18">
                  <c:v>1457.9699037228443</c:v>
                </c:pt>
                <c:pt idx="19">
                  <c:v>1265.4426039648411</c:v>
                </c:pt>
                <c:pt idx="20">
                  <c:v>1101.5343430766673</c:v>
                </c:pt>
                <c:pt idx="21">
                  <c:v>961.39515753772253</c:v>
                </c:pt>
                <c:pt idx="22">
                  <c:v>841.10458301172673</c:v>
                </c:pt>
                <c:pt idx="23">
                  <c:v>737.47416740136305</c:v>
                </c:pt>
                <c:pt idx="24">
                  <c:v>647.89558732879266</c:v>
                </c:pt>
                <c:pt idx="25">
                  <c:v>570.22308710112065</c:v>
                </c:pt>
                <c:pt idx="26">
                  <c:v>502.68192014523993</c:v>
                </c:pt>
                <c:pt idx="27">
                  <c:v>443.79661465872664</c:v>
                </c:pt>
                <c:pt idx="28">
                  <c:v>392.3344455140292</c:v>
                </c:pt>
                <c:pt idx="29">
                  <c:v>347.26063890300924</c:v>
                </c:pt>
                <c:pt idx="30">
                  <c:v>307.70268115118171</c:v>
                </c:pt>
                <c:pt idx="31">
                  <c:v>272.9217308848331</c:v>
                </c:pt>
                <c:pt idx="32">
                  <c:v>242.28960296308247</c:v>
                </c:pt>
                <c:pt idx="33">
                  <c:v>215.2701453800592</c:v>
                </c:pt>
                <c:pt idx="34">
                  <c:v>191.40409709390349</c:v>
                </c:pt>
                <c:pt idx="35">
                  <c:v>170.29671753577153</c:v>
                </c:pt>
                <c:pt idx="36">
                  <c:v>151.60763354031252</c:v>
                </c:pt>
                <c:pt idx="37">
                  <c:v>135.04246849299892</c:v>
                </c:pt>
                <c:pt idx="38">
                  <c:v>120.34591039045849</c:v>
                </c:pt>
                <c:pt idx="39">
                  <c:v>107.2959467874947</c:v>
                </c:pt>
                <c:pt idx="40">
                  <c:v>95.69905014056323</c:v>
                </c:pt>
                <c:pt idx="41">
                  <c:v>85.386140520634086</c:v>
                </c:pt>
                <c:pt idx="42">
                  <c:v>76.209186829293444</c:v>
                </c:pt>
                <c:pt idx="43">
                  <c:v>68.038334613384677</c:v>
                </c:pt>
                <c:pt idx="44">
                  <c:v>60.759469938823884</c:v>
                </c:pt>
                <c:pt idx="45">
                  <c:v>54.27214578160509</c:v>
                </c:pt>
                <c:pt idx="46">
                  <c:v>48.487810968317419</c:v>
                </c:pt>
                <c:pt idx="47">
                  <c:v>43.328292579771386</c:v>
                </c:pt>
                <c:pt idx="48">
                  <c:v>38.724491485931111</c:v>
                </c:pt>
                <c:pt idx="49">
                  <c:v>34.615257749385762</c:v>
                </c:pt>
                <c:pt idx="50">
                  <c:v>30.946418362939653</c:v>
                </c:pt>
                <c:pt idx="51">
                  <c:v>27.669934445177351</c:v>
                </c:pt>
                <c:pt idx="52">
                  <c:v>24.743168819177765</c:v>
                </c:pt>
                <c:pt idx="53">
                  <c:v>22.128248012304631</c:v>
                </c:pt>
                <c:pt idx="54">
                  <c:v>19.791505272694305</c:v>
                </c:pt>
                <c:pt idx="55">
                  <c:v>17.702993306877449</c:v>
                </c:pt>
                <c:pt idx="56">
                  <c:v>15.836057187625316</c:v>
                </c:pt>
                <c:pt idx="57">
                  <c:v>14.166959329399143</c:v>
                </c:pt>
                <c:pt idx="58">
                  <c:v>12.674549635118764</c:v>
                </c:pt>
                <c:pt idx="59">
                  <c:v>11.339974926159183</c:v>
                </c:pt>
                <c:pt idx="60">
                  <c:v>10.146422612896254</c:v>
                </c:pt>
                <c:pt idx="61">
                  <c:v>9.0788942743875456</c:v>
                </c:pt>
                <c:pt idx="62">
                  <c:v>8.124005416139541</c:v>
                </c:pt>
                <c:pt idx="63">
                  <c:v>7.2698081833066057</c:v>
                </c:pt>
                <c:pt idx="64">
                  <c:v>6.5056342385467705</c:v>
                </c:pt>
                <c:pt idx="65">
                  <c:v>5.8219553817809757</c:v>
                </c:pt>
                <c:pt idx="66">
                  <c:v>5.2102598036595733</c:v>
                </c:pt>
                <c:pt idx="67">
                  <c:v>4.662942134192579</c:v>
                </c:pt>
                <c:pt idx="68">
                  <c:v>4.1732056798187109</c:v>
                </c:pt>
                <c:pt idx="69">
                  <c:v>3.7349754420298424</c:v>
                </c:pt>
                <c:pt idx="70">
                  <c:v>3.3428206833985303</c:v>
                </c:pt>
                <c:pt idx="71">
                  <c:v>2.9918859565324234</c:v>
                </c:pt>
                <c:pt idx="72">
                  <c:v>2.6778296414904075</c:v>
                </c:pt>
                <c:pt idx="73">
                  <c:v>2.3967691503835602</c:v>
                </c:pt>
                <c:pt idx="74">
                  <c:v>2.1452320566394287</c:v>
                </c:pt>
                <c:pt idx="75">
                  <c:v>1.920112492747009</c:v>
                </c:pt>
                <c:pt idx="76">
                  <c:v>1.7186322359278401</c:v>
                </c:pt>
                <c:pt idx="77">
                  <c:v>1.5383059675434676</c:v>
                </c:pt>
                <c:pt idx="78">
                  <c:v>1.3769102503832535</c:v>
                </c:pt>
                <c:pt idx="79">
                  <c:v>1.2324558193309167</c:v>
                </c:pt>
                <c:pt idx="80">
                  <c:v>1.1031628261836883</c:v>
                </c:pt>
                <c:pt idx="81">
                  <c:v>0.98743871936756888</c:v>
                </c:pt>
                <c:pt idx="82">
                  <c:v>0.88385847462131251</c:v>
                </c:pt>
                <c:pt idx="83">
                  <c:v>0.79114692398474795</c:v>
                </c:pt>
                <c:pt idx="84">
                  <c:v>0.70816295812086194</c:v>
                </c:pt>
                <c:pt idx="85">
                  <c:v>0.6338854015567531</c:v>
                </c:pt>
                <c:pt idx="86">
                  <c:v>0.56740038222089995</c:v>
                </c:pt>
                <c:pt idx="87">
                  <c:v>0.5078900360097085</c:v>
                </c:pt>
                <c:pt idx="88">
                  <c:v>0.454622404320148</c:v>
                </c:pt>
                <c:pt idx="89">
                  <c:v>0.40694239778688962</c:v>
                </c:pt>
                <c:pt idx="90">
                  <c:v>0.36426371308037842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933-4941-ADC0-FB93FC15165A}"/>
            </c:ext>
          </c:extLst>
        </c:ser>
        <c:ser>
          <c:idx val="9"/>
          <c:order val="8"/>
          <c:tx>
            <c:strRef>
              <c:f>'Phase plot K'!$BY$7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K'!$BX$8:$BX$98</c:f>
              <c:numCache>
                <c:formatCode>General</c:formatCode>
                <c:ptCount val="91"/>
                <c:pt idx="0">
                  <c:v>4356</c:v>
                </c:pt>
                <c:pt idx="1">
                  <c:v>9611.1118713102587</c:v>
                </c:pt>
                <c:pt idx="2">
                  <c:v>14261.180048185715</c:v>
                </c:pt>
                <c:pt idx="3">
                  <c:v>18375.869664150392</c:v>
                </c:pt>
                <c:pt idx="4">
                  <c:v>22016.822897717575</c:v>
                </c:pt>
                <c:pt idx="5">
                  <c:v>25238.58366873765</c:v>
                </c:pt>
                <c:pt idx="6">
                  <c:v>28089.415424214967</c:v>
                </c:pt>
                <c:pt idx="7">
                  <c:v>30612.024529248873</c:v>
                </c:pt>
                <c:pt idx="8">
                  <c:v>32844.200239756836</c:v>
                </c:pt>
                <c:pt idx="9">
                  <c:v>34819.380919588373</c:v>
                </c:pt>
                <c:pt idx="10">
                  <c:v>36567.155025751963</c:v>
                </c:pt>
                <c:pt idx="11">
                  <c:v>38113.704389949664</c:v>
                </c:pt>
                <c:pt idx="12">
                  <c:v>39482.196450120849</c:v>
                </c:pt>
                <c:pt idx="13">
                  <c:v>40693.13131532188</c:v>
                </c:pt>
                <c:pt idx="14">
                  <c:v>41764.648867464886</c:v>
                </c:pt>
                <c:pt idx="15">
                  <c:v>42712.800502944054</c:v>
                </c:pt>
                <c:pt idx="16">
                  <c:v>43551.789586407438</c:v>
                </c:pt>
                <c:pt idx="17">
                  <c:v>44294.184219606919</c:v>
                </c:pt>
                <c:pt idx="18">
                  <c:v>44951.105513163289</c:v>
                </c:pt>
                <c:pt idx="19">
                  <c:v>45532.39418189256</c:v>
                </c:pt>
                <c:pt idx="20">
                  <c:v>46046.75795949217</c:v>
                </c:pt>
                <c:pt idx="21">
                  <c:v>46501.902040978799</c:v>
                </c:pt>
                <c:pt idx="22">
                  <c:v>46904.644506976707</c:v>
                </c:pt>
                <c:pt idx="23">
                  <c:v>47261.018458954313</c:v>
                </c:pt>
                <c:pt idx="24">
                  <c:v>47576.362395419615</c:v>
                </c:pt>
                <c:pt idx="25">
                  <c:v>47855.400182924051</c:v>
                </c:pt>
                <c:pt idx="26">
                  <c:v>48102.311819848954</c:v>
                </c:pt>
                <c:pt idx="27">
                  <c:v>48320.796053020975</c:v>
                </c:pt>
                <c:pt idx="28">
                  <c:v>48514.125785156524</c:v>
                </c:pt>
                <c:pt idx="29">
                  <c:v>48685.197103140701</c:v>
                </c:pt>
                <c:pt idx="30">
                  <c:v>48836.572661586019</c:v>
                </c:pt>
                <c:pt idx="31">
                  <c:v>48970.520071557796</c:v>
                </c:pt>
                <c:pt idx="32">
                  <c:v>49089.045869530652</c:v>
                </c:pt>
                <c:pt idx="33">
                  <c:v>49193.9255754322</c:v>
                </c:pt>
                <c:pt idx="34">
                  <c:v>49286.730290044594</c:v>
                </c:pt>
                <c:pt idx="35">
                  <c:v>49368.850230194214</c:v>
                </c:pt>
                <c:pt idx="36">
                  <c:v>49441.515554287704</c:v>
                </c:pt>
                <c:pt idx="37">
                  <c:v>49505.814790162061</c:v>
                </c:pt>
                <c:pt idx="38">
                  <c:v>49562.711141298976</c:v>
                </c:pt>
                <c:pt idx="39">
                  <c:v>49613.056915671536</c:v>
                </c:pt>
                <c:pt idx="40">
                  <c:v>49657.606293368372</c:v>
                </c:pt>
                <c:pt idx="41">
                  <c:v>49697.026624255108</c:v>
                </c:pt>
                <c:pt idx="42">
                  <c:v>49731.908424912894</c:v>
                </c:pt>
                <c:pt idx="43">
                  <c:v>49762.774224608889</c:v>
                </c:pt>
                <c:pt idx="44">
                  <c:v>49790.086392812031</c:v>
                </c:pt>
                <c:pt idx="45">
                  <c:v>49814.254065510795</c:v>
                </c:pt>
                <c:pt idx="46">
                  <c:v>49835.639274089845</c:v>
                </c:pt>
                <c:pt idx="47">
                  <c:v>49854.562368576502</c:v>
                </c:pt>
                <c:pt idx="48">
                  <c:v>49871.306816497796</c:v>
                </c:pt>
                <c:pt idx="49">
                  <c:v>49886.123449235267</c:v>
                </c:pt>
                <c:pt idx="50">
                  <c:v>49899.234219488324</c:v>
                </c:pt>
                <c:pt idx="51">
                  <c:v>49910.835526133182</c:v>
                </c:pt>
                <c:pt idx="52">
                  <c:v>49921.101156284087</c:v>
                </c:pt>
                <c:pt idx="53">
                  <c:v>49930.184888629061</c:v>
                </c:pt>
                <c:pt idx="54">
                  <c:v>49938.222797038397</c:v>
                </c:pt>
                <c:pt idx="55">
                  <c:v>49945.335288954077</c:v>
                </c:pt>
                <c:pt idx="56">
                  <c:v>49951.628909095365</c:v>
                </c:pt>
                <c:pt idx="57">
                  <c:v>49957.197935500175</c:v>
                </c:pt>
                <c:pt idx="58">
                  <c:v>49962.125791811057</c:v>
                </c:pt>
                <c:pt idx="59">
                  <c:v>49966.486296961913</c:v>
                </c:pt>
                <c:pt idx="60">
                  <c:v>49970.344770985837</c:v>
                </c:pt>
                <c:pt idx="61">
                  <c:v>49973.759013509174</c:v>
                </c:pt>
                <c:pt idx="62">
                  <c:v>49976.780169589605</c:v>
                </c:pt>
                <c:pt idx="63">
                  <c:v>49979.453495868693</c:v>
                </c:pt>
                <c:pt idx="64">
                  <c:v>49981.819038515772</c:v>
                </c:pt>
                <c:pt idx="65">
                  <c:v>49983.912233118906</c:v>
                </c:pt>
                <c:pt idx="66">
                  <c:v>49985.764435509249</c:v>
                </c:pt>
                <c:pt idx="67">
                  <c:v>49987.403391470587</c:v>
                </c:pt>
                <c:pt idx="68">
                  <c:v>49988.853652370381</c:v>
                </c:pt>
                <c:pt idx="69">
                  <c:v>49990.136942938421</c:v>
                </c:pt>
                <c:pt idx="70">
                  <c:v>49991.27248670243</c:v>
                </c:pt>
                <c:pt idx="71">
                  <c:v>49992.277293955696</c:v>
                </c:pt>
                <c:pt idx="72">
                  <c:v>49993.166416570479</c:v>
                </c:pt>
                <c:pt idx="73">
                  <c:v>49993.953173474256</c:v>
                </c:pt>
                <c:pt idx="74">
                  <c:v>49994.649350166525</c:v>
                </c:pt>
                <c:pt idx="75">
                  <c:v>49995.26537526484</c:v>
                </c:pt>
                <c:pt idx="76">
                  <c:v>49995.810476724851</c:v>
                </c:pt>
                <c:pt idx="77">
                  <c:v>49996.292820074406</c:v>
                </c:pt>
                <c:pt idx="78">
                  <c:v>49996.719630732543</c:v>
                </c:pt>
                <c:pt idx="79">
                  <c:v>49997.097302245689</c:v>
                </c:pt>
                <c:pt idx="80">
                  <c:v>49997.431492062446</c:v>
                </c:pt>
                <c:pt idx="81">
                  <c:v>49997.727206281641</c:v>
                </c:pt>
                <c:pt idx="82">
                  <c:v>49997.988874643241</c:v>
                </c:pt>
                <c:pt idx="83">
                  <c:v>49998.220416885386</c:v>
                </c:pt>
                <c:pt idx="84">
                  <c:v>49998.425301461655</c:v>
                </c:pt>
                <c:pt idx="85">
                  <c:v>49998.606597498117</c:v>
                </c:pt>
                <c:pt idx="86">
                  <c:v>49998.767020768479</c:v>
                </c:pt>
                <c:pt idx="87">
                  <c:v>49998.908974376063</c:v>
                </c:pt>
                <c:pt idx="88">
                  <c:v>49999.034584751964</c:v>
                </c:pt>
                <c:pt idx="89">
                  <c:v>49999.145733508711</c:v>
                </c:pt>
                <c:pt idx="90">
                  <c:v>49999.244085626568</c:v>
                </c:pt>
              </c:numCache>
            </c:numRef>
          </c:xVal>
          <c:yVal>
            <c:numRef>
              <c:f>'Phase plot K'!$BY$8:$BY$98</c:f>
              <c:numCache>
                <c:formatCode>General</c:formatCode>
                <c:ptCount val="91"/>
                <c:pt idx="0">
                  <c:v>1</c:v>
                </c:pt>
                <c:pt idx="1">
                  <c:v>0.76666709635993158</c:v>
                </c:pt>
                <c:pt idx="2">
                  <c:v>0.59837825777477982</c:v>
                </c:pt>
                <c:pt idx="3">
                  <c:v>0.47446952938351594</c:v>
                </c:pt>
                <c:pt idx="4">
                  <c:v>0.38151434051036742</c:v>
                </c:pt>
                <c:pt idx="5">
                  <c:v>0.31058632610020526</c:v>
                </c:pt>
                <c:pt idx="6">
                  <c:v>0.25562484140914404</c:v>
                </c:pt>
                <c:pt idx="7">
                  <c:v>0.21243457110392516</c:v>
                </c:pt>
                <c:pt idx="8">
                  <c:v>0.17805915020877344</c:v>
                </c:pt>
                <c:pt idx="9">
                  <c:v>0.15038063243121258</c:v>
                </c:pt>
                <c:pt idx="10">
                  <c:v>0.12785833659360357</c:v>
                </c:pt>
                <c:pt idx="11">
                  <c:v>0.10935546373207819</c:v>
                </c:pt>
                <c:pt idx="12">
                  <c:v>9.40220350786794E-2</c:v>
                </c:pt>
                <c:pt idx="13">
                  <c:v>8.1214609116728037E-2</c:v>
                </c:pt>
                <c:pt idx="14">
                  <c:v>7.0440412620211904E-2</c:v>
                </c:pt>
                <c:pt idx="15">
                  <c:v>6.1317927592814188E-2</c:v>
                </c:pt>
                <c:pt idx="16">
                  <c:v>5.3548730121646328E-2</c:v>
                </c:pt>
                <c:pt idx="17">
                  <c:v>4.6897126879281534E-2</c:v>
                </c:pt>
                <c:pt idx="18">
                  <c:v>4.1175263978486774E-2</c:v>
                </c:pt>
                <c:pt idx="19">
                  <c:v>3.6232122032832541E-2</c:v>
                </c:pt>
                <c:pt idx="20">
                  <c:v>3.1945301908111789E-2</c:v>
                </c:pt>
                <c:pt idx="21">
                  <c:v>2.821483557950347E-2</c:v>
                </c:pt>
                <c:pt idx="22">
                  <c:v>2.4958481116063712E-2</c:v>
                </c:pt>
                <c:pt idx="23">
                  <c:v>2.2108115507551363E-2</c:v>
                </c:pt>
                <c:pt idx="24">
                  <c:v>1.9606946770063458E-2</c:v>
                </c:pt>
                <c:pt idx="25">
                  <c:v>1.7407342565893984E-2</c:v>
                </c:pt>
                <c:pt idx="26">
                  <c:v>1.5469126439458736E-2</c:v>
                </c:pt>
                <c:pt idx="27">
                  <c:v>1.3758231411750768E-2</c:v>
                </c:pt>
                <c:pt idx="28">
                  <c:v>1.2245628641706328E-2</c:v>
                </c:pt>
                <c:pt idx="29">
                  <c:v>1.090646927421394E-2</c:v>
                </c:pt>
                <c:pt idx="30">
                  <c:v>9.7193926114313017E-3</c:v>
                </c:pt>
                <c:pt idx="31">
                  <c:v>8.6659648761473109E-3</c:v>
                </c:pt>
                <c:pt idx="32">
                  <c:v>7.7302211475305718E-3</c:v>
                </c:pt>
                <c:pt idx="33">
                  <c:v>6.8982892976846774E-3</c:v>
                </c:pt>
                <c:pt idx="34">
                  <c:v>6.1580794847013003E-3</c:v>
                </c:pt>
                <c:pt idx="35">
                  <c:v>5.499026356534353E-3</c:v>
                </c:pt>
                <c:pt idx="36">
                  <c:v>4.9118738755152694E-3</c:v>
                </c:pt>
                <c:pt idx="37">
                  <c:v>4.3884947950223376E-3</c:v>
                </c:pt>
                <c:pt idx="38">
                  <c:v>3.9217384622311545E-3</c:v>
                </c:pt>
                <c:pt idx="39">
                  <c:v>3.5053018988138651E-3</c:v>
                </c:pt>
                <c:pt idx="40">
                  <c:v>3.1336201107406265E-3</c:v>
                </c:pt>
                <c:pt idx="41">
                  <c:v>2.8017723634925313E-3</c:v>
                </c:pt>
                <c:pt idx="42">
                  <c:v>2.505401778803562E-3</c:v>
                </c:pt>
                <c:pt idx="43">
                  <c:v>2.2406461005842334E-3</c:v>
                </c:pt>
                <c:pt idx="44">
                  <c:v>2.0040778692572742E-3</c:v>
                </c:pt>
                <c:pt idx="45">
                  <c:v>1.7926525570845623E-3</c:v>
                </c:pt>
                <c:pt idx="46">
                  <c:v>1.6036634689328797E-3</c:v>
                </c:pt>
                <c:pt idx="47">
                  <c:v>1.4347024162785357E-3</c:v>
                </c:pt>
                <c:pt idx="48">
                  <c:v>1.2836253371642187E-3</c:v>
                </c:pt>
                <c:pt idx="49">
                  <c:v>1.1485221691581954E-3</c:v>
                </c:pt>
                <c:pt idx="50">
                  <c:v>1.0276903922844664E-3</c:v>
                </c:pt>
                <c:pt idx="51">
                  <c:v>9.1961174923364309E-4</c:v>
                </c:pt>
                <c:pt idx="52">
                  <c:v>8.2293172474721238E-4</c:v>
                </c:pt>
                <c:pt idx="53">
                  <c:v>7.36441427915935E-4</c:v>
                </c:pt>
                <c:pt idx="54">
                  <c:v>6.5906157264831772E-4</c:v>
                </c:pt>
                <c:pt idx="55">
                  <c:v>5.8982829466215137E-4</c:v>
                </c:pt>
                <c:pt idx="56">
                  <c:v>5.2788057956272636E-4</c:v>
                </c:pt>
                <c:pt idx="57">
                  <c:v>4.724491071250958E-4</c:v>
                </c:pt>
                <c:pt idx="58">
                  <c:v>4.2284634278518896E-4</c:v>
                </c:pt>
                <c:pt idx="59">
                  <c:v>3.7845772936651273E-4</c:v>
                </c:pt>
                <c:pt idx="60">
                  <c:v>3.3873385087547958E-4</c:v>
                </c:pt>
                <c:pt idx="61">
                  <c:v>3.0318345631835295E-4</c:v>
                </c:pt>
                <c:pt idx="62">
                  <c:v>2.7136724535917472E-4</c:v>
                </c:pt>
                <c:pt idx="63">
                  <c:v>2.4289232960603255E-4</c:v>
                </c:pt>
                <c:pt idx="64">
                  <c:v>2.1740729367534267E-4</c:v>
                </c:pt>
                <c:pt idx="65">
                  <c:v>1.9459778918262826E-4</c:v>
                </c:pt>
                <c:pt idx="66">
                  <c:v>1.7418260264473508E-4</c:v>
                </c:pt>
                <c:pt idx="67">
                  <c:v>1.5591014512032994E-4</c:v>
                </c:pt>
                <c:pt idx="68">
                  <c:v>1.395553174034003E-4</c:v>
                </c:pt>
                <c:pt idx="69">
                  <c:v>1.2491670983647555E-4</c:v>
                </c:pt>
                <c:pt idx="70">
                  <c:v>1.1181410042618528E-4</c:v>
                </c:pt>
                <c:pt idx="71">
                  <c:v>1.0008621900811475E-4</c:v>
                </c:pt>
                <c:pt idx="72">
                  <c:v>8.9588748792659601E-5</c:v>
                </c:pt>
                <c:pt idx="73">
                  <c:v>8.0192539790169791E-5</c:v>
                </c:pt>
                <c:pt idx="74">
                  <c:v>7.1782011414774235E-5</c:v>
                </c:pt>
                <c:pt idx="75">
                  <c:v>6.4253724047195825E-5</c:v>
                </c:pt>
                <c:pt idx="76">
                  <c:v>5.7515101536694106E-5</c:v>
                </c:pt>
                <c:pt idx="77">
                  <c:v>5.1483288574850784E-5</c:v>
                </c:pt>
                <c:pt idx="78">
                  <c:v>4.6084128608623745E-5</c:v>
                </c:pt>
                <c:pt idx="79">
                  <c:v>4.1251249502516807E-5</c:v>
                </c:pt>
                <c:pt idx="80">
                  <c:v>3.6925245532172728E-5</c:v>
                </c:pt>
                <c:pt idx="81">
                  <c:v>3.3052945513730646E-5</c:v>
                </c:pt>
                <c:pt idx="82">
                  <c:v>2.9586757962025173E-5</c:v>
                </c:pt>
                <c:pt idx="83">
                  <c:v>2.6484085141194004E-5</c:v>
                </c:pt>
                <c:pt idx="84">
                  <c:v>2.3706798736752692E-5</c:v>
                </c:pt>
                <c:pt idx="85">
                  <c:v>2.1220770650372097E-5</c:v>
                </c:pt>
                <c:pt idx="86">
                  <c:v>1.899545310777347E-5</c:v>
                </c:pt>
                <c:pt idx="87">
                  <c:v>1.7003502885463082E-5</c:v>
                </c:pt>
                <c:pt idx="88">
                  <c:v>1.5220445011542868E-5</c:v>
                </c:pt>
                <c:pt idx="89">
                  <c:v>1.3624371786719155E-5</c:v>
                </c:pt>
                <c:pt idx="90">
                  <c:v>1.2195673410245643E-5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933-4941-ADC0-FB93FC15165A}"/>
            </c:ext>
          </c:extLst>
        </c:ser>
        <c:ser>
          <c:idx val="6"/>
          <c:order val="9"/>
          <c:tx>
            <c:strRef>
              <c:f>'Phase plot K'!$BP$7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'Phase plot K'!$BO$8:$BO$98</c:f>
              <c:numCache>
                <c:formatCode>General</c:formatCode>
                <c:ptCount val="91"/>
                <c:pt idx="0">
                  <c:v>14302</c:v>
                </c:pt>
                <c:pt idx="1">
                  <c:v>16741.297872746261</c:v>
                </c:pt>
                <c:pt idx="2">
                  <c:v>19041.855116902694</c:v>
                </c:pt>
                <c:pt idx="3">
                  <c:v>21229.083303806812</c:v>
                </c:pt>
                <c:pt idx="4">
                  <c:v>23312.623661495363</c:v>
                </c:pt>
                <c:pt idx="5">
                  <c:v>25294.931475003235</c:v>
                </c:pt>
                <c:pt idx="6">
                  <c:v>27175.608669867332</c:v>
                </c:pt>
                <c:pt idx="7">
                  <c:v>28953.596255603024</c:v>
                </c:pt>
                <c:pt idx="8">
                  <c:v>30628.239665297679</c:v>
                </c:pt>
                <c:pt idx="9">
                  <c:v>32199.74599324966</c:v>
                </c:pt>
                <c:pt idx="10">
                  <c:v>33669.312977487592</c:v>
                </c:pt>
                <c:pt idx="11">
                  <c:v>35039.086031849773</c:v>
                </c:pt>
                <c:pt idx="12">
                  <c:v>36312.032262487613</c:v>
                </c:pt>
                <c:pt idx="13">
                  <c:v>37491.782112353852</c:v>
                </c:pt>
                <c:pt idx="14">
                  <c:v>38582.466899052095</c:v>
                </c:pt>
                <c:pt idx="15">
                  <c:v>39588.567244196311</c:v>
                </c:pt>
                <c:pt idx="16">
                  <c:v>40514.779519064927</c:v>
                </c:pt>
                <c:pt idx="17">
                  <c:v>41365.902821429539</c:v>
                </c:pt>
                <c:pt idx="18">
                  <c:v>42146.746384576487</c:v>
                </c:pt>
                <c:pt idx="19">
                  <c:v>42862.055927429334</c:v>
                </c:pt>
                <c:pt idx="20">
                  <c:v>43516.456803369045</c:v>
                </c:pt>
                <c:pt idx="21">
                  <c:v>44114.411593710516</c:v>
                </c:pt>
                <c:pt idx="22">
                  <c:v>44660.189831238444</c:v>
                </c:pt>
                <c:pt idx="23">
                  <c:v>45157.847712439318</c:v>
                </c:pt>
                <c:pt idx="24">
                  <c:v>45611.215892222579</c:v>
                </c:pt>
                <c:pt idx="25">
                  <c:v>46023.893709072858</c:v>
                </c:pt>
                <c:pt idx="26">
                  <c:v>46399.24843712079</c:v>
                </c:pt>
                <c:pt idx="27">
                  <c:v>46740.418391457693</c:v>
                </c:pt>
                <c:pt idx="28">
                  <c:v>47050.318918120392</c:v>
                </c:pt>
                <c:pt idx="29">
                  <c:v>47331.650478748379</c:v>
                </c:pt>
                <c:pt idx="30">
                  <c:v>47586.908192611278</c:v>
                </c:pt>
                <c:pt idx="31">
                  <c:v>47818.392327462869</c:v>
                </c:pt>
                <c:pt idx="32">
                  <c:v>48028.219338036361</c:v>
                </c:pt>
                <c:pt idx="33">
                  <c:v>48218.33313966632</c:v>
                </c:pt>
                <c:pt idx="34">
                  <c:v>48390.516377150438</c:v>
                </c:pt>
                <c:pt idx="35">
                  <c:v>48546.401507996088</c:v>
                </c:pt>
                <c:pt idx="36">
                  <c:v>48687.481566823939</c:v>
                </c:pt>
                <c:pt idx="37">
                  <c:v>48815.120515840863</c:v>
                </c:pt>
                <c:pt idx="38">
                  <c:v>48930.563116597477</c:v>
                </c:pt>
                <c:pt idx="39">
                  <c:v>49034.94428211503</c:v>
                </c:pt>
                <c:pt idx="40">
                  <c:v>49129.297887083208</c:v>
                </c:pt>
                <c:pt idx="41">
                  <c:v>49214.565028182129</c:v>
                </c:pt>
                <c:pt idx="42">
                  <c:v>49291.601737487559</c:v>
                </c:pt>
                <c:pt idx="43">
                  <c:v>49361.186160055091</c:v>
                </c:pt>
                <c:pt idx="44">
                  <c:v>49424.025212703331</c:v>
                </c:pt>
                <c:pt idx="45">
                  <c:v>49480.760745182575</c:v>
                </c:pt>
                <c:pt idx="46">
                  <c:v>49531.975227696275</c:v>
                </c:pt>
                <c:pt idx="47">
                  <c:v>49578.196990438417</c:v>
                </c:pt>
                <c:pt idx="48">
                  <c:v>49619.905041665566</c:v>
                </c:pt>
                <c:pt idx="49">
                  <c:v>49657.533491033842</c:v>
                </c:pt>
                <c:pt idx="50">
                  <c:v>49691.475604657091</c:v>
                </c:pt>
                <c:pt idx="51">
                  <c:v>49722.08751770854</c:v>
                </c:pt>
                <c:pt idx="52">
                  <c:v>49749.691629495333</c:v>
                </c:pt>
                <c:pt idx="53">
                  <c:v>49774.57970486251</c:v>
                </c:pt>
                <c:pt idx="54">
                  <c:v>49797.015704592726</c:v>
                </c:pt>
                <c:pt idx="55">
                  <c:v>49817.238366209102</c:v>
                </c:pt>
                <c:pt idx="56">
                  <c:v>49835.463555298142</c:v>
                </c:pt>
                <c:pt idx="57">
                  <c:v>49851.886406176789</c:v>
                </c:pt>
                <c:pt idx="58">
                  <c:v>49866.683269453482</c:v>
                </c:pt>
                <c:pt idx="59">
                  <c:v>49880.013482793489</c:v>
                </c:pt>
                <c:pt idx="60">
                  <c:v>49892.020980005109</c:v>
                </c:pt>
                <c:pt idx="61">
                  <c:v>49902.835752423227</c:v>
                </c:pt>
                <c:pt idx="62">
                  <c:v>49912.57517548513</c:v>
                </c:pt>
                <c:pt idx="63">
                  <c:v>49921.345212373111</c:v>
                </c:pt>
                <c:pt idx="64">
                  <c:v>49929.24150564061</c:v>
                </c:pt>
                <c:pt idx="65">
                  <c:v>49936.350366842729</c:v>
                </c:pt>
                <c:pt idx="66">
                  <c:v>49942.749673357495</c:v>
                </c:pt>
                <c:pt idx="67">
                  <c:v>49948.509680808653</c:v>
                </c:pt>
                <c:pt idx="68">
                  <c:v>49953.693758782458</c:v>
                </c:pt>
                <c:pt idx="69">
                  <c:v>49958.359056866757</c:v>
                </c:pt>
                <c:pt idx="70">
                  <c:v>49962.557107427892</c:v>
                </c:pt>
                <c:pt idx="71">
                  <c:v>49966.334370976874</c:v>
                </c:pt>
                <c:pt idx="72">
                  <c:v>49969.732729457486</c:v>
                </c:pt>
                <c:pt idx="73">
                  <c:v>49972.789932312953</c:v>
                </c:pt>
                <c:pt idx="74">
                  <c:v>49975.539999751061</c:v>
                </c:pt>
                <c:pt idx="75">
                  <c:v>49978.013587228124</c:v>
                </c:pt>
                <c:pt idx="76">
                  <c:v>49980.238314806302</c:v>
                </c:pt>
                <c:pt idx="77">
                  <c:v>49982.239064704816</c:v>
                </c:pt>
                <c:pt idx="78">
                  <c:v>49984.038250060359</c:v>
                </c:pt>
                <c:pt idx="79">
                  <c:v>49985.656057633845</c:v>
                </c:pt>
                <c:pt idx="80">
                  <c:v>49987.110666946821</c:v>
                </c:pt>
                <c:pt idx="81">
                  <c:v>49988.418448099896</c:v>
                </c:pt>
                <c:pt idx="82">
                  <c:v>49989.59414031505</c:v>
                </c:pt>
                <c:pt idx="83">
                  <c:v>49990.651013052375</c:v>
                </c:pt>
                <c:pt idx="84">
                  <c:v>49991.601011377723</c:v>
                </c:pt>
                <c:pt idx="85">
                  <c:v>49992.454887099659</c:v>
                </c:pt>
                <c:pt idx="86">
                  <c:v>49993.222317050371</c:v>
                </c:pt>
                <c:pt idx="87">
                  <c:v>49993.912009754829</c:v>
                </c:pt>
                <c:pt idx="88">
                  <c:v>49994.531801614059</c:v>
                </c:pt>
                <c:pt idx="89">
                  <c:v>49995.088743621061</c:v>
                </c:pt>
                <c:pt idx="90">
                  <c:v>49995.589179530551</c:v>
                </c:pt>
              </c:numCache>
            </c:numRef>
          </c:xVal>
          <c:yVal>
            <c:numRef>
              <c:f>'Phase plot K'!$BP$8:$BP$98</c:f>
              <c:numCache>
                <c:formatCode>General</c:formatCode>
                <c:ptCount val="91"/>
                <c:pt idx="0">
                  <c:v>35698</c:v>
                </c:pt>
                <c:pt idx="1">
                  <c:v>28222.471136599088</c:v>
                </c:pt>
                <c:pt idx="2">
                  <c:v>22503.778246010228</c:v>
                </c:pt>
                <c:pt idx="3">
                  <c:v>18089.597146918091</c:v>
                </c:pt>
                <c:pt idx="4">
                  <c:v>14653.65019272409</c:v>
                </c:pt>
                <c:pt idx="5">
                  <c:v>11957.645849091621</c:v>
                </c:pt>
                <c:pt idx="6">
                  <c:v>9825.8333494411218</c:v>
                </c:pt>
                <c:pt idx="7">
                  <c:v>8127.4936668035134</c:v>
                </c:pt>
                <c:pt idx="8">
                  <c:v>6764.6571111659059</c:v>
                </c:pt>
                <c:pt idx="9">
                  <c:v>5663.3694513376659</c:v>
                </c:pt>
                <c:pt idx="10">
                  <c:v>4767.417317963218</c:v>
                </c:pt>
                <c:pt idx="11">
                  <c:v>4033.7827530578106</c:v>
                </c:pt>
                <c:pt idx="12">
                  <c:v>3429.3265962753062</c:v>
                </c:pt>
                <c:pt idx="13">
                  <c:v>2928.3525640861308</c:v>
                </c:pt>
                <c:pt idx="14">
                  <c:v>2510.8070289686425</c:v>
                </c:pt>
                <c:pt idx="15">
                  <c:v>2160.940592705213</c:v>
                </c:pt>
                <c:pt idx="16">
                  <c:v>1866.3071236581432</c:v>
                </c:pt>
                <c:pt idx="17">
                  <c:v>1617.0108141528308</c:v>
                </c:pt>
                <c:pt idx="18">
                  <c:v>1405.1365413174206</c:v>
                </c:pt>
                <c:pt idx="19">
                  <c:v>1224.3164497227006</c:v>
                </c:pt>
                <c:pt idx="20">
                  <c:v>1069.3983212790283</c:v>
                </c:pt>
                <c:pt idx="21">
                  <c:v>936.19041541558852</c:v>
                </c:pt>
                <c:pt idx="22">
                  <c:v>821.26406895187006</c:v>
                </c:pt>
                <c:pt idx="23">
                  <c:v>721.80015580338102</c:v>
                </c:pt>
                <c:pt idx="24">
                  <c:v>635.46902718627371</c:v>
                </c:pt>
                <c:pt idx="25">
                  <c:v>560.33614207522874</c:v>
                </c:pt>
                <c:pt idx="26">
                  <c:v>494.78751116956818</c:v>
                </c:pt>
                <c:pt idx="27">
                  <c:v>437.47049879721152</c:v>
                </c:pt>
                <c:pt idx="28">
                  <c:v>387.24658789293562</c:v>
                </c:pt>
                <c:pt idx="29">
                  <c:v>343.15350872193477</c:v>
                </c:pt>
                <c:pt idx="30">
                  <c:v>304.37473156179686</c:v>
                </c:pt>
                <c:pt idx="31">
                  <c:v>270.21477755331864</c:v>
                </c:pt>
                <c:pt idx="32">
                  <c:v>240.07914733729643</c:v>
                </c:pt>
                <c:pt idx="33">
                  <c:v>213.45793110347228</c:v>
                </c:pt>
                <c:pt idx="34">
                  <c:v>189.91236639018706</c:v>
                </c:pt>
                <c:pt idx="35">
                  <c:v>169.06376631506825</c:v>
                </c:pt>
                <c:pt idx="36">
                  <c:v>150.58436202173311</c:v>
                </c:pt>
                <c:pt idx="37">
                  <c:v>134.18969733680544</c:v>
                </c:pt>
                <c:pt idx="38">
                  <c:v>119.63228722338627</c:v>
                </c:pt>
                <c:pt idx="39">
                  <c:v>106.69630933680369</c:v>
                </c:pt>
                <c:pt idx="40">
                  <c:v>95.193143438387395</c:v>
                </c:pt>
                <c:pt idx="41">
                  <c:v>84.957609349538259</c:v>
                </c:pt>
                <c:pt idx="42">
                  <c:v>75.844782633965281</c:v>
                </c:pt>
                <c:pt idx="43">
                  <c:v>67.727289896748928</c:v>
                </c:pt>
                <c:pt idx="44">
                  <c:v>60.493003732053396</c:v>
                </c:pt>
                <c:pt idx="45">
                  <c:v>54.043071903078904</c:v>
                </c:pt>
                <c:pt idx="46">
                  <c:v>48.290227049600183</c:v>
                </c:pt>
                <c:pt idx="47">
                  <c:v>43.157332676632429</c:v>
                </c:pt>
                <c:pt idx="48">
                  <c:v>38.576128841754389</c:v>
                </c:pt>
                <c:pt idx="49">
                  <c:v>34.486147189445738</c:v>
                </c:pt>
                <c:pt idx="50">
                  <c:v>30.833770063186353</c:v>
                </c:pt>
                <c:pt idx="51">
                  <c:v>27.571412585287185</c:v>
                </c:pt>
                <c:pt idx="52">
                  <c:v>24.656810009263765</c:v>
                </c:pt>
                <c:pt idx="53">
                  <c:v>22.052395462358998</c:v>
                </c:pt>
                <c:pt idx="54">
                  <c:v>19.724755520221766</c:v>
                </c:pt>
                <c:pt idx="55">
                  <c:v>17.644152982764332</c:v>
                </c:pt>
                <c:pt idx="56">
                  <c:v>15.78410782294392</c:v>
                </c:pt>
                <c:pt idx="57">
                  <c:v>14.121028617503748</c:v>
                </c:pt>
                <c:pt idx="58">
                  <c:v>12.633887888098585</c:v>
                </c:pt>
                <c:pt idx="59">
                  <c:v>11.303935721208829</c:v>
                </c:pt>
                <c:pt idx="60">
                  <c:v>10.114446827064949</c:v>
                </c:pt>
                <c:pt idx="61">
                  <c:v>9.0504968669013799</c:v>
                </c:pt>
                <c:pt idx="62">
                  <c:v>8.0987644450023542</c:v>
                </c:pt>
                <c:pt idx="63">
                  <c:v>7.2473556441884597</c:v>
                </c:pt>
                <c:pt idx="64">
                  <c:v>6.4856483945711068</c:v>
                </c:pt>
                <c:pt idx="65">
                  <c:v>5.8041543170515437</c:v>
                </c:pt>
                <c:pt idx="66">
                  <c:v>5.1943959846337204</c:v>
                </c:pt>
                <c:pt idx="67">
                  <c:v>4.6487978039940092</c:v>
                </c:pt>
                <c:pt idx="68">
                  <c:v>4.1605889434092571</c:v>
                </c:pt>
                <c:pt idx="69">
                  <c:v>3.723716926499864</c:v>
                </c:pt>
                <c:pt idx="70">
                  <c:v>3.3327706788127749</c:v>
                </c:pt>
                <c:pt idx="71">
                  <c:v>2.9829119598303202</c:v>
                </c:pt>
                <c:pt idx="72">
                  <c:v>2.6698142397171654</c:v>
                </c:pt>
                <c:pt idx="73">
                  <c:v>2.3896081906798834</c:v>
                </c:pt>
                <c:pt idx="74">
                  <c:v>2.1388330594664411</c:v>
                </c:pt>
                <c:pt idx="75">
                  <c:v>1.9143932721851316</c:v>
                </c:pt>
                <c:pt idx="76">
                  <c:v>1.7135196968952287</c:v>
                </c:pt>
                <c:pt idx="77">
                  <c:v>1.5337350546952147</c:v>
                </c:pt>
                <c:pt idx="78">
                  <c:v>1.3728230274877129</c:v>
                </c:pt>
                <c:pt idx="79">
                  <c:v>1.2288006612426827</c:v>
                </c:pt>
                <c:pt idx="80">
                  <c:v>1.0998937082788445</c:v>
                </c:pt>
                <c:pt idx="81">
                  <c:v>0.98451459158394483</c:v>
                </c:pt>
                <c:pt idx="82">
                  <c:v>0.8812427091415107</c:v>
                </c:pt>
                <c:pt idx="83">
                  <c:v>0.7888068271825055</c:v>
                </c:pt>
                <c:pt idx="84">
                  <c:v>0.70606933871823274</c:v>
                </c:pt>
                <c:pt idx="85">
                  <c:v>0.63201218805615089</c:v>
                </c:pt>
                <c:pt idx="86">
                  <c:v>0.56572428361908023</c:v>
                </c:pt>
                <c:pt idx="87">
                  <c:v>0.50639024060020355</c:v>
                </c:pt>
                <c:pt idx="88">
                  <c:v>0.45328031207083508</c:v>
                </c:pt>
                <c:pt idx="89">
                  <c:v>0.4057413823601303</c:v>
                </c:pt>
                <c:pt idx="90">
                  <c:v>0.36318891006076437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933-4941-ADC0-FB93FC151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60816"/>
        <c:axId val="1246156656"/>
      </c:scatterChart>
      <c:valAx>
        <c:axId val="1246160816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56656"/>
        <c:crosses val="autoZero"/>
        <c:crossBetween val="midCat"/>
      </c:valAx>
      <c:valAx>
        <c:axId val="12461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6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>
                <a:latin typeface="Al Tarikh" pitchFamily="2" charset="-78"/>
                <a:cs typeface="Al Tarikh" pitchFamily="2" charset="-78"/>
              </a:rPr>
              <a:t>SIR epidemic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R0!$G$15</c:f>
              <c:strCache>
                <c:ptCount val="1"/>
                <c:pt idx="0">
                  <c:v>S(t)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R0!$F$16:$F$76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R0!$G$16:$G$76</c:f>
              <c:numCache>
                <c:formatCode>General</c:formatCode>
                <c:ptCount val="61"/>
                <c:pt idx="0">
                  <c:v>10000</c:v>
                </c:pt>
                <c:pt idx="1">
                  <c:v>9162.7677858352745</c:v>
                </c:pt>
                <c:pt idx="2">
                  <c:v>8477.5951480521508</c:v>
                </c:pt>
                <c:pt idx="3">
                  <c:v>7930.4743686116472</c:v>
                </c:pt>
                <c:pt idx="4">
                  <c:v>7504.533855059577</c:v>
                </c:pt>
                <c:pt idx="5">
                  <c:v>7182.5168844584459</c:v>
                </c:pt>
                <c:pt idx="6">
                  <c:v>6948.2329701965909</c:v>
                </c:pt>
                <c:pt idx="7">
                  <c:v>6787.2470222123275</c:v>
                </c:pt>
                <c:pt idx="8">
                  <c:v>6687.0830534313154</c:v>
                </c:pt>
                <c:pt idx="9">
                  <c:v>6637.1579627501251</c:v>
                </c:pt>
                <c:pt idx="10">
                  <c:v>6628.5885842197868</c:v>
                </c:pt>
                <c:pt idx="11">
                  <c:v>6653.956681376716</c:v>
                </c:pt>
                <c:pt idx="12">
                  <c:v>6707.0766919741309</c:v>
                </c:pt>
                <c:pt idx="13">
                  <c:v>6782.7866826944573</c:v>
                </c:pt>
                <c:pt idx="14">
                  <c:v>6876.769383072532</c:v>
                </c:pt>
                <c:pt idx="15">
                  <c:v>6985.4032678538388</c:v>
                </c:pt>
                <c:pt idx="16">
                  <c:v>7105.6406031429542</c:v>
                </c:pt>
                <c:pt idx="17">
                  <c:v>7234.9083746558208</c:v>
                </c:pt>
                <c:pt idx="18">
                  <c:v>7371.0280290872415</c:v>
                </c:pt>
                <c:pt idx="19">
                  <c:v>7512.1504050103758</c:v>
                </c:pt>
                <c:pt idx="20">
                  <c:v>7656.7028089852092</c:v>
                </c:pt>
                <c:pt idx="21">
                  <c:v>7803.3457630496969</c:v>
                </c:pt>
                <c:pt idx="22">
                  <c:v>7950.9374524338336</c:v>
                </c:pt>
                <c:pt idx="23">
                  <c:v>8098.5043203212635</c:v>
                </c:pt>
                <c:pt idx="24">
                  <c:v>8245.2165925757145</c:v>
                </c:pt>
                <c:pt idx="25">
                  <c:v>8390.3677801747781</c:v>
                </c:pt>
                <c:pt idx="26">
                  <c:v>8533.3574132620743</c:v>
                </c:pt>
                <c:pt idx="27">
                  <c:v>8673.6764201819406</c:v>
                </c:pt>
                <c:pt idx="28">
                  <c:v>8810.8946878564602</c:v>
                </c:pt>
                <c:pt idx="29">
                  <c:v>8944.6504347620285</c:v>
                </c:pt>
                <c:pt idx="30">
                  <c:v>9074.6411011612217</c:v>
                </c:pt>
                <c:pt idx="31">
                  <c:v>9200.6155182519306</c:v>
                </c:pt>
                <c:pt idx="32">
                  <c:v>9322.3671624103717</c:v>
                </c:pt>
                <c:pt idx="33">
                  <c:v>9439.7283356840817</c:v>
                </c:pt>
                <c:pt idx="34">
                  <c:v>9552.5651413653231</c:v>
                </c:pt>
                <c:pt idx="35">
                  <c:v>9660.7731455239646</c:v>
                </c:pt>
                <c:pt idx="36">
                  <c:v>9764.2736330664939</c:v>
                </c:pt>
                <c:pt idx="37">
                  <c:v>9863.0103811689914</c:v>
                </c:pt>
                <c:pt idx="38">
                  <c:v>9956.9468845293304</c:v>
                </c:pt>
                <c:pt idx="39">
                  <c:v>10046.063976347927</c:v>
                </c:pt>
                <c:pt idx="40">
                  <c:v>10130.357796698394</c:v>
                </c:pt>
                <c:pt idx="41">
                  <c:v>10209.838066315133</c:v>
                </c:pt>
                <c:pt idx="42">
                  <c:v>10284.526629058006</c:v>
                </c:pt>
                <c:pt idx="43">
                  <c:v>10354.456230615437</c:v>
                </c:pt>
                <c:pt idx="44">
                  <c:v>10419.669504537103</c:v>
                </c:pt>
                <c:pt idx="45">
                  <c:v>10480.218139576828</c:v>
                </c:pt>
                <c:pt idx="46">
                  <c:v>10536.162204684329</c:v>
                </c:pt>
                <c:pt idx="47">
                  <c:v>10587.569609903849</c:v>
                </c:pt>
                <c:pt idx="48">
                  <c:v>10634.515682999039</c:v>
                </c:pt>
                <c:pt idx="49">
                  <c:v>10677.082842899044</c:v>
                </c:pt>
                <c:pt idx="50">
                  <c:v>10715.360352115726</c:v>
                </c:pt>
                <c:pt idx="51">
                  <c:v>10749.444131177223</c:v>
                </c:pt>
                <c:pt idx="52">
                  <c:v>10779.436618914877</c:v>
                </c:pt>
                <c:pt idx="53">
                  <c:v>10805.446663181721</c:v>
                </c:pt>
                <c:pt idx="54">
                  <c:v>10827.589427320301</c:v>
                </c:pt>
                <c:pt idx="55">
                  <c:v>10845.986298479966</c:v>
                </c:pt>
                <c:pt idx="56">
                  <c:v>10860.764784748622</c:v>
                </c:pt>
                <c:pt idx="57">
                  <c:v>10872.058389044339</c:v>
                </c:pt>
                <c:pt idx="58">
                  <c:v>10880.006448834145</c:v>
                </c:pt>
                <c:pt idx="59">
                  <c:v>10884.753932028307</c:v>
                </c:pt>
                <c:pt idx="60">
                  <c:v>10886.451180845957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05-4F4F-B40B-8B4DB15E70CD}"/>
            </c:ext>
          </c:extLst>
        </c:ser>
        <c:ser>
          <c:idx val="1"/>
          <c:order val="1"/>
          <c:tx>
            <c:strRef>
              <c:f>R0!$H$15</c:f>
              <c:strCache>
                <c:ptCount val="1"/>
                <c:pt idx="0">
                  <c:v>R(t)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R0!$F$16:$F$76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R0!$H$16:$H$76</c:f>
              <c:numCache>
                <c:formatCode>General</c:formatCode>
                <c:ptCount val="61"/>
                <c:pt idx="0">
                  <c:v>0</c:v>
                </c:pt>
                <c:pt idx="1">
                  <c:v>920.16369598765436</c:v>
                </c:pt>
                <c:pt idx="2">
                  <c:v>1771.911220687181</c:v>
                </c:pt>
                <c:pt idx="3">
                  <c:v>2545.3355096546024</c:v>
                </c:pt>
                <c:pt idx="4">
                  <c:v>3235.2957779088792</c:v>
                </c:pt>
                <c:pt idx="5">
                  <c:v>3840.6530747228608</c:v>
                </c:pt>
                <c:pt idx="6">
                  <c:v>4363.3438222456753</c:v>
                </c:pt>
                <c:pt idx="7">
                  <c:v>4807.4763675408085</c:v>
                </c:pt>
                <c:pt idx="8">
                  <c:v>5178.5493096540158</c:v>
                </c:pt>
                <c:pt idx="9">
                  <c:v>5482.8277774055177</c:v>
                </c:pt>
                <c:pt idx="10">
                  <c:v>5726.8762388402438</c:v>
                </c:pt>
                <c:pt idx="11">
                  <c:v>5917.2279103812962</c:v>
                </c:pt>
                <c:pt idx="12">
                  <c:v>6060.1644762528676</c:v>
                </c:pt>
                <c:pt idx="13">
                  <c:v>6161.5801401799326</c:v>
                </c:pt>
                <c:pt idx="14">
                  <c:v>6226.9073948762179</c:v>
                </c:pt>
                <c:pt idx="15">
                  <c:v>6261.086214480606</c:v>
                </c:pt>
                <c:pt idx="16">
                  <c:v>6268.5625791788643</c:v>
                </c:pt>
                <c:pt idx="17">
                  <c:v>6253.3058706614747</c:v>
                </c:pt>
                <c:pt idx="18">
                  <c:v>6218.8376045276736</c:v>
                </c:pt>
                <c:pt idx="19">
                  <c:v>6168.2662244705025</c:v>
                </c:pt>
                <c:pt idx="20">
                  <c:v>6104.3243708198761</c:v>
                </c:pt>
                <c:pt idx="21">
                  <c:v>6029.4062655831485</c:v>
                </c:pt>
                <c:pt idx="22">
                  <c:v>5945.6037324997396</c:v>
                </c:pt>
                <c:pt idx="23">
                  <c:v>5854.7399824034619</c:v>
                </c:pt>
                <c:pt idx="24">
                  <c:v>5758.4007120182332</c:v>
                </c:pt>
                <c:pt idx="25">
                  <c:v>5657.962342540266</c:v>
                </c:pt>
                <c:pt idx="26">
                  <c:v>5554.6174037191458</c:v>
                </c:pt>
                <c:pt idx="27">
                  <c:v>5449.3971795955713</c:v>
                </c:pt>
                <c:pt idx="28">
                  <c:v>5343.1917952705144</c:v>
                </c:pt>
                <c:pt idx="29">
                  <c:v>5236.7679555593286</c:v>
                </c:pt>
                <c:pt idx="30">
                  <c:v>5130.7845570526188</c:v>
                </c:pt>
                <c:pt idx="31">
                  <c:v>5025.8063925772431</c:v>
                </c:pt>
                <c:pt idx="32">
                  <c:v>4922.3161565597366</c:v>
                </c:pt>
                <c:pt idx="33">
                  <c:v>4820.7249448835764</c:v>
                </c:pt>
                <c:pt idx="34">
                  <c:v>4721.381425853775</c:v>
                </c:pt>
                <c:pt idx="35">
                  <c:v>4624.5798413607363</c:v>
                </c:pt>
                <c:pt idx="36">
                  <c:v>4530.5669802222092</c:v>
                </c:pt>
                <c:pt idx="37">
                  <c:v>4439.5482495407605</c:v>
                </c:pt>
                <c:pt idx="38">
                  <c:v>4351.6929550471959</c:v>
                </c:pt>
                <c:pt idx="39">
                  <c:v>4267.1388879393762</c:v>
                </c:pt>
                <c:pt idx="40">
                  <c:v>4185.9963036932086</c:v>
                </c:pt>
                <c:pt idx="41">
                  <c:v>4108.3513676731318</c:v>
                </c:pt>
                <c:pt idx="42">
                  <c:v>4034.2691330193179</c:v>
                </c:pt>
                <c:pt idx="43">
                  <c:v>3963.796108133944</c:v>
                </c:pt>
                <c:pt idx="44">
                  <c:v>3896.9624640172092</c:v>
                </c:pt>
                <c:pt idx="45">
                  <c:v>3833.7839256025945</c:v>
                </c:pt>
                <c:pt idx="46">
                  <c:v>3774.2633860015135</c:v>
                </c:pt>
                <c:pt idx="47">
                  <c:v>3718.3922780875282</c:v>
                </c:pt>
                <c:pt idx="48">
                  <c:v>3666.1517340345531</c:v>
                </c:pt>
                <c:pt idx="49">
                  <c:v>3617.5135601842426</c:v>
                </c:pt>
                <c:pt idx="50">
                  <c:v>3572.4410518745362</c:v>
                </c:pt>
                <c:pt idx="51">
                  <c:v>3530.8896705400821</c:v>
                </c:pt>
                <c:pt idx="52">
                  <c:v>3492.807603427982</c:v>
                </c:pt>
                <c:pt idx="53">
                  <c:v>3458.1362245961955</c:v>
                </c:pt>
                <c:pt idx="54">
                  <c:v>3426.8104744190905</c:v>
                </c:pt>
                <c:pt idx="55">
                  <c:v>3398.7591735615692</c:v>
                </c:pt>
                <c:pt idx="56">
                  <c:v>3373.9052862507383</c:v>
                </c:pt>
                <c:pt idx="57">
                  <c:v>3352.1661466274636</c:v>
                </c:pt>
                <c:pt idx="58">
                  <c:v>3333.4536609590923</c:v>
                </c:pt>
                <c:pt idx="59">
                  <c:v>3317.6744975038569</c:v>
                </c:pt>
                <c:pt idx="60">
                  <c:v>3304.7302748071311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05-4F4F-B40B-8B4DB15E70CD}"/>
            </c:ext>
          </c:extLst>
        </c:ser>
        <c:ser>
          <c:idx val="2"/>
          <c:order val="2"/>
          <c:tx>
            <c:strRef>
              <c:f>R0!$I$15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R0!$F$16:$F$76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R0!$I$16:$I$76</c:f>
              <c:numCache>
                <c:formatCode>General</c:formatCode>
                <c:ptCount val="61"/>
                <c:pt idx="0">
                  <c:v>5000</c:v>
                </c:pt>
                <c:pt idx="1">
                  <c:v>4917.0685181770714</c:v>
                </c:pt>
                <c:pt idx="2">
                  <c:v>4750.4936312606687</c:v>
                </c:pt>
                <c:pt idx="3">
                  <c:v>4524.1901217337509</c:v>
                </c:pt>
                <c:pt idx="4">
                  <c:v>4260.1703670315446</c:v>
                </c:pt>
                <c:pt idx="5">
                  <c:v>3976.8300408186947</c:v>
                </c:pt>
                <c:pt idx="6">
                  <c:v>3688.4232075577352</c:v>
                </c:pt>
                <c:pt idx="7">
                  <c:v>3405.2766102468659</c:v>
                </c:pt>
                <c:pt idx="8">
                  <c:v>3134.3676369146701</c:v>
                </c:pt>
                <c:pt idx="9">
                  <c:v>2880.014259844359</c:v>
                </c:pt>
                <c:pt idx="10">
                  <c:v>2644.5351769399708</c:v>
                </c:pt>
                <c:pt idx="11">
                  <c:v>2428.8154082419892</c:v>
                </c:pt>
                <c:pt idx="12">
                  <c:v>2232.7588317730028</c:v>
                </c:pt>
                <c:pt idx="13">
                  <c:v>2055.6331771256109</c:v>
                </c:pt>
                <c:pt idx="14">
                  <c:v>1896.3232220512512</c:v>
                </c:pt>
                <c:pt idx="15">
                  <c:v>1753.5105176655563</c:v>
                </c:pt>
                <c:pt idx="16">
                  <c:v>1625.7968176781826</c:v>
                </c:pt>
                <c:pt idx="17">
                  <c:v>1511.7857546827054</c:v>
                </c:pt>
                <c:pt idx="18">
                  <c:v>1410.1343663850853</c:v>
                </c:pt>
                <c:pt idx="19">
                  <c:v>1319.5833705191219</c:v>
                </c:pt>
                <c:pt idx="20">
                  <c:v>1238.9728201949149</c:v>
                </c:pt>
                <c:pt idx="21">
                  <c:v>1167.2479713671542</c:v>
                </c:pt>
                <c:pt idx="22">
                  <c:v>1103.4588150664258</c:v>
                </c:pt>
                <c:pt idx="23">
                  <c:v>1046.7556972752736</c:v>
                </c:pt>
                <c:pt idx="24">
                  <c:v>996.38269540605199</c:v>
                </c:pt>
                <c:pt idx="25">
                  <c:v>951.66987728495565</c:v>
                </c:pt>
                <c:pt idx="26">
                  <c:v>912.02518301878013</c:v>
                </c:pt>
                <c:pt idx="27">
                  <c:v>876.92640022248804</c:v>
                </c:pt>
                <c:pt idx="28">
                  <c:v>845.91351687302426</c:v>
                </c:pt>
                <c:pt idx="29">
                  <c:v>818.58160967864217</c:v>
                </c:pt>
                <c:pt idx="30">
                  <c:v>794.57434178615847</c:v>
                </c:pt>
                <c:pt idx="31">
                  <c:v>773.57808917082502</c:v>
                </c:pt>
                <c:pt idx="32">
                  <c:v>755.31668102988999</c:v>
                </c:pt>
                <c:pt idx="33">
                  <c:v>739.5467194323403</c:v>
                </c:pt>
                <c:pt idx="34">
                  <c:v>726.0534327808997</c:v>
                </c:pt>
                <c:pt idx="35">
                  <c:v>714.64701311529734</c:v>
                </c:pt>
                <c:pt idx="36">
                  <c:v>705.15938671129527</c:v>
                </c:pt>
                <c:pt idx="37">
                  <c:v>697.4413692902458</c:v>
                </c:pt>
                <c:pt idx="38">
                  <c:v>691.36016042347046</c:v>
                </c:pt>
                <c:pt idx="39">
                  <c:v>686.79713571269406</c:v>
                </c:pt>
                <c:pt idx="40">
                  <c:v>683.64589960839498</c:v>
                </c:pt>
                <c:pt idx="41">
                  <c:v>681.81056601173293</c:v>
                </c:pt>
                <c:pt idx="42">
                  <c:v>681.20423792267422</c:v>
                </c:pt>
                <c:pt idx="43">
                  <c:v>681.74766125061683</c:v>
                </c:pt>
                <c:pt idx="44">
                  <c:v>683.36803144568444</c:v>
                </c:pt>
                <c:pt idx="45">
                  <c:v>685.99793482057487</c:v>
                </c:pt>
                <c:pt idx="46">
                  <c:v>689.57440931415408</c:v>
                </c:pt>
                <c:pt idx="47">
                  <c:v>694.03811200862049</c:v>
                </c:pt>
                <c:pt idx="48">
                  <c:v>699.33258296640599</c:v>
                </c:pt>
                <c:pt idx="49">
                  <c:v>705.40359691671119</c:v>
                </c:pt>
                <c:pt idx="50">
                  <c:v>712.19859600973678</c:v>
                </c:pt>
                <c:pt idx="51">
                  <c:v>719.66619828269381</c:v>
                </c:pt>
                <c:pt idx="52">
                  <c:v>727.75577765714024</c:v>
                </c:pt>
                <c:pt idx="53">
                  <c:v>736.4171122220821</c:v>
                </c:pt>
                <c:pt idx="54">
                  <c:v>745.60009826060787</c:v>
                </c:pt>
                <c:pt idx="55">
                  <c:v>755.25452795846536</c:v>
                </c:pt>
                <c:pt idx="56">
                  <c:v>765.3299290006388</c:v>
                </c:pt>
                <c:pt idx="57">
                  <c:v>775.77546432819668</c:v>
                </c:pt>
                <c:pt idx="58">
                  <c:v>786.53989020676272</c:v>
                </c:pt>
                <c:pt idx="59">
                  <c:v>797.57157046783607</c:v>
                </c:pt>
                <c:pt idx="60">
                  <c:v>808.81854434691172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05-4F4F-B40B-8B4DB15E70CD}"/>
            </c:ext>
          </c:extLst>
        </c:ser>
        <c:ser>
          <c:idx val="3"/>
          <c:order val="3"/>
          <c:tx>
            <c:strRef>
              <c:f>R0!$AB$13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R0!$AA$14:$AA$74</c:f>
            </c:numRef>
          </c:xVal>
          <c:yVal>
            <c:numRef>
              <c:f>R0!$AB$14:$AB$74</c:f>
            </c:numRef>
          </c:yVal>
          <c:smooth val="1"/>
          <c:extLst>
            <c:ext xmlns:c16="http://schemas.microsoft.com/office/drawing/2014/chart" uri="{C3380CC4-5D6E-409C-BE32-E72D297353CC}">
              <c16:uniqueId val="{00000003-4254-407C-ABA2-E8B5D49E488E}"/>
            </c:ext>
          </c:extLst>
        </c:ser>
        <c:ser>
          <c:idx val="4"/>
          <c:order val="4"/>
          <c:tx>
            <c:strRef>
              <c:f>R0!$AC$13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R0!$AA$14:$AA$74</c:f>
            </c:numRef>
          </c:xVal>
          <c:yVal>
            <c:numRef>
              <c:f>R0!$AC$14:$AC$74</c:f>
            </c:numRef>
          </c:yVal>
          <c:smooth val="1"/>
          <c:extLst>
            <c:ext xmlns:c16="http://schemas.microsoft.com/office/drawing/2014/chart" uri="{C3380CC4-5D6E-409C-BE32-E72D297353CC}">
              <c16:uniqueId val="{00000004-4254-407C-ABA2-E8B5D49E488E}"/>
            </c:ext>
          </c:extLst>
        </c:ser>
        <c:ser>
          <c:idx val="5"/>
          <c:order val="5"/>
          <c:tx>
            <c:strRef>
              <c:f>R0!$AD$13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R0!$AA$14:$AA$74</c:f>
            </c:numRef>
          </c:xVal>
          <c:yVal>
            <c:numRef>
              <c:f>R0!$AD$14:$AD$74</c:f>
            </c:numRef>
          </c:yVal>
          <c:smooth val="1"/>
          <c:extLst>
            <c:ext xmlns:c16="http://schemas.microsoft.com/office/drawing/2014/chart" uri="{C3380CC4-5D6E-409C-BE32-E72D297353CC}">
              <c16:uniqueId val="{00000005-4254-407C-ABA2-E8B5D49E4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466303"/>
        <c:axId val="705467967"/>
      </c:scatterChart>
      <c:valAx>
        <c:axId val="705466303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05467967"/>
        <c:crosses val="autoZero"/>
        <c:crossBetween val="midCat"/>
      </c:valAx>
      <c:valAx>
        <c:axId val="70546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054663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31" fmlaLink="$K$5" horiz="1" inc="0" max="100" min="1" page="10" val="10"/>
</file>

<file path=xl/ctrlProps/ctrlProp2.xml><?xml version="1.0" encoding="utf-8"?>
<formControlPr xmlns="http://schemas.microsoft.com/office/spreadsheetml/2009/9/main" objectType="Scroll" dx="31" fmlaLink="$G$5" horiz="1" inc="0" max="100" min="1" page="10" val="38"/>
</file>

<file path=xl/ctrlProps/ctrlProp3.xml><?xml version="1.0" encoding="utf-8"?>
<formControlPr xmlns="http://schemas.microsoft.com/office/spreadsheetml/2009/9/main" objectType="Scroll" dx="31" fmlaLink="$D$5" horiz="1" inc="0" max="100" min="1" page="10" val="7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95250</xdr:rowOff>
    </xdr:from>
    <xdr:to>
      <xdr:col>18</xdr:col>
      <xdr:colOff>406400</xdr:colOff>
      <xdr:row>26</xdr:row>
      <xdr:rowOff>66675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pole tekstowe 1">
              <a:extLst>
                <a:ext uri="{FF2B5EF4-FFF2-40B4-BE49-F238E27FC236}">
                  <a16:creationId xmlns:a16="http://schemas.microsoft.com/office/drawing/2014/main" id="{AF3E6ECA-47A5-104B-4998-918C01463E5E}"/>
                </a:ext>
              </a:extLst>
            </xdr:cNvPr>
            <xdr:cNvSpPr txBox="1"/>
          </xdr:nvSpPr>
          <xdr:spPr>
            <a:xfrm>
              <a:off x="619125" y="819150"/>
              <a:ext cx="10760075" cy="4676775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l-PL" sz="1200" b="1">
                  <a:solidFill>
                    <a:sysClr val="windowText" lastClr="000000"/>
                  </a:solidFill>
                </a:rPr>
                <a:t>The SIR model </a:t>
              </a:r>
              <a:r>
                <a:rPr lang="pl-PL" sz="1200">
                  <a:solidFill>
                    <a:sysClr val="windowText" lastClr="000000"/>
                  </a:solidFill>
                </a:rPr>
                <a:t>is a simple epidemiological model dividing the population into three categories:</a:t>
              </a:r>
            </a:p>
            <a:p>
              <a:endParaRPr lang="pl-PL" sz="1200">
                <a:solidFill>
                  <a:sysClr val="windowText" lastClr="000000"/>
                </a:solidFill>
              </a:endParaRP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14:m>
                <m:oMath xmlns:m="http://schemas.openxmlformats.org/officeDocument/2006/math"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𝑆</m:t>
                  </m:r>
                </m:oMath>
              </a14:m>
              <a:r>
                <a:rPr lang="pl-PL" sz="1200">
                  <a:solidFill>
                    <a:sysClr val="windowText" lastClr="000000"/>
                  </a:solidFill>
                </a:rPr>
                <a:t> - Susceptible,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14:m>
                <m:oMath xmlns:m="http://schemas.openxmlformats.org/officeDocument/2006/math"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𝐼</m:t>
                  </m:r>
                </m:oMath>
              </a14:m>
              <a:r>
                <a:rPr lang="pl-PL" sz="1200">
                  <a:solidFill>
                    <a:sysClr val="windowText" lastClr="000000"/>
                  </a:solidFill>
                </a:rPr>
                <a:t> - Infected,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14:m>
                <m:oMath xmlns:m="http://schemas.openxmlformats.org/officeDocument/2006/math"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𝑅</m:t>
                  </m:r>
                </m:oMath>
              </a14:m>
              <a:r>
                <a:rPr lang="pl-PL" sz="1200">
                  <a:solidFill>
                    <a:sysClr val="windowText" lastClr="000000"/>
                  </a:solidFill>
                </a:rPr>
                <a:t> - Removed</a:t>
              </a:r>
            </a:p>
            <a:p>
              <a:endParaRPr lang="pl-PL" sz="1200">
                <a:solidFill>
                  <a:sysClr val="windowText" lastClr="000000"/>
                </a:solidFill>
              </a:endParaRP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described by the equations: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𝑑</m:t>
                        </m:r>
                        <m:r>
                          <a:rPr lang="pl-PL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num>
                      <m:den>
                        <m: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𝑑𝑡</m:t>
                        </m:r>
                      </m:den>
                    </m:f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 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𝜇</m:t>
                    </m:r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𝑁</m:t>
                    </m:r>
                    <m:r>
                      <a:rPr lang="pl-PL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−</m:t>
                    </m:r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𝛽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l-GR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pl-PL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𝑆𝐼</m:t>
                            </m:r>
                          </m:e>
                        </m:d>
                      </m:num>
                      <m:den>
                        <m:r>
                          <a:rPr lang="pl-PL" sz="1100" b="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𝑁</m:t>
                        </m:r>
                      </m:den>
                    </m:f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−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𝜈</m:t>
                    </m:r>
                    <m:r>
                      <a:rPr lang="pl-PL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</m:oMath>
                </m:oMathPara>
              </a14:m>
              <a:endParaRPr lang="pl-PL" sz="1200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𝑑𝐼</m:t>
                        </m:r>
                      </m:num>
                      <m:den>
                        <m: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𝑑𝑡</m:t>
                        </m:r>
                      </m:den>
                    </m:f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 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𝛽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l-GR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pl-PL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𝑆𝐼</m:t>
                            </m:r>
                          </m:e>
                        </m:d>
                      </m:num>
                      <m:den>
                        <m:r>
                          <a:rPr lang="pl-PL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den>
                    </m:f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- 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𝛾</m:t>
                    </m:r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𝐼</m:t>
                    </m:r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- 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𝜈</m:t>
                    </m:r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𝐼</m:t>
                    </m:r>
                  </m:oMath>
                </m:oMathPara>
              </a14:m>
              <a:endParaRPr lang="pl-PL" sz="110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𝑑</m:t>
                        </m:r>
                        <m:r>
                          <a:rPr lang="pl-PL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num>
                      <m:den>
                        <m: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𝑑𝑡</m:t>
                        </m:r>
                      </m:den>
                    </m:f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 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𝛾</m:t>
                    </m:r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𝐼</m:t>
                    </m:r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− 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𝜈</m:t>
                    </m:r>
                    <m:r>
                      <a:rPr lang="pl-PL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𝑅</m:t>
                    </m:r>
                  </m:oMath>
                </m:oMathPara>
              </a14:m>
              <a:endParaRPr lang="pl-PL" sz="1200">
                <a:solidFill>
                  <a:sysClr val="windowText" lastClr="000000"/>
                </a:solidFill>
              </a:endParaRP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where :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14:m>
                <m:oMath xmlns:m="http://schemas.openxmlformats.org/officeDocument/2006/math">
                  <m:r>
                    <a:rPr lang="el-GR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𝜇</m:t>
                  </m:r>
                </m:oMath>
              </a14:m>
              <a:r>
                <a:rPr lang="el-GR" sz="1200">
                  <a:solidFill>
                    <a:sysClr val="windowText" lastClr="000000"/>
                  </a:solidFill>
                </a:rPr>
                <a:t> - </a:t>
              </a:r>
              <a:r>
                <a:rPr lang="pl-PL" sz="1200">
                  <a:solidFill>
                    <a:sysClr val="windowText" lastClr="000000"/>
                  </a:solidFill>
                </a:rPr>
                <a:t>birth rate,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14:m>
                <m:oMath xmlns:m="http://schemas.openxmlformats.org/officeDocument/2006/math">
                  <m:r>
                    <a:rPr lang="el-GR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𝛽</m:t>
                  </m:r>
                </m:oMath>
              </a14:m>
              <a:r>
                <a:rPr lang="el-GR" sz="1200">
                  <a:solidFill>
                    <a:sysClr val="windowText" lastClr="000000"/>
                  </a:solidFill>
                </a:rPr>
                <a:t> - </a:t>
              </a:r>
              <a:r>
                <a:rPr lang="pl-PL" sz="1200">
                  <a:solidFill>
                    <a:sysClr val="windowText" lastClr="000000"/>
                  </a:solidFill>
                </a:rPr>
                <a:t>infection rate,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14:m>
                <m:oMath xmlns:m="http://schemas.openxmlformats.org/officeDocument/2006/math">
                  <m:r>
                    <a:rPr lang="el-GR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𝜈</m:t>
                  </m:r>
                </m:oMath>
              </a14:m>
              <a:r>
                <a:rPr lang="el-GR" sz="1200">
                  <a:solidFill>
                    <a:sysClr val="windowText" lastClr="000000"/>
                  </a:solidFill>
                </a:rPr>
                <a:t> - </a:t>
              </a:r>
              <a:r>
                <a:rPr lang="pl-PL" sz="1200">
                  <a:solidFill>
                    <a:sysClr val="windowText" lastClr="000000"/>
                  </a:solidFill>
                </a:rPr>
                <a:t>mortality rate,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14:m>
                <m:oMath xmlns:m="http://schemas.openxmlformats.org/officeDocument/2006/math">
                  <m:r>
                    <a:rPr lang="el-GR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𝛾</m:t>
                  </m:r>
                </m:oMath>
              </a14:m>
              <a:r>
                <a:rPr lang="el-GR" sz="1200">
                  <a:solidFill>
                    <a:sysClr val="windowText" lastClr="000000"/>
                  </a:solidFill>
                </a:rPr>
                <a:t> - </a:t>
              </a:r>
              <a:r>
                <a:rPr lang="pl-PL" sz="1200">
                  <a:solidFill>
                    <a:sysClr val="windowText" lastClr="000000"/>
                  </a:solidFill>
                </a:rPr>
                <a:t>recovery rate.</a:t>
              </a:r>
            </a:p>
            <a:p>
              <a:endParaRPr lang="pl-PL" sz="1200">
                <a:solidFill>
                  <a:sysClr val="windowText" lastClr="000000"/>
                </a:solidFill>
              </a:endParaRP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The population size is </a:t>
              </a:r>
              <a14:m>
                <m:oMath xmlns:m="http://schemas.openxmlformats.org/officeDocument/2006/math"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 = </m:t>
                  </m:r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𝑆</m:t>
                  </m:r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 + </m:t>
                  </m:r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𝐼</m:t>
                  </m:r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 + </m:t>
                  </m:r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𝑅</m:t>
                  </m:r>
                </m:oMath>
              </a14:m>
              <a:r>
                <a:rPr lang="pl-PL" sz="1200">
                  <a:solidFill>
                    <a:sysClr val="windowText" lastClr="000000"/>
                  </a:solidFill>
                </a:rPr>
                <a:t>. The assumption is </a:t>
              </a:r>
              <a14:m>
                <m:oMath xmlns:m="http://schemas.openxmlformats.org/officeDocument/2006/math">
                  <m:r>
                    <a:rPr lang="el-GR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𝜇</m:t>
                  </m:r>
                  <m:r>
                    <a:rPr lang="el-GR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 = </m:t>
                  </m:r>
                  <m:r>
                    <a:rPr lang="el-GR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𝜈</m:t>
                  </m:r>
                </m:oMath>
              </a14:m>
              <a:r>
                <a:rPr lang="el-GR" sz="1200">
                  <a:solidFill>
                    <a:sysClr val="windowText" lastClr="000000"/>
                  </a:solidFill>
                </a:rPr>
                <a:t>, </a:t>
              </a:r>
              <a:r>
                <a:rPr lang="pl-PL" sz="1200">
                  <a:solidFill>
                    <a:sysClr val="windowText" lastClr="000000"/>
                  </a:solidFill>
                </a:rPr>
                <a:t>implying that </a:t>
              </a:r>
              <a14:m>
                <m:oMath xmlns:m="http://schemas.openxmlformats.org/officeDocument/2006/math">
                  <m:r>
                    <a:rPr lang="pl-PL" sz="12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𝑁</m:t>
                  </m:r>
                </m:oMath>
              </a14:m>
              <a:r>
                <a:rPr lang="pl-PL" sz="1200">
                  <a:solidFill>
                    <a:sysClr val="windowText" lastClr="000000"/>
                  </a:solidFill>
                </a:rPr>
                <a:t> is constant. We will also investigate the impact on the results of the basic reproduction number, given by the formula:</a:t>
              </a:r>
            </a:p>
            <a:p>
              <a:endParaRPr lang="pl-PL" sz="1200">
                <a:solidFill>
                  <a:sysClr val="windowText" lastClr="000000"/>
                </a:solidFill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l-PL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pl-PL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pl-PL" sz="1100" i="1" baseline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= </m:t>
                    </m:r>
                    <m:r>
                      <a:rPr lang="el-GR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pl-PL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l-GR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num>
                      <m:den>
                        <m:r>
                          <a:rPr lang="el-GR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𝜈</m:t>
                        </m:r>
                        <m:r>
                          <a:rPr lang="pl-PL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l-GR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den>
                    </m:f>
                    <m:r>
                      <a:rPr lang="pl-PL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br>
                <a:rPr lang="pl-PL" sz="1200" i="1">
                  <a:solidFill>
                    <a:sysClr val="windowText" lastClr="000000"/>
                  </a:solidFill>
                </a:rPr>
              </a:br>
              <a:r>
                <a:rPr lang="pl-PL" sz="1200" i="1">
                  <a:solidFill>
                    <a:sysClr val="windowText" lastClr="000000"/>
                  </a:solidFill>
                </a:rPr>
                <a:t>​</a:t>
              </a:r>
              <a:endParaRPr lang="pl-PL" sz="1200">
                <a:solidFill>
                  <a:sysClr val="windowText" lastClr="000000"/>
                </a:solidFill>
              </a:endParaRPr>
            </a:p>
          </xdr:txBody>
        </xdr:sp>
      </mc:Choice>
      <mc:Fallback>
        <xdr:sp macro="" textlink="">
          <xdr:nvSpPr>
            <xdr:cNvPr id="2" name="pole tekstowe 1">
              <a:extLst>
                <a:ext uri="{FF2B5EF4-FFF2-40B4-BE49-F238E27FC236}">
                  <a16:creationId xmlns:a16="http://schemas.microsoft.com/office/drawing/2014/main" id="{AF3E6ECA-47A5-104B-4998-918C01463E5E}"/>
                </a:ext>
              </a:extLst>
            </xdr:cNvPr>
            <xdr:cNvSpPr txBox="1"/>
          </xdr:nvSpPr>
          <xdr:spPr>
            <a:xfrm>
              <a:off x="619125" y="819150"/>
              <a:ext cx="10760075" cy="4676775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l-PL" sz="1200" b="1">
                  <a:solidFill>
                    <a:sysClr val="windowText" lastClr="000000"/>
                  </a:solidFill>
                </a:rPr>
                <a:t>The SIR model </a:t>
              </a:r>
              <a:r>
                <a:rPr lang="pl-PL" sz="1200">
                  <a:solidFill>
                    <a:sysClr val="windowText" lastClr="000000"/>
                  </a:solidFill>
                </a:rPr>
                <a:t>is a simple epidemiological model dividing the population into three categories:</a:t>
              </a:r>
            </a:p>
            <a:p>
              <a:endParaRPr lang="pl-PL" sz="1200">
                <a:solidFill>
                  <a:sysClr val="windowText" lastClr="000000"/>
                </a:solidFill>
              </a:endParaRP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:r>
                <a:rPr lang="pl-PL" sz="12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𝑆</a:t>
              </a:r>
              <a:r>
                <a:rPr lang="pl-PL" sz="1200">
                  <a:solidFill>
                    <a:sysClr val="windowText" lastClr="000000"/>
                  </a:solidFill>
                </a:rPr>
                <a:t> - Susceptible,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:r>
                <a:rPr lang="pl-PL" sz="12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𝐼</a:t>
              </a:r>
              <a:r>
                <a:rPr lang="pl-PL" sz="1200">
                  <a:solidFill>
                    <a:sysClr val="windowText" lastClr="000000"/>
                  </a:solidFill>
                </a:rPr>
                <a:t> - Infected,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:r>
                <a:rPr lang="pl-PL" sz="12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𝑅</a:t>
              </a:r>
              <a:r>
                <a:rPr lang="pl-PL" sz="1200">
                  <a:solidFill>
                    <a:sysClr val="windowText" lastClr="000000"/>
                  </a:solidFill>
                </a:rPr>
                <a:t> - Removed</a:t>
              </a:r>
            </a:p>
            <a:p>
              <a:endParaRPr lang="pl-PL" sz="1200">
                <a:solidFill>
                  <a:sysClr val="windowText" lastClr="000000"/>
                </a:solidFill>
              </a:endParaRP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described by the equations: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𝑑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𝑑𝑡= 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𝜇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𝑁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−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𝛽  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𝑆𝐼))/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𝑁 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−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𝜈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</a:t>
              </a:r>
              <a:endParaRPr lang="pl-PL" sz="1200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𝑑𝐼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𝑑𝑡= 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𝛽 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𝑆𝐼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𝐼 - 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𝜈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𝐼</a:t>
              </a:r>
              <a:endParaRPr lang="pl-PL" sz="110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𝑑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𝑑𝑡= 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𝐼 − 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𝜈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</a:t>
              </a:r>
              <a:endParaRPr lang="pl-PL" sz="1200">
                <a:solidFill>
                  <a:sysClr val="windowText" lastClr="000000"/>
                </a:solidFill>
              </a:endParaRP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where :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:r>
                <a:rPr lang="el-GR" sz="12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𝜇</a:t>
              </a:r>
              <a:r>
                <a:rPr lang="el-GR" sz="1200">
                  <a:solidFill>
                    <a:sysClr val="windowText" lastClr="000000"/>
                  </a:solidFill>
                </a:rPr>
                <a:t> - </a:t>
              </a:r>
              <a:r>
                <a:rPr lang="pl-PL" sz="1200">
                  <a:solidFill>
                    <a:sysClr val="windowText" lastClr="000000"/>
                  </a:solidFill>
                </a:rPr>
                <a:t>birth rate,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:r>
                <a:rPr lang="el-GR" sz="12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𝛽</a:t>
              </a:r>
              <a:r>
                <a:rPr lang="el-GR" sz="1200">
                  <a:solidFill>
                    <a:sysClr val="windowText" lastClr="000000"/>
                  </a:solidFill>
                </a:rPr>
                <a:t> - </a:t>
              </a:r>
              <a:r>
                <a:rPr lang="pl-PL" sz="1200">
                  <a:solidFill>
                    <a:sysClr val="windowText" lastClr="000000"/>
                  </a:solidFill>
                </a:rPr>
                <a:t>infection rate,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:r>
                <a:rPr lang="el-GR" sz="12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𝜈</a:t>
              </a:r>
              <a:r>
                <a:rPr lang="el-GR" sz="1200">
                  <a:solidFill>
                    <a:sysClr val="windowText" lastClr="000000"/>
                  </a:solidFill>
                </a:rPr>
                <a:t> - </a:t>
              </a:r>
              <a:r>
                <a:rPr lang="pl-PL" sz="1200">
                  <a:solidFill>
                    <a:sysClr val="windowText" lastClr="000000"/>
                  </a:solidFill>
                </a:rPr>
                <a:t>mortality rate,</a:t>
              </a: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• </a:t>
              </a:r>
              <a:r>
                <a:rPr lang="el-GR" sz="12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𝛾</a:t>
              </a:r>
              <a:r>
                <a:rPr lang="el-GR" sz="1200">
                  <a:solidFill>
                    <a:sysClr val="windowText" lastClr="000000"/>
                  </a:solidFill>
                </a:rPr>
                <a:t> - </a:t>
              </a:r>
              <a:r>
                <a:rPr lang="pl-PL" sz="1200">
                  <a:solidFill>
                    <a:sysClr val="windowText" lastClr="000000"/>
                  </a:solidFill>
                </a:rPr>
                <a:t>recovery rate.</a:t>
              </a:r>
            </a:p>
            <a:p>
              <a:endParaRPr lang="pl-PL" sz="1200">
                <a:solidFill>
                  <a:sysClr val="windowText" lastClr="000000"/>
                </a:solidFill>
              </a:endParaRPr>
            </a:p>
            <a:p>
              <a:r>
                <a:rPr lang="pl-PL" sz="1200">
                  <a:solidFill>
                    <a:sysClr val="windowText" lastClr="000000"/>
                  </a:solidFill>
                </a:rPr>
                <a:t>The population size is </a:t>
              </a:r>
              <a:r>
                <a:rPr lang="pl-PL" sz="12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𝑁 = 𝑆 + 𝐼 + 𝑅</a:t>
              </a:r>
              <a:r>
                <a:rPr lang="pl-PL" sz="1200">
                  <a:solidFill>
                    <a:sysClr val="windowText" lastClr="000000"/>
                  </a:solidFill>
                </a:rPr>
                <a:t>. The assumption is </a:t>
              </a:r>
              <a:r>
                <a:rPr lang="el-GR" sz="12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𝜇 = 𝜈</a:t>
              </a:r>
              <a:r>
                <a:rPr lang="el-GR" sz="1200">
                  <a:solidFill>
                    <a:sysClr val="windowText" lastClr="000000"/>
                  </a:solidFill>
                </a:rPr>
                <a:t>, </a:t>
              </a:r>
              <a:r>
                <a:rPr lang="pl-PL" sz="1200">
                  <a:solidFill>
                    <a:sysClr val="windowText" lastClr="000000"/>
                  </a:solidFill>
                </a:rPr>
                <a:t>implying that </a:t>
              </a:r>
              <a:r>
                <a:rPr lang="pl-PL" sz="12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𝑁</a:t>
              </a:r>
              <a:r>
                <a:rPr lang="pl-PL" sz="1200">
                  <a:solidFill>
                    <a:sysClr val="windowText" lastClr="000000"/>
                  </a:solidFill>
                </a:rPr>
                <a:t> is constant. We will also investigate the impact on the results of the basic reproduction number, given by the formula:</a:t>
              </a:r>
            </a:p>
            <a:p>
              <a:endParaRPr lang="pl-PL" sz="1200">
                <a:solidFill>
                  <a:sysClr val="windowText" lastClr="000000"/>
                </a:solidFill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l-PL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𝑅_0</a:t>
              </a:r>
              <a:r>
                <a:rPr lang="pl-PL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pl-PL" sz="110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= 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𝛽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𝜈</a:t>
              </a:r>
              <a:r>
                <a:rPr lang="pl-PL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l-GR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</a:t>
              </a:r>
              <a:r>
                <a:rPr lang="pl-PL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 </a:t>
              </a:r>
              <a:br>
                <a:rPr lang="pl-PL" sz="1200" i="1">
                  <a:solidFill>
                    <a:sysClr val="windowText" lastClr="000000"/>
                  </a:solidFill>
                </a:rPr>
              </a:br>
              <a:r>
                <a:rPr lang="pl-PL" sz="1200" i="1">
                  <a:solidFill>
                    <a:sysClr val="windowText" lastClr="000000"/>
                  </a:solidFill>
                </a:rPr>
                <a:t>​</a:t>
              </a:r>
              <a:endParaRPr lang="pl-PL" sz="120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3</xdr:row>
      <xdr:rowOff>19050</xdr:rowOff>
    </xdr:from>
    <xdr:to>
      <xdr:col>20</xdr:col>
      <xdr:colOff>92297</xdr:colOff>
      <xdr:row>28</xdr:row>
      <xdr:rowOff>40083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613409</xdr:colOff>
      <xdr:row>3</xdr:row>
      <xdr:rowOff>3809</xdr:rowOff>
    </xdr:from>
    <xdr:to>
      <xdr:col>20</xdr:col>
      <xdr:colOff>64319</xdr:colOff>
      <xdr:row>28</xdr:row>
      <xdr:rowOff>33556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401</xdr:colOff>
      <xdr:row>21</xdr:row>
      <xdr:rowOff>0</xdr:rowOff>
    </xdr:from>
    <xdr:ext cx="65" cy="172227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363769" y="378994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l-PL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472439</xdr:colOff>
      <xdr:row>2</xdr:row>
      <xdr:rowOff>91439</xdr:rowOff>
    </xdr:from>
    <xdr:to>
      <xdr:col>25</xdr:col>
      <xdr:colOff>615639</xdr:colOff>
      <xdr:row>27</xdr:row>
      <xdr:rowOff>114772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526143</xdr:colOff>
      <xdr:row>31</xdr:row>
      <xdr:rowOff>134256</xdr:rowOff>
    </xdr:from>
    <xdr:to>
      <xdr:col>26</xdr:col>
      <xdr:colOff>51277</xdr:colOff>
      <xdr:row>54</xdr:row>
      <xdr:rowOff>170123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559254</xdr:colOff>
      <xdr:row>59</xdr:row>
      <xdr:rowOff>64859</xdr:rowOff>
    </xdr:from>
    <xdr:to>
      <xdr:col>26</xdr:col>
      <xdr:colOff>83310</xdr:colOff>
      <xdr:row>84</xdr:row>
      <xdr:rowOff>88192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12095</xdr:colOff>
      <xdr:row>1</xdr:row>
      <xdr:rowOff>13304</xdr:rowOff>
    </xdr:from>
    <xdr:to>
      <xdr:col>53</xdr:col>
      <xdr:colOff>155295</xdr:colOff>
      <xdr:row>24</xdr:row>
      <xdr:rowOff>49171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614437</xdr:colOff>
      <xdr:row>27</xdr:row>
      <xdr:rowOff>37495</xdr:rowOff>
    </xdr:from>
    <xdr:to>
      <xdr:col>53</xdr:col>
      <xdr:colOff>139570</xdr:colOff>
      <xdr:row>52</xdr:row>
      <xdr:rowOff>60828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614437</xdr:colOff>
      <xdr:row>60</xdr:row>
      <xdr:rowOff>73781</xdr:rowOff>
    </xdr:from>
    <xdr:to>
      <xdr:col>53</xdr:col>
      <xdr:colOff>139570</xdr:colOff>
      <xdr:row>85</xdr:row>
      <xdr:rowOff>97114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30251</xdr:colOff>
      <xdr:row>11</xdr:row>
      <xdr:rowOff>69849</xdr:rowOff>
    </xdr:from>
    <xdr:to>
      <xdr:col>11</xdr:col>
      <xdr:colOff>533364</xdr:colOff>
      <xdr:row>37</xdr:row>
      <xdr:rowOff>77208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30251</xdr:colOff>
      <xdr:row>11</xdr:row>
      <xdr:rowOff>69849</xdr:rowOff>
    </xdr:from>
    <xdr:to>
      <xdr:col>50</xdr:col>
      <xdr:colOff>533364</xdr:colOff>
      <xdr:row>37</xdr:row>
      <xdr:rowOff>77208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30251</xdr:colOff>
      <xdr:row>11</xdr:row>
      <xdr:rowOff>69849</xdr:rowOff>
    </xdr:from>
    <xdr:to>
      <xdr:col>11</xdr:col>
      <xdr:colOff>533364</xdr:colOff>
      <xdr:row>37</xdr:row>
      <xdr:rowOff>77208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30251</xdr:colOff>
      <xdr:row>11</xdr:row>
      <xdr:rowOff>69849</xdr:rowOff>
    </xdr:from>
    <xdr:to>
      <xdr:col>50</xdr:col>
      <xdr:colOff>533364</xdr:colOff>
      <xdr:row>37</xdr:row>
      <xdr:rowOff>77208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3</xdr:row>
          <xdr:rowOff>63500</xdr:rowOff>
        </xdr:from>
        <xdr:to>
          <xdr:col>13</xdr:col>
          <xdr:colOff>10584</xdr:colOff>
          <xdr:row>5</xdr:row>
          <xdr:rowOff>47625</xdr:rowOff>
        </xdr:to>
        <xdr:sp macro="" textlink="">
          <xdr:nvSpPr>
            <xdr:cNvPr id="4099" name="Scroll Ba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3</xdr:row>
          <xdr:rowOff>38100</xdr:rowOff>
        </xdr:from>
        <xdr:to>
          <xdr:col>9</xdr:col>
          <xdr:colOff>6350</xdr:colOff>
          <xdr:row>5</xdr:row>
          <xdr:rowOff>38100</xdr:rowOff>
        </xdr:to>
        <xdr:sp macro="" textlink="">
          <xdr:nvSpPr>
            <xdr:cNvPr id="4100" name="Scroll Bar 4" descr="gamma&#10;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25400</xdr:rowOff>
        </xdr:from>
        <xdr:to>
          <xdr:col>5</xdr:col>
          <xdr:colOff>0</xdr:colOff>
          <xdr:row>5</xdr:row>
          <xdr:rowOff>28575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84137</xdr:colOff>
      <xdr:row>15</xdr:row>
      <xdr:rowOff>134408</xdr:rowOff>
    </xdr:from>
    <xdr:to>
      <xdr:col>21</xdr:col>
      <xdr:colOff>557762</xdr:colOff>
      <xdr:row>36</xdr:row>
      <xdr:rowOff>97302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04446-0DF4-8D40-B619-020C6F1113E6}" name="Tabela3" displayName="Tabela3" ref="A1:B11" totalsRowShown="0">
  <autoFilter ref="A1:B11" xr:uid="{78304446-0DF4-8D40-B619-020C6F1113E6}"/>
  <tableColumns count="2">
    <tableColumn id="1" xr3:uid="{570CE07F-04C7-6543-B1B1-18750233D403}" name="Parametrs"/>
    <tableColumn id="2" xr3:uid="{D8427600-B16D-9D4B-ACC1-29450BA7CB6C}" name="Values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D12C6C-4FD9-2B40-9F23-F2A1E5BC914E}" name="Tabela311" displayName="Tabela311" ref="A1:B11" totalsRowShown="0">
  <autoFilter ref="A1:B11" xr:uid="{BDD12C6C-4FD9-2B40-9F23-F2A1E5BC914E}"/>
  <tableColumns count="2">
    <tableColumn id="1" xr3:uid="{8BF78F74-12EE-1D40-BBF7-FD435D9C5C26}" name="Parametrs"/>
    <tableColumn id="2" xr3:uid="{33909A0C-F033-8444-AE26-FA89EB21BB9B}" name="Values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9D040D-41A8-CB46-A463-849FCB188506}" name="Tabela39" displayName="Tabela39" ref="A1:B11" totalsRowShown="0">
  <autoFilter ref="A1:B11" xr:uid="{859D040D-41A8-CB46-A463-849FCB188506}"/>
  <tableColumns count="2">
    <tableColumn id="1" xr3:uid="{D49DE16B-7D55-EC47-A5E7-A76671F8FB3B}" name="Parametrs"/>
    <tableColumn id="2" xr3:uid="{07AA87E4-23FC-D240-AD30-F9A99623E5FF}" name="Values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A364DA3-C736-394D-B162-91AC6863A4E0}" name="Tabela3910" displayName="Tabela3910" ref="AB1:AC11" totalsRowShown="0">
  <autoFilter ref="AB1:AC11" xr:uid="{6A364DA3-C736-394D-B162-91AC6863A4E0}"/>
  <tableColumns count="2">
    <tableColumn id="1" xr3:uid="{126006F3-6F12-5A42-B522-3EA5637357EE}" name="Parametrs"/>
    <tableColumn id="2" xr3:uid="{228AC9ED-ECAE-0B4A-AC5D-82E86513CB31}" name="Value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5FED57-BF45-479D-B36B-FF69A7803A1B}" name="Tabela36" displayName="Tabela36" ref="A1:B9" totalsRowShown="0">
  <autoFilter ref="A1:B9" xr:uid="{655FED57-BF45-479D-B36B-FF69A7803A1B}"/>
  <tableColumns count="2">
    <tableColumn id="1" xr3:uid="{3386A6C4-2649-4478-A070-8353333CB959}" name="Parametrs"/>
    <tableColumn id="2" xr3:uid="{F524D3C8-9675-439A-A268-3B5262B7F839}" name="Value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0A8173-6CC0-4C39-9177-8ECD083B3678}" name="Tabela363" displayName="Tabela363" ref="AN1:AO9" totalsRowShown="0">
  <autoFilter ref="AN1:AO9" xr:uid="{1A0A8173-6CC0-4C39-9177-8ECD083B3678}"/>
  <tableColumns count="2">
    <tableColumn id="1" xr3:uid="{CA92AFAB-7C0C-415E-83FE-64538821ADCC}" name="Parametrs"/>
    <tableColumn id="2" xr3:uid="{D63ECB7B-A3A5-41DE-AA4F-74D20C707D2A}" name="Values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9D103-55E1-4212-B60D-AC493603C793}" name="Tabela367" displayName="Tabela367" ref="A1:B9" totalsRowShown="0">
  <autoFilter ref="A1:B9" xr:uid="{6879D103-55E1-4212-B60D-AC493603C793}"/>
  <tableColumns count="2">
    <tableColumn id="1" xr3:uid="{40187261-38C7-45EF-AD44-C93E7A7BADFF}" name="Parametrs"/>
    <tableColumn id="2" xr3:uid="{4E69D97D-8FE0-4B97-9112-D903CBB59CC7}" name="Values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51D1C9-3663-48CB-910B-E06C763399C5}" name="Tabela3638" displayName="Tabela3638" ref="AN1:AO9" totalsRowShown="0">
  <autoFilter ref="AN1:AO9" xr:uid="{0551D1C9-3663-48CB-910B-E06C763399C5}"/>
  <tableColumns count="2">
    <tableColumn id="1" xr3:uid="{3A0F340E-35F7-48EB-8671-6EF0CA8462F7}" name="Parametrs"/>
    <tableColumn id="2" xr3:uid="{F6D3FE9A-92BE-4F09-88E3-6135EF80D815}" name="Values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91EBF-1B4A-2A40-879D-7747D144F041}" name="Tabela1" displayName="Tabela1" ref="A11:B22" totalsRowShown="0">
  <autoFilter ref="A11:B22" xr:uid="{CA091EBF-1B4A-2A40-879D-7747D144F041}"/>
  <tableColumns count="2">
    <tableColumn id="1" xr3:uid="{2A947556-328F-174C-8FAD-B5581302D9F6}" name="Parametrs"/>
    <tableColumn id="2" xr3:uid="{EE1FC3D2-678D-6940-ABCB-609A5A05300B}" name="Values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D4C06-24D5-4C31-9220-9977D322BBD3}">
  <dimension ref="A1"/>
  <sheetViews>
    <sheetView showGridLines="0" tabSelected="1" zoomScale="130" zoomScaleNormal="130" workbookViewId="0">
      <selection activeCell="T16" sqref="T16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2C84-689F-4426-AC19-646028CD7AF0}">
  <sheetPr codeName="Arkusz1"/>
  <dimension ref="A1:H102"/>
  <sheetViews>
    <sheetView zoomScaleNormal="100" workbookViewId="0"/>
  </sheetViews>
  <sheetFormatPr defaultColWidth="8.81640625" defaultRowHeight="14.5" x14ac:dyDescent="0.35"/>
  <cols>
    <col min="1" max="1" width="11.81640625" bestFit="1" customWidth="1"/>
    <col min="2" max="2" width="10.6328125" bestFit="1" customWidth="1"/>
    <col min="5" max="5" width="8.81640625" customWidth="1"/>
    <col min="6" max="6" width="9.1796875" bestFit="1" customWidth="1"/>
    <col min="7" max="8" width="11" bestFit="1" customWidth="1"/>
  </cols>
  <sheetData>
    <row r="1" spans="1:8" x14ac:dyDescent="0.35">
      <c r="A1" t="s">
        <v>20</v>
      </c>
      <c r="B1" t="s">
        <v>21</v>
      </c>
    </row>
    <row r="2" spans="1:8" hidden="1" x14ac:dyDescent="0.35">
      <c r="A2" t="s">
        <v>0</v>
      </c>
      <c r="B2">
        <v>0</v>
      </c>
    </row>
    <row r="3" spans="1:8" hidden="1" x14ac:dyDescent="0.35">
      <c r="A3" t="s">
        <v>1</v>
      </c>
      <c r="B3">
        <v>90</v>
      </c>
    </row>
    <row r="4" spans="1:8" hidden="1" x14ac:dyDescent="0.35">
      <c r="A4" t="s">
        <v>2</v>
      </c>
      <c r="B4">
        <v>90</v>
      </c>
    </row>
    <row r="5" spans="1:8" x14ac:dyDescent="0.35">
      <c r="A5" t="s">
        <v>8</v>
      </c>
      <c r="B5">
        <v>38000000</v>
      </c>
    </row>
    <row r="6" spans="1:8" x14ac:dyDescent="0.35">
      <c r="A6" t="s">
        <v>9</v>
      </c>
      <c r="B6">
        <v>0</v>
      </c>
    </row>
    <row r="7" spans="1:8" x14ac:dyDescent="0.35">
      <c r="A7" t="s">
        <v>10</v>
      </c>
      <c r="B7">
        <v>5000</v>
      </c>
    </row>
    <row r="8" spans="1:8" x14ac:dyDescent="0.35">
      <c r="A8" t="s">
        <v>11</v>
      </c>
      <c r="B8">
        <v>0.3</v>
      </c>
    </row>
    <row r="9" spans="1:8" x14ac:dyDescent="0.35">
      <c r="A9" t="s">
        <v>12</v>
      </c>
      <c r="B9">
        <f>B8</f>
        <v>0.3</v>
      </c>
    </row>
    <row r="10" spans="1:8" x14ac:dyDescent="0.35">
      <c r="A10" t="s">
        <v>13</v>
      </c>
      <c r="B10">
        <v>2.5</v>
      </c>
    </row>
    <row r="11" spans="1:8" x14ac:dyDescent="0.35">
      <c r="A11" t="s">
        <v>14</v>
      </c>
      <c r="B11">
        <v>0.8</v>
      </c>
      <c r="E11" s="4" t="s">
        <v>3</v>
      </c>
      <c r="F11" s="2" t="s">
        <v>4</v>
      </c>
      <c r="G11" s="2" t="s">
        <v>5</v>
      </c>
      <c r="H11" s="3" t="s">
        <v>6</v>
      </c>
    </row>
    <row r="12" spans="1:8" x14ac:dyDescent="0.35">
      <c r="E12" cm="1">
        <f t="array" ref="E12:H102">SOLVE_SIR_RUNGE_KUTTA(B2,B3,B4,B5,B6,B7,B8,B9,B10,B11)</f>
        <v>0</v>
      </c>
      <c r="F12">
        <v>38000000</v>
      </c>
      <c r="G12">
        <v>0</v>
      </c>
      <c r="H12">
        <v>5000</v>
      </c>
    </row>
    <row r="13" spans="1:8" x14ac:dyDescent="0.35">
      <c r="E13">
        <v>1</v>
      </c>
      <c r="F13">
        <v>37978543.750554599</v>
      </c>
      <c r="G13">
        <v>7284.6408915014381</v>
      </c>
      <c r="H13">
        <v>19171.608553902501</v>
      </c>
    </row>
    <row r="14" spans="1:8" x14ac:dyDescent="0.35">
      <c r="E14">
        <v>2</v>
      </c>
      <c r="F14">
        <v>37898382.228039667</v>
      </c>
      <c r="G14">
        <v>33297.824575138933</v>
      </c>
      <c r="H14">
        <v>73319.947385195512</v>
      </c>
    </row>
    <row r="15" spans="1:8" x14ac:dyDescent="0.35">
      <c r="E15">
        <v>3</v>
      </c>
      <c r="F15">
        <v>37596356.400480084</v>
      </c>
      <c r="G15">
        <v>130967.50840251433</v>
      </c>
      <c r="H15">
        <v>277676.09111739969</v>
      </c>
    </row>
    <row r="16" spans="1:8" x14ac:dyDescent="0.35">
      <c r="E16">
        <v>4</v>
      </c>
      <c r="F16">
        <v>36497207.063840918</v>
      </c>
      <c r="G16">
        <v>493883.90013573028</v>
      </c>
      <c r="H16">
        <v>1013909.0360233467</v>
      </c>
    </row>
    <row r="17" spans="5:8" x14ac:dyDescent="0.35">
      <c r="E17">
        <v>5</v>
      </c>
      <c r="F17">
        <v>33002655.574775986</v>
      </c>
      <c r="G17">
        <v>1741820.5428669355</v>
      </c>
      <c r="H17">
        <v>3260523.8823570739</v>
      </c>
    </row>
    <row r="18" spans="5:8" x14ac:dyDescent="0.35">
      <c r="E18">
        <v>6</v>
      </c>
      <c r="F18">
        <v>25514210.698492393</v>
      </c>
      <c r="G18">
        <v>5056847.1264427276</v>
      </c>
      <c r="H18">
        <v>7433942.1750648767</v>
      </c>
    </row>
    <row r="19" spans="5:8" x14ac:dyDescent="0.35">
      <c r="E19">
        <v>7</v>
      </c>
      <c r="F19">
        <v>17866789.660640776</v>
      </c>
      <c r="G19">
        <v>10034435.52407318</v>
      </c>
      <c r="H19">
        <v>10103774.815286042</v>
      </c>
    </row>
    <row r="20" spans="5:8" x14ac:dyDescent="0.35">
      <c r="E20">
        <v>8</v>
      </c>
      <c r="F20">
        <v>14407416.620761942</v>
      </c>
      <c r="G20">
        <v>14167405.916306615</v>
      </c>
      <c r="H20">
        <v>9430177.4629314411</v>
      </c>
    </row>
    <row r="21" spans="5:8" x14ac:dyDescent="0.35">
      <c r="E21">
        <v>9</v>
      </c>
      <c r="F21">
        <v>13759818.221375031</v>
      </c>
      <c r="G21">
        <v>16386893.813729636</v>
      </c>
      <c r="H21">
        <v>7858287.9648953313</v>
      </c>
    </row>
    <row r="22" spans="5:8" x14ac:dyDescent="0.35">
      <c r="E22">
        <v>10</v>
      </c>
      <c r="F22">
        <v>14340446.23758688</v>
      </c>
      <c r="G22">
        <v>17070940.489069752</v>
      </c>
      <c r="H22">
        <v>6593613.2733433647</v>
      </c>
    </row>
    <row r="23" spans="5:8" x14ac:dyDescent="0.35">
      <c r="E23">
        <v>11</v>
      </c>
      <c r="F23">
        <v>15276879.363880552</v>
      </c>
      <c r="G23">
        <v>16900370.170634355</v>
      </c>
      <c r="H23">
        <v>5827750.4654850913</v>
      </c>
    </row>
    <row r="24" spans="5:8" x14ac:dyDescent="0.35">
      <c r="E24">
        <v>12</v>
      </c>
      <c r="F24">
        <v>16137668.314834334</v>
      </c>
      <c r="G24">
        <v>16401919.175253412</v>
      </c>
      <c r="H24">
        <v>5465412.5099122534</v>
      </c>
    </row>
    <row r="25" spans="5:8" x14ac:dyDescent="0.35">
      <c r="E25">
        <v>13</v>
      </c>
      <c r="F25">
        <v>16740056.803378016</v>
      </c>
      <c r="G25">
        <v>15888765.328643201</v>
      </c>
      <c r="H25">
        <v>5376177.8679787824</v>
      </c>
    </row>
    <row r="26" spans="5:8" x14ac:dyDescent="0.35">
      <c r="E26">
        <v>14</v>
      </c>
      <c r="F26">
        <v>17049149.824540973</v>
      </c>
      <c r="G26">
        <v>15509893.83359855</v>
      </c>
      <c r="H26">
        <v>5445956.341860475</v>
      </c>
    </row>
    <row r="27" spans="5:8" x14ac:dyDescent="0.35">
      <c r="E27">
        <v>15</v>
      </c>
      <c r="F27">
        <v>17118350.423410598</v>
      </c>
      <c r="G27">
        <v>15304825.15254667</v>
      </c>
      <c r="H27">
        <v>5581824.4240427315</v>
      </c>
    </row>
    <row r="28" spans="5:8" x14ac:dyDescent="0.35">
      <c r="E28">
        <v>16</v>
      </c>
      <c r="F28">
        <v>17041181.293835457</v>
      </c>
      <c r="G28">
        <v>15247749.981845399</v>
      </c>
      <c r="H28">
        <v>5716068.7243191414</v>
      </c>
    </row>
    <row r="29" spans="5:8" x14ac:dyDescent="0.35">
      <c r="E29">
        <v>17</v>
      </c>
      <c r="F29">
        <v>16909844.085659772</v>
      </c>
      <c r="G29">
        <v>15283990.46467359</v>
      </c>
      <c r="H29">
        <v>5811165.449666637</v>
      </c>
    </row>
    <row r="30" spans="5:8" x14ac:dyDescent="0.35">
      <c r="E30">
        <v>18</v>
      </c>
      <c r="F30">
        <v>16788853.074634906</v>
      </c>
      <c r="G30">
        <v>15358115.044506853</v>
      </c>
      <c r="H30">
        <v>5858031.8808582406</v>
      </c>
    </row>
    <row r="31" spans="5:8" x14ac:dyDescent="0.35">
      <c r="E31">
        <v>19</v>
      </c>
      <c r="F31">
        <v>16708339.541662252</v>
      </c>
      <c r="G31">
        <v>15430313.725488078</v>
      </c>
      <c r="H31">
        <v>5866346.7328496715</v>
      </c>
    </row>
    <row r="32" spans="5:8" x14ac:dyDescent="0.35">
      <c r="E32">
        <v>20</v>
      </c>
      <c r="F32">
        <v>16671619.231939459</v>
      </c>
      <c r="G32">
        <v>15480718.870293913</v>
      </c>
      <c r="H32">
        <v>5852661.8977666274</v>
      </c>
    </row>
    <row r="33" spans="5:8" x14ac:dyDescent="0.35">
      <c r="E33">
        <v>21</v>
      </c>
      <c r="F33">
        <v>16667577.709038813</v>
      </c>
      <c r="G33">
        <v>15505567.604422297</v>
      </c>
      <c r="H33">
        <v>5831854.68653889</v>
      </c>
    </row>
    <row r="34" spans="5:8" x14ac:dyDescent="0.35">
      <c r="E34">
        <v>22</v>
      </c>
      <c r="F34">
        <v>16681196.2951209</v>
      </c>
      <c r="G34">
        <v>15510347.301043967</v>
      </c>
      <c r="H34">
        <v>5813456.4038351336</v>
      </c>
    </row>
    <row r="35" spans="5:8" x14ac:dyDescent="0.35">
      <c r="E35">
        <v>23</v>
      </c>
      <c r="F35">
        <v>16699850.053584797</v>
      </c>
      <c r="G35">
        <v>15503602.253858671</v>
      </c>
      <c r="H35">
        <v>5801547.692556533</v>
      </c>
    </row>
    <row r="36" spans="5:8" x14ac:dyDescent="0.35">
      <c r="E36">
        <v>24</v>
      </c>
      <c r="F36">
        <v>16715720.02033074</v>
      </c>
      <c r="G36">
        <v>15492953.704328321</v>
      </c>
      <c r="H36">
        <v>5796326.2753409399</v>
      </c>
    </row>
    <row r="37" spans="5:8" x14ac:dyDescent="0.35">
      <c r="E37">
        <v>25</v>
      </c>
      <c r="F37">
        <v>16725636.14115672</v>
      </c>
      <c r="G37">
        <v>15483376.4700062</v>
      </c>
      <c r="H37">
        <v>5795987.3888370814</v>
      </c>
    </row>
    <row r="38" spans="5:8" x14ac:dyDescent="0.35">
      <c r="E38">
        <v>26</v>
      </c>
      <c r="F38">
        <v>16729688.51533699</v>
      </c>
      <c r="G38">
        <v>15477086.678928746</v>
      </c>
      <c r="H38">
        <v>5798224.8057342647</v>
      </c>
    </row>
    <row r="39" spans="5:8" x14ac:dyDescent="0.35">
      <c r="E39">
        <v>27</v>
      </c>
      <c r="F39">
        <v>16729600.378275437</v>
      </c>
      <c r="G39">
        <v>15474268.637736984</v>
      </c>
      <c r="H39">
        <v>5801130.9839875791</v>
      </c>
    </row>
    <row r="40" spans="5:8" x14ac:dyDescent="0.35">
      <c r="E40">
        <v>28</v>
      </c>
      <c r="F40">
        <v>16727433.996958368</v>
      </c>
      <c r="G40">
        <v>15474021.690066626</v>
      </c>
      <c r="H40">
        <v>5803544.3129750052</v>
      </c>
    </row>
    <row r="41" spans="5:8" x14ac:dyDescent="0.35">
      <c r="E41">
        <v>29</v>
      </c>
      <c r="F41">
        <v>16724833.331447044</v>
      </c>
      <c r="G41">
        <v>15475151.402653763</v>
      </c>
      <c r="H41">
        <v>5805015.2658991935</v>
      </c>
    </row>
    <row r="42" spans="5:8" x14ac:dyDescent="0.35">
      <c r="E42">
        <v>30</v>
      </c>
      <c r="F42">
        <v>16722757.987121586</v>
      </c>
      <c r="G42">
        <v>15476656.313183749</v>
      </c>
      <c r="H42">
        <v>5805585.6996946661</v>
      </c>
    </row>
    <row r="43" spans="5:8" x14ac:dyDescent="0.35">
      <c r="E43">
        <v>31</v>
      </c>
      <c r="F43">
        <v>16721544.475921176</v>
      </c>
      <c r="G43">
        <v>15477920.230036255</v>
      </c>
      <c r="H43">
        <v>5805535.2940425687</v>
      </c>
    </row>
    <row r="44" spans="5:8" x14ac:dyDescent="0.35">
      <c r="E44">
        <v>32</v>
      </c>
      <c r="F44">
        <v>16721116.409874422</v>
      </c>
      <c r="G44">
        <v>15478699.40552095</v>
      </c>
      <c r="H44">
        <v>5805184.1846046271</v>
      </c>
    </row>
    <row r="45" spans="5:8" x14ac:dyDescent="0.35">
      <c r="E45">
        <v>33</v>
      </c>
      <c r="F45">
        <v>16721209.775262561</v>
      </c>
      <c r="G45">
        <v>15479009.105056975</v>
      </c>
      <c r="H45">
        <v>5804781.1196804643</v>
      </c>
    </row>
    <row r="46" spans="5:8" x14ac:dyDescent="0.35">
      <c r="E46">
        <v>34</v>
      </c>
      <c r="F46">
        <v>16721541.063719278</v>
      </c>
      <c r="G46">
        <v>15478991.690999238</v>
      </c>
      <c r="H46">
        <v>5804467.245281483</v>
      </c>
    </row>
    <row r="47" spans="5:8" x14ac:dyDescent="0.35">
      <c r="E47">
        <v>35</v>
      </c>
      <c r="F47">
        <v>16721898.15697002</v>
      </c>
      <c r="G47">
        <v>15478813.213925833</v>
      </c>
      <c r="H47">
        <v>5804288.6291041458</v>
      </c>
    </row>
    <row r="48" spans="5:8" x14ac:dyDescent="0.35">
      <c r="E48">
        <v>36</v>
      </c>
      <c r="F48">
        <v>16722165.977999046</v>
      </c>
      <c r="G48">
        <v>15478604.141023897</v>
      </c>
      <c r="H48">
        <v>5804229.880977056</v>
      </c>
    </row>
    <row r="49" spans="5:8" x14ac:dyDescent="0.35">
      <c r="E49">
        <v>37</v>
      </c>
      <c r="F49">
        <v>16722311.697732601</v>
      </c>
      <c r="G49">
        <v>15478439.474975634</v>
      </c>
      <c r="H49">
        <v>5804248.8272917634</v>
      </c>
    </row>
    <row r="50" spans="5:8" x14ac:dyDescent="0.35">
      <c r="E50">
        <v>38</v>
      </c>
      <c r="F50">
        <v>16722353.653123125</v>
      </c>
      <c r="G50">
        <v>15478344.561222509</v>
      </c>
      <c r="H50">
        <v>5804301.7856543651</v>
      </c>
    </row>
    <row r="51" spans="5:8" x14ac:dyDescent="0.35">
      <c r="E51">
        <v>39</v>
      </c>
      <c r="F51">
        <v>16722330.90134404</v>
      </c>
      <c r="G51">
        <v>15478312.269937702</v>
      </c>
      <c r="H51">
        <v>5804356.8287182571</v>
      </c>
    </row>
    <row r="52" spans="5:8" x14ac:dyDescent="0.35">
      <c r="E52">
        <v>40</v>
      </c>
      <c r="F52">
        <v>16722281.822138159</v>
      </c>
      <c r="G52">
        <v>15478321.028204549</v>
      </c>
      <c r="H52">
        <v>5804397.1496572914</v>
      </c>
    </row>
    <row r="53" spans="5:8" x14ac:dyDescent="0.35">
      <c r="E53">
        <v>41</v>
      </c>
      <c r="F53">
        <v>16722233.448045125</v>
      </c>
      <c r="G53">
        <v>15478348.11529682</v>
      </c>
      <c r="H53">
        <v>5804418.4366580537</v>
      </c>
    </row>
    <row r="54" spans="5:8" x14ac:dyDescent="0.35">
      <c r="E54">
        <v>42</v>
      </c>
      <c r="F54">
        <v>16722199.300599707</v>
      </c>
      <c r="G54">
        <v>15478376.741678037</v>
      </c>
      <c r="H54">
        <v>5804423.957722255</v>
      </c>
    </row>
    <row r="55" spans="5:8" x14ac:dyDescent="0.35">
      <c r="E55">
        <v>43</v>
      </c>
      <c r="F55">
        <v>16722182.165519862</v>
      </c>
      <c r="G55">
        <v>15478397.942459149</v>
      </c>
      <c r="H55">
        <v>5804419.8920209873</v>
      </c>
    </row>
    <row r="56" spans="5:8" x14ac:dyDescent="0.35">
      <c r="E56">
        <v>44</v>
      </c>
      <c r="F56">
        <v>16722178.579630731</v>
      </c>
      <c r="G56">
        <v>15478409.295326505</v>
      </c>
      <c r="H56">
        <v>5804412.1250427626</v>
      </c>
    </row>
    <row r="57" spans="5:8" x14ac:dyDescent="0.35">
      <c r="E57">
        <v>45</v>
      </c>
      <c r="F57">
        <v>16722182.900295215</v>
      </c>
      <c r="G57">
        <v>15478412.393902648</v>
      </c>
      <c r="H57">
        <v>5804404.7058021352</v>
      </c>
    </row>
    <row r="58" spans="5:8" x14ac:dyDescent="0.35">
      <c r="E58">
        <v>46</v>
      </c>
      <c r="F58">
        <v>16722189.996159174</v>
      </c>
      <c r="G58">
        <v>15478410.413685817</v>
      </c>
      <c r="H58">
        <v>5804399.5901550073</v>
      </c>
    </row>
    <row r="59" spans="5:8" x14ac:dyDescent="0.35">
      <c r="E59">
        <v>47</v>
      </c>
      <c r="F59">
        <v>16722196.466561086</v>
      </c>
      <c r="G59">
        <v>15478406.422840565</v>
      </c>
      <c r="H59">
        <v>5804397.1105983471</v>
      </c>
    </row>
    <row r="60" spans="5:8" x14ac:dyDescent="0.35">
      <c r="E60">
        <v>48</v>
      </c>
      <c r="F60">
        <v>16722200.764406033</v>
      </c>
      <c r="G60">
        <v>15478402.555415116</v>
      </c>
      <c r="H60">
        <v>5804396.6801788518</v>
      </c>
    </row>
    <row r="61" spans="5:8" x14ac:dyDescent="0.35">
      <c r="E61">
        <v>49</v>
      </c>
      <c r="F61">
        <v>16722202.727140592</v>
      </c>
      <c r="G61">
        <v>15478399.859416489</v>
      </c>
      <c r="H61">
        <v>5804397.413442919</v>
      </c>
    </row>
    <row r="62" spans="5:8" x14ac:dyDescent="0.35">
      <c r="E62">
        <v>50</v>
      </c>
      <c r="F62">
        <v>16722202.941704599</v>
      </c>
      <c r="G62">
        <v>15478398.531044262</v>
      </c>
      <c r="H62">
        <v>5804398.5272511384</v>
      </c>
    </row>
    <row r="63" spans="5:8" x14ac:dyDescent="0.35">
      <c r="E63">
        <v>51</v>
      </c>
      <c r="F63">
        <v>16722202.20726091</v>
      </c>
      <c r="G63">
        <v>15478398.277811857</v>
      </c>
      <c r="H63">
        <v>5804399.5149272308</v>
      </c>
    </row>
    <row r="64" spans="5:8" x14ac:dyDescent="0.35">
      <c r="E64">
        <v>52</v>
      </c>
      <c r="F64">
        <v>16722201.201595953</v>
      </c>
      <c r="G64">
        <v>15478398.642995771</v>
      </c>
      <c r="H64">
        <v>5804400.1554082753</v>
      </c>
    </row>
    <row r="65" spans="5:8" x14ac:dyDescent="0.35">
      <c r="E65">
        <v>53</v>
      </c>
      <c r="F65">
        <v>16722200.346559113</v>
      </c>
      <c r="G65">
        <v>15478399.217434574</v>
      </c>
      <c r="H65">
        <v>5804400.4360063141</v>
      </c>
    </row>
    <row r="66" spans="5:8" x14ac:dyDescent="0.35">
      <c r="E66">
        <v>54</v>
      </c>
      <c r="F66">
        <v>16722199.813126212</v>
      </c>
      <c r="G66">
        <v>15478399.73341712</v>
      </c>
      <c r="H66">
        <v>5804400.4534566691</v>
      </c>
    </row>
    <row r="67" spans="5:8" x14ac:dyDescent="0.35">
      <c r="E67">
        <v>55</v>
      </c>
      <c r="F67">
        <v>16722199.59589429</v>
      </c>
      <c r="G67">
        <v>15478400.071793692</v>
      </c>
      <c r="H67">
        <v>5804400.3323120186</v>
      </c>
    </row>
    <row r="68" spans="5:8" x14ac:dyDescent="0.35">
      <c r="E68">
        <v>56</v>
      </c>
      <c r="F68">
        <v>16722199.601467246</v>
      </c>
      <c r="G68">
        <v>15478400.222994315</v>
      </c>
      <c r="H68">
        <v>5804400.1755384412</v>
      </c>
    </row>
    <row r="69" spans="5:8" x14ac:dyDescent="0.35">
      <c r="E69">
        <v>57</v>
      </c>
      <c r="F69">
        <v>16722199.718553726</v>
      </c>
      <c r="G69">
        <v>15478400.235822968</v>
      </c>
      <c r="H69">
        <v>5804400.045623308</v>
      </c>
    </row>
    <row r="70" spans="5:8" x14ac:dyDescent="0.35">
      <c r="E70">
        <v>58</v>
      </c>
      <c r="F70">
        <v>16722199.858684149</v>
      </c>
      <c r="G70">
        <v>15478400.174726471</v>
      </c>
      <c r="H70">
        <v>5804399.966589381</v>
      </c>
    </row>
    <row r="71" spans="5:8" x14ac:dyDescent="0.35">
      <c r="E71">
        <v>59</v>
      </c>
      <c r="F71">
        <v>16722199.970338622</v>
      </c>
      <c r="G71">
        <v>15478400.093616471</v>
      </c>
      <c r="H71">
        <v>5804399.9360449081</v>
      </c>
    </row>
    <row r="72" spans="5:8" x14ac:dyDescent="0.35">
      <c r="E72">
        <v>60</v>
      </c>
      <c r="F72">
        <v>16722200.035525966</v>
      </c>
      <c r="G72">
        <v>15478400.025600035</v>
      </c>
      <c r="H72">
        <v>5804399.9388739979</v>
      </c>
    </row>
    <row r="73" spans="5:8" x14ac:dyDescent="0.35">
      <c r="E73">
        <v>61</v>
      </c>
      <c r="F73">
        <v>16722200.058434492</v>
      </c>
      <c r="G73">
        <v>15478399.983730761</v>
      </c>
      <c r="H73">
        <v>5804399.9578347458</v>
      </c>
    </row>
    <row r="74" spans="5:8" x14ac:dyDescent="0.35">
      <c r="E74">
        <v>62</v>
      </c>
      <c r="F74">
        <v>16722200.05331159</v>
      </c>
      <c r="G74">
        <v>15478399.967139309</v>
      </c>
      <c r="H74">
        <v>5804399.9795490997</v>
      </c>
    </row>
    <row r="75" spans="5:8" x14ac:dyDescent="0.35">
      <c r="E75">
        <v>63</v>
      </c>
      <c r="F75">
        <v>16722200.035426695</v>
      </c>
      <c r="G75">
        <v>15478399.968137322</v>
      </c>
      <c r="H75">
        <v>5804399.9964359831</v>
      </c>
    </row>
    <row r="76" spans="5:8" x14ac:dyDescent="0.35">
      <c r="E76">
        <v>64</v>
      </c>
      <c r="F76">
        <v>16722200.016190428</v>
      </c>
      <c r="G76">
        <v>15478399.977778846</v>
      </c>
      <c r="H76">
        <v>5804400.0060307253</v>
      </c>
    </row>
    <row r="77" spans="5:8" x14ac:dyDescent="0.35">
      <c r="E77">
        <v>65</v>
      </c>
      <c r="F77">
        <v>16722200.001783051</v>
      </c>
      <c r="G77">
        <v>15478399.989044243</v>
      </c>
      <c r="H77">
        <v>5804400.0091727069</v>
      </c>
    </row>
    <row r="78" spans="5:8" x14ac:dyDescent="0.35">
      <c r="E78">
        <v>66</v>
      </c>
      <c r="F78">
        <v>16722199.99395767</v>
      </c>
      <c r="G78">
        <v>15478399.997904301</v>
      </c>
      <c r="H78">
        <v>5804400.008138028</v>
      </c>
    </row>
    <row r="79" spans="5:8" x14ac:dyDescent="0.35">
      <c r="E79">
        <v>67</v>
      </c>
      <c r="F79">
        <v>16722199.991717268</v>
      </c>
      <c r="G79">
        <v>15478400.003003109</v>
      </c>
      <c r="H79">
        <v>5804400.005279623</v>
      </c>
    </row>
    <row r="80" spans="5:8" x14ac:dyDescent="0.35">
      <c r="E80">
        <v>68</v>
      </c>
      <c r="F80">
        <v>16722199.9929545</v>
      </c>
      <c r="G80">
        <v>15478400.004730644</v>
      </c>
      <c r="H80">
        <v>5804400.0023148572</v>
      </c>
    </row>
    <row r="81" spans="5:8" x14ac:dyDescent="0.35">
      <c r="E81">
        <v>69</v>
      </c>
      <c r="F81">
        <v>16722199.995602513</v>
      </c>
      <c r="G81">
        <v>15478400.004251409</v>
      </c>
      <c r="H81">
        <v>5804400.0001460779</v>
      </c>
    </row>
    <row r="82" spans="5:8" x14ac:dyDescent="0.35">
      <c r="E82">
        <v>70</v>
      </c>
      <c r="F82">
        <v>16722199.998207565</v>
      </c>
      <c r="G82">
        <v>15478400.002789261</v>
      </c>
      <c r="H82">
        <v>5804399.9990031747</v>
      </c>
    </row>
    <row r="83" spans="5:8" x14ac:dyDescent="0.35">
      <c r="E83">
        <v>71</v>
      </c>
      <c r="F83">
        <v>16722200.000043953</v>
      </c>
      <c r="G83">
        <v>15478400.001247305</v>
      </c>
      <c r="H83">
        <v>5804399.9987087417</v>
      </c>
    </row>
    <row r="84" spans="5:8" x14ac:dyDescent="0.35">
      <c r="E84">
        <v>72</v>
      </c>
      <c r="F84">
        <v>16722200.00096363</v>
      </c>
      <c r="G84">
        <v>15478400.000106905</v>
      </c>
      <c r="H84">
        <v>5804399.9989294643</v>
      </c>
    </row>
    <row r="85" spans="5:8" x14ac:dyDescent="0.35">
      <c r="E85">
        <v>73</v>
      </c>
      <c r="F85">
        <v>16722200.001154255</v>
      </c>
      <c r="G85">
        <v>15478399.999497309</v>
      </c>
      <c r="H85">
        <v>5804399.9993484346</v>
      </c>
    </row>
    <row r="86" spans="5:8" x14ac:dyDescent="0.35">
      <c r="E86">
        <v>74</v>
      </c>
      <c r="F86">
        <v>16722200.000920111</v>
      </c>
      <c r="G86">
        <v>15478399.999331955</v>
      </c>
      <c r="H86">
        <v>5804399.9997479338</v>
      </c>
    </row>
    <row r="87" spans="5:8" x14ac:dyDescent="0.35">
      <c r="E87">
        <v>75</v>
      </c>
      <c r="F87">
        <v>16722200.000537451</v>
      </c>
      <c r="G87">
        <v>15478399.999439534</v>
      </c>
      <c r="H87">
        <v>5804400.000023013</v>
      </c>
    </row>
    <row r="88" spans="5:8" x14ac:dyDescent="0.35">
      <c r="E88">
        <v>76</v>
      </c>
      <c r="F88">
        <v>16722200.000189103</v>
      </c>
      <c r="G88">
        <v>15478399.999654831</v>
      </c>
      <c r="H88">
        <v>5804400.0001560645</v>
      </c>
    </row>
    <row r="89" spans="5:8" x14ac:dyDescent="0.35">
      <c r="E89">
        <v>77</v>
      </c>
      <c r="F89">
        <v>16722199.999958042</v>
      </c>
      <c r="G89">
        <v>15478399.99986309</v>
      </c>
      <c r="H89">
        <v>5804400.000178868</v>
      </c>
    </row>
    <row r="90" spans="5:8" x14ac:dyDescent="0.35">
      <c r="E90">
        <v>78</v>
      </c>
      <c r="F90">
        <v>16722199.999852769</v>
      </c>
      <c r="G90">
        <v>15478400.000008067</v>
      </c>
      <c r="H90">
        <v>5804400.0001391638</v>
      </c>
    </row>
    <row r="91" spans="5:8" x14ac:dyDescent="0.35">
      <c r="E91">
        <v>79</v>
      </c>
      <c r="F91">
        <v>16722199.999841535</v>
      </c>
      <c r="G91">
        <v>15478400.000079354</v>
      </c>
      <c r="H91">
        <v>5804400.0000791093</v>
      </c>
    </row>
    <row r="92" spans="5:8" x14ac:dyDescent="0.35">
      <c r="E92">
        <v>80</v>
      </c>
      <c r="F92">
        <v>16722199.999881264</v>
      </c>
      <c r="G92">
        <v>15478400.000092795</v>
      </c>
      <c r="H92">
        <v>5804400.0000259411</v>
      </c>
    </row>
    <row r="93" spans="5:8" x14ac:dyDescent="0.35">
      <c r="E93">
        <v>81</v>
      </c>
      <c r="F93">
        <v>16722199.999935474</v>
      </c>
      <c r="G93">
        <v>15478400.000073014</v>
      </c>
      <c r="H93">
        <v>5804399.9999915119</v>
      </c>
    </row>
    <row r="94" spans="5:8" x14ac:dyDescent="0.35">
      <c r="E94">
        <v>82</v>
      </c>
      <c r="F94">
        <v>16722199.999981495</v>
      </c>
      <c r="G94">
        <v>15478400.00004204</v>
      </c>
      <c r="H94">
        <v>5804399.9999764664</v>
      </c>
    </row>
    <row r="95" spans="5:8" x14ac:dyDescent="0.35">
      <c r="E95">
        <v>83</v>
      </c>
      <c r="F95">
        <v>16722200.000010163</v>
      </c>
      <c r="G95">
        <v>15478400.000014262</v>
      </c>
      <c r="H95">
        <v>5804399.9999755751</v>
      </c>
    </row>
    <row r="96" spans="5:8" x14ac:dyDescent="0.35">
      <c r="E96">
        <v>84</v>
      </c>
      <c r="F96">
        <v>16722200.000021804</v>
      </c>
      <c r="G96">
        <v>15478399.999996072</v>
      </c>
      <c r="H96">
        <v>5804399.9999821251</v>
      </c>
    </row>
    <row r="97" spans="5:8" x14ac:dyDescent="0.35">
      <c r="E97">
        <v>85</v>
      </c>
      <c r="F97">
        <v>16722200.000021463</v>
      </c>
      <c r="G97">
        <v>15478399.999987964</v>
      </c>
      <c r="H97">
        <v>5804399.999990575</v>
      </c>
    </row>
    <row r="98" spans="5:8" x14ac:dyDescent="0.35">
      <c r="E98">
        <v>86</v>
      </c>
      <c r="F98">
        <v>16722200.000015136</v>
      </c>
      <c r="G98">
        <v>15478399.999987299</v>
      </c>
      <c r="H98">
        <v>5804399.9999975665</v>
      </c>
    </row>
    <row r="99" spans="5:8" x14ac:dyDescent="0.35">
      <c r="E99">
        <v>87</v>
      </c>
      <c r="F99">
        <v>16722200.000007585</v>
      </c>
      <c r="G99">
        <v>15478399.999990603</v>
      </c>
      <c r="H99">
        <v>5804400.0000018133</v>
      </c>
    </row>
    <row r="100" spans="5:8" x14ac:dyDescent="0.35">
      <c r="E100">
        <v>88</v>
      </c>
      <c r="F100">
        <v>16722200.000001578</v>
      </c>
      <c r="G100">
        <v>15478399.999994975</v>
      </c>
      <c r="H100">
        <v>5804400.0000034496</v>
      </c>
    </row>
    <row r="101" spans="5:8" x14ac:dyDescent="0.35">
      <c r="E101">
        <v>89</v>
      </c>
      <c r="F101">
        <v>16722199.999998076</v>
      </c>
      <c r="G101">
        <v>15478399.999998635</v>
      </c>
      <c r="H101">
        <v>5804400.0000032913</v>
      </c>
    </row>
    <row r="102" spans="5:8" x14ac:dyDescent="0.35">
      <c r="E102">
        <v>90</v>
      </c>
      <c r="F102">
        <v>16722199.999996848</v>
      </c>
      <c r="G102">
        <v>15478400.000000885</v>
      </c>
      <c r="H102">
        <v>5804400.0000022668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8E91-438D-4CC3-B578-60BE912FA0EE}">
  <sheetPr codeName="Arkusz2"/>
  <dimension ref="A1:H102"/>
  <sheetViews>
    <sheetView zoomScaleNormal="100" workbookViewId="0"/>
  </sheetViews>
  <sheetFormatPr defaultColWidth="8.81640625" defaultRowHeight="14.5" x14ac:dyDescent="0.35"/>
  <cols>
    <col min="1" max="1" width="12" bestFit="1" customWidth="1"/>
    <col min="2" max="2" width="10.6328125" bestFit="1" customWidth="1"/>
    <col min="5" max="5" width="8.81640625" customWidth="1"/>
    <col min="8" max="8" width="8.81640625" customWidth="1"/>
  </cols>
  <sheetData>
    <row r="1" spans="1:8" x14ac:dyDescent="0.35">
      <c r="A1" t="s">
        <v>20</v>
      </c>
      <c r="B1" t="s">
        <v>21</v>
      </c>
    </row>
    <row r="2" spans="1:8" hidden="1" x14ac:dyDescent="0.35">
      <c r="A2" t="s">
        <v>0</v>
      </c>
      <c r="B2">
        <v>0</v>
      </c>
    </row>
    <row r="3" spans="1:8" hidden="1" x14ac:dyDescent="0.35">
      <c r="A3" t="s">
        <v>1</v>
      </c>
      <c r="B3">
        <v>90</v>
      </c>
    </row>
    <row r="4" spans="1:8" hidden="1" x14ac:dyDescent="0.35">
      <c r="A4" t="s">
        <v>2</v>
      </c>
      <c r="B4">
        <v>90</v>
      </c>
    </row>
    <row r="5" spans="1:8" x14ac:dyDescent="0.35">
      <c r="A5" t="s">
        <v>8</v>
      </c>
      <c r="B5">
        <v>38000000</v>
      </c>
    </row>
    <row r="6" spans="1:8" x14ac:dyDescent="0.35">
      <c r="A6" t="s">
        <v>9</v>
      </c>
      <c r="B6">
        <v>0</v>
      </c>
    </row>
    <row r="7" spans="1:8" x14ac:dyDescent="0.35">
      <c r="A7" t="s">
        <v>10</v>
      </c>
      <c r="B7">
        <v>5000</v>
      </c>
    </row>
    <row r="8" spans="1:8" x14ac:dyDescent="0.35">
      <c r="A8" t="s">
        <v>11</v>
      </c>
      <c r="B8">
        <v>0.3</v>
      </c>
    </row>
    <row r="9" spans="1:8" x14ac:dyDescent="0.35">
      <c r="A9" t="s">
        <v>12</v>
      </c>
      <c r="B9">
        <f>B8</f>
        <v>0.3</v>
      </c>
    </row>
    <row r="10" spans="1:8" x14ac:dyDescent="0.35">
      <c r="A10" t="s">
        <v>13</v>
      </c>
      <c r="B10">
        <v>2.5</v>
      </c>
    </row>
    <row r="11" spans="1:8" x14ac:dyDescent="0.35">
      <c r="A11" t="s">
        <v>14</v>
      </c>
      <c r="B11">
        <v>0.8</v>
      </c>
      <c r="E11" s="1" t="s">
        <v>3</v>
      </c>
      <c r="F11" s="2" t="s">
        <v>4</v>
      </c>
      <c r="G11" s="2" t="s">
        <v>5</v>
      </c>
      <c r="H11" s="3" t="s">
        <v>6</v>
      </c>
    </row>
    <row r="12" spans="1:8" x14ac:dyDescent="0.35">
      <c r="E12" cm="1">
        <f t="array" ref="E12:H102">SOLVE_SIR_RALSTON(B2,B3,B4,B5,B6,B7,B8,B9,B10,B11)</f>
        <v>0</v>
      </c>
      <c r="F12">
        <v>38000000</v>
      </c>
      <c r="G12">
        <v>0</v>
      </c>
      <c r="H12">
        <v>5000</v>
      </c>
    </row>
    <row r="13" spans="1:8" x14ac:dyDescent="0.35">
      <c r="E13">
        <v>1</v>
      </c>
      <c r="F13">
        <v>37981908.311779886</v>
      </c>
      <c r="G13">
        <v>6199.3421918168669</v>
      </c>
      <c r="H13">
        <v>16892.34602829241</v>
      </c>
    </row>
    <row r="14" spans="1:8" x14ac:dyDescent="0.35">
      <c r="E14">
        <v>2</v>
      </c>
      <c r="F14">
        <v>37922450.835976191</v>
      </c>
      <c r="G14">
        <v>25554.755285113068</v>
      </c>
      <c r="H14">
        <v>56994.408738695754</v>
      </c>
    </row>
    <row r="15" spans="1:8" x14ac:dyDescent="0.35">
      <c r="E15">
        <v>3</v>
      </c>
      <c r="F15">
        <v>37723963.567373455</v>
      </c>
      <c r="G15">
        <v>89587.564212369471</v>
      </c>
      <c r="H15">
        <v>191448.86841417695</v>
      </c>
    </row>
    <row r="16" spans="1:8" x14ac:dyDescent="0.35">
      <c r="E16">
        <v>4</v>
      </c>
      <c r="F16">
        <v>37068650.921475992</v>
      </c>
      <c r="G16">
        <v>302723.62089671218</v>
      </c>
      <c r="H16">
        <v>633625.45762729691</v>
      </c>
    </row>
    <row r="17" spans="5:8" x14ac:dyDescent="0.35">
      <c r="E17">
        <v>5</v>
      </c>
      <c r="F17">
        <v>35012985.840415299</v>
      </c>
      <c r="G17">
        <v>995613.70295831107</v>
      </c>
      <c r="H17">
        <v>1996400.4566263929</v>
      </c>
    </row>
    <row r="18" spans="5:8" x14ac:dyDescent="0.35">
      <c r="E18">
        <v>6</v>
      </c>
      <c r="F18">
        <v>29563668.401233587</v>
      </c>
      <c r="G18">
        <v>3060098.4437950929</v>
      </c>
      <c r="H18">
        <v>5381233.154971322</v>
      </c>
    </row>
    <row r="19" spans="5:8" x14ac:dyDescent="0.35">
      <c r="E19">
        <v>7</v>
      </c>
      <c r="F19">
        <v>20694434.744907208</v>
      </c>
      <c r="G19">
        <v>7757270.9445326366</v>
      </c>
      <c r="H19">
        <v>9553294.3105601594</v>
      </c>
    </row>
    <row r="20" spans="5:8" x14ac:dyDescent="0.35">
      <c r="E20">
        <v>8</v>
      </c>
      <c r="F20">
        <v>15290972.391467094</v>
      </c>
      <c r="G20">
        <v>13273905.276891176</v>
      </c>
      <c r="H20">
        <v>9440122.3316417318</v>
      </c>
    </row>
    <row r="21" spans="5:8" x14ac:dyDescent="0.35">
      <c r="E21">
        <v>9</v>
      </c>
      <c r="F21">
        <v>14232656.803634752</v>
      </c>
      <c r="G21">
        <v>15952837.717208838</v>
      </c>
      <c r="H21">
        <v>7819505.4791564131</v>
      </c>
    </row>
    <row r="22" spans="5:8" x14ac:dyDescent="0.35">
      <c r="E22">
        <v>10</v>
      </c>
      <c r="F22">
        <v>14713971.891808165</v>
      </c>
      <c r="G22">
        <v>16689905.836867124</v>
      </c>
      <c r="H22">
        <v>6601122.2713247128</v>
      </c>
    </row>
    <row r="23" spans="5:8" x14ac:dyDescent="0.35">
      <c r="E23">
        <v>11</v>
      </c>
      <c r="F23">
        <v>15527384.150916051</v>
      </c>
      <c r="G23">
        <v>16573932.0656971</v>
      </c>
      <c r="H23">
        <v>5903683.7833868507</v>
      </c>
    </row>
    <row r="24" spans="5:8" x14ac:dyDescent="0.35">
      <c r="E24">
        <v>12</v>
      </c>
      <c r="F24">
        <v>16240276.356022878</v>
      </c>
      <c r="G24">
        <v>16176482.073728165</v>
      </c>
      <c r="H24">
        <v>5588241.5702489596</v>
      </c>
    </row>
    <row r="25" spans="5:8" x14ac:dyDescent="0.35">
      <c r="E25">
        <v>13</v>
      </c>
      <c r="F25">
        <v>16710091.663868578</v>
      </c>
      <c r="G25">
        <v>15780621.532918883</v>
      </c>
      <c r="H25">
        <v>5514286.8032125412</v>
      </c>
    </row>
    <row r="26" spans="5:8" x14ac:dyDescent="0.35">
      <c r="E26">
        <v>14</v>
      </c>
      <c r="F26">
        <v>16931283.671952654</v>
      </c>
      <c r="G26">
        <v>15504521.224684866</v>
      </c>
      <c r="H26">
        <v>5569195.1033624811</v>
      </c>
    </row>
    <row r="27" spans="5:8" x14ac:dyDescent="0.35">
      <c r="E27">
        <v>15</v>
      </c>
      <c r="F27">
        <v>16968024.273932192</v>
      </c>
      <c r="G27">
        <v>15368559.78709802</v>
      </c>
      <c r="H27">
        <v>5668415.9389697872</v>
      </c>
    </row>
    <row r="28" spans="5:8" x14ac:dyDescent="0.35">
      <c r="E28">
        <v>16</v>
      </c>
      <c r="F28">
        <v>16906403.673746496</v>
      </c>
      <c r="G28">
        <v>15340764.3775205</v>
      </c>
      <c r="H28">
        <v>5757831.9487330047</v>
      </c>
    </row>
    <row r="29" spans="5:8" x14ac:dyDescent="0.35">
      <c r="E29">
        <v>17</v>
      </c>
      <c r="F29">
        <v>16818978.798852477</v>
      </c>
      <c r="G29">
        <v>15372102.403803967</v>
      </c>
      <c r="H29">
        <v>5813918.7973435568</v>
      </c>
    </row>
    <row r="30" spans="5:8" x14ac:dyDescent="0.35">
      <c r="E30">
        <v>18</v>
      </c>
      <c r="F30">
        <v>16748166.383906962</v>
      </c>
      <c r="G30">
        <v>15420486.074417727</v>
      </c>
      <c r="H30">
        <v>5836347.5416753115</v>
      </c>
    </row>
    <row r="31" spans="5:8" x14ac:dyDescent="0.35">
      <c r="E31">
        <v>19</v>
      </c>
      <c r="F31">
        <v>16707876.800501386</v>
      </c>
      <c r="G31">
        <v>15460966.056487473</v>
      </c>
      <c r="H31">
        <v>5836157.1430111425</v>
      </c>
    </row>
    <row r="32" spans="5:8" x14ac:dyDescent="0.35">
      <c r="E32">
        <v>20</v>
      </c>
      <c r="F32">
        <v>16694353.738800488</v>
      </c>
      <c r="G32">
        <v>15484807.057606902</v>
      </c>
      <c r="H32">
        <v>5825839.2035926115</v>
      </c>
    </row>
    <row r="33" spans="5:8" x14ac:dyDescent="0.35">
      <c r="E33">
        <v>21</v>
      </c>
      <c r="F33">
        <v>16697211.311374681</v>
      </c>
      <c r="G33">
        <v>15493483.32432829</v>
      </c>
      <c r="H33">
        <v>5814305.3642970305</v>
      </c>
    </row>
    <row r="34" spans="5:8" x14ac:dyDescent="0.35">
      <c r="E34">
        <v>22</v>
      </c>
      <c r="F34">
        <v>16706518.245009605</v>
      </c>
      <c r="G34">
        <v>15492549.75720221</v>
      </c>
      <c r="H34">
        <v>5805931.997788188</v>
      </c>
    </row>
    <row r="35" spans="5:8" x14ac:dyDescent="0.35">
      <c r="E35">
        <v>23</v>
      </c>
      <c r="F35">
        <v>16715747.483496467</v>
      </c>
      <c r="G35">
        <v>15487587.663802112</v>
      </c>
      <c r="H35">
        <v>5801664.8527014246</v>
      </c>
    </row>
    <row r="36" spans="5:8" x14ac:dyDescent="0.35">
      <c r="E36">
        <v>24</v>
      </c>
      <c r="F36">
        <v>16721984.316660065</v>
      </c>
      <c r="G36">
        <v>15482399.898497025</v>
      </c>
      <c r="H36">
        <v>5800615.7848429121</v>
      </c>
    </row>
    <row r="37" spans="5:8" x14ac:dyDescent="0.35">
      <c r="E37">
        <v>25</v>
      </c>
      <c r="F37">
        <v>16724870.569611369</v>
      </c>
      <c r="G37">
        <v>15478773.738821099</v>
      </c>
      <c r="H37">
        <v>5801355.6915675355</v>
      </c>
    </row>
    <row r="38" spans="5:8" x14ac:dyDescent="0.35">
      <c r="E38">
        <v>26</v>
      </c>
      <c r="F38">
        <v>16725317.44431355</v>
      </c>
      <c r="G38">
        <v>15477015.960580805</v>
      </c>
      <c r="H38">
        <v>5802666.5951056471</v>
      </c>
    </row>
    <row r="39" spans="5:8" x14ac:dyDescent="0.35">
      <c r="E39">
        <v>27</v>
      </c>
      <c r="F39">
        <v>16724518.883654794</v>
      </c>
      <c r="G39">
        <v>15476666.151886052</v>
      </c>
      <c r="H39">
        <v>5803814.9644591566</v>
      </c>
    </row>
    <row r="40" spans="5:8" x14ac:dyDescent="0.35">
      <c r="E40">
        <v>28</v>
      </c>
      <c r="F40">
        <v>16723414.051346598</v>
      </c>
      <c r="G40">
        <v>15477064.580067629</v>
      </c>
      <c r="H40">
        <v>5804521.3685857747</v>
      </c>
    </row>
    <row r="41" spans="5:8" x14ac:dyDescent="0.35">
      <c r="E41">
        <v>29</v>
      </c>
      <c r="F41">
        <v>16722525.522344332</v>
      </c>
      <c r="G41">
        <v>15477673.065416889</v>
      </c>
      <c r="H41">
        <v>5804801.4122387804</v>
      </c>
    </row>
    <row r="42" spans="5:8" x14ac:dyDescent="0.35">
      <c r="E42">
        <v>30</v>
      </c>
      <c r="F42">
        <v>16722019.854564955</v>
      </c>
      <c r="G42">
        <v>15478181.113636011</v>
      </c>
      <c r="H42">
        <v>5804799.0317990351</v>
      </c>
    </row>
    <row r="43" spans="5:8" x14ac:dyDescent="0.35">
      <c r="E43">
        <v>31</v>
      </c>
      <c r="F43">
        <v>16721849.349759365</v>
      </c>
      <c r="G43">
        <v>15478480.756269755</v>
      </c>
      <c r="H43">
        <v>5804669.8939708816</v>
      </c>
    </row>
    <row r="44" spans="5:8" x14ac:dyDescent="0.35">
      <c r="E44">
        <v>32</v>
      </c>
      <c r="F44">
        <v>16721884.89474917</v>
      </c>
      <c r="G44">
        <v>15478590.134976078</v>
      </c>
      <c r="H44">
        <v>5804524.9702747529</v>
      </c>
    </row>
    <row r="45" spans="5:8" x14ac:dyDescent="0.35">
      <c r="E45">
        <v>33</v>
      </c>
      <c r="F45">
        <v>16722002.067249</v>
      </c>
      <c r="G45">
        <v>15478578.504142281</v>
      </c>
      <c r="H45">
        <v>5804419.4286087193</v>
      </c>
    </row>
    <row r="46" spans="5:8" x14ac:dyDescent="0.35">
      <c r="E46">
        <v>34</v>
      </c>
      <c r="F46">
        <v>16722118.494390776</v>
      </c>
      <c r="G46">
        <v>15478515.967209499</v>
      </c>
      <c r="H46">
        <v>5804365.5383997252</v>
      </c>
    </row>
    <row r="47" spans="5:8" x14ac:dyDescent="0.35">
      <c r="E47">
        <v>35</v>
      </c>
      <c r="F47">
        <v>16722197.22210395</v>
      </c>
      <c r="G47">
        <v>15478450.513627388</v>
      </c>
      <c r="H47">
        <v>5804352.2642686637</v>
      </c>
    </row>
    <row r="48" spans="5:8" x14ac:dyDescent="0.35">
      <c r="E48">
        <v>36</v>
      </c>
      <c r="F48">
        <v>16722233.662274921</v>
      </c>
      <c r="G48">
        <v>15478404.748098096</v>
      </c>
      <c r="H48">
        <v>5804361.5896269828</v>
      </c>
    </row>
    <row r="49" spans="5:8" x14ac:dyDescent="0.35">
      <c r="E49">
        <v>37</v>
      </c>
      <c r="F49">
        <v>16722239.313665828</v>
      </c>
      <c r="G49">
        <v>15478382.559392851</v>
      </c>
      <c r="H49">
        <v>5804378.1269413214</v>
      </c>
    </row>
    <row r="50" spans="5:8" x14ac:dyDescent="0.35">
      <c r="E50">
        <v>38</v>
      </c>
      <c r="F50">
        <v>16722229.249029925</v>
      </c>
      <c r="G50">
        <v>15478378.137314109</v>
      </c>
      <c r="H50">
        <v>5804392.6136559667</v>
      </c>
    </row>
    <row r="51" spans="5:8" x14ac:dyDescent="0.35">
      <c r="E51">
        <v>39</v>
      </c>
      <c r="F51">
        <v>16722215.317905987</v>
      </c>
      <c r="G51">
        <v>15478383.156703955</v>
      </c>
      <c r="H51">
        <v>5804401.5253900588</v>
      </c>
    </row>
    <row r="52" spans="5:8" x14ac:dyDescent="0.35">
      <c r="E52">
        <v>40</v>
      </c>
      <c r="F52">
        <v>16722204.111672366</v>
      </c>
      <c r="G52">
        <v>15478390.828472307</v>
      </c>
      <c r="H52">
        <v>5804405.0598553289</v>
      </c>
    </row>
    <row r="53" spans="5:8" x14ac:dyDescent="0.35">
      <c r="E53">
        <v>41</v>
      </c>
      <c r="F53">
        <v>16722197.7321219</v>
      </c>
      <c r="G53">
        <v>15478397.235878546</v>
      </c>
      <c r="H53">
        <v>5804405.0319995563</v>
      </c>
    </row>
    <row r="54" spans="5:8" x14ac:dyDescent="0.35">
      <c r="E54">
        <v>42</v>
      </c>
      <c r="F54">
        <v>16722195.579317475</v>
      </c>
      <c r="G54">
        <v>15478401.016122079</v>
      </c>
      <c r="H54">
        <v>5804403.4045604486</v>
      </c>
    </row>
    <row r="55" spans="5:8" x14ac:dyDescent="0.35">
      <c r="E55">
        <v>43</v>
      </c>
      <c r="F55">
        <v>16722196.025922528</v>
      </c>
      <c r="G55">
        <v>15478402.396952873</v>
      </c>
      <c r="H55">
        <v>5804401.5771246031</v>
      </c>
    </row>
    <row r="56" spans="5:8" x14ac:dyDescent="0.35">
      <c r="E56">
        <v>44</v>
      </c>
      <c r="F56">
        <v>16722197.502935337</v>
      </c>
      <c r="G56">
        <v>15478402.251224441</v>
      </c>
      <c r="H56">
        <v>5804400.2458402235</v>
      </c>
    </row>
    <row r="57" spans="5:8" x14ac:dyDescent="0.35">
      <c r="E57">
        <v>45</v>
      </c>
      <c r="F57">
        <v>16722198.971216079</v>
      </c>
      <c r="G57">
        <v>15478401.46296367</v>
      </c>
      <c r="H57">
        <v>5804399.5658202544</v>
      </c>
    </row>
    <row r="58" spans="5:8" x14ac:dyDescent="0.35">
      <c r="E58">
        <v>46</v>
      </c>
      <c r="F58">
        <v>16722199.964356085</v>
      </c>
      <c r="G58">
        <v>15478400.637542358</v>
      </c>
      <c r="H58">
        <v>5804399.3981015598</v>
      </c>
    </row>
    <row r="59" spans="5:8" x14ac:dyDescent="0.35">
      <c r="E59">
        <v>47</v>
      </c>
      <c r="F59">
        <v>16722200.424235357</v>
      </c>
      <c r="G59">
        <v>15478400.060234319</v>
      </c>
      <c r="H59">
        <v>5804399.5155303255</v>
      </c>
    </row>
    <row r="60" spans="5:8" x14ac:dyDescent="0.35">
      <c r="E60">
        <v>48</v>
      </c>
      <c r="F60">
        <v>16722200.495743508</v>
      </c>
      <c r="G60">
        <v>15478399.780227493</v>
      </c>
      <c r="H60">
        <v>5804399.7240290008</v>
      </c>
    </row>
    <row r="61" spans="5:8" x14ac:dyDescent="0.35">
      <c r="E61">
        <v>49</v>
      </c>
      <c r="F61">
        <v>16722200.368939053</v>
      </c>
      <c r="G61">
        <v>15478399.724322753</v>
      </c>
      <c r="H61">
        <v>5804399.9067381937</v>
      </c>
    </row>
    <row r="62" spans="5:8" x14ac:dyDescent="0.35">
      <c r="E62">
        <v>50</v>
      </c>
      <c r="F62">
        <v>16722200.19328277</v>
      </c>
      <c r="G62">
        <v>15478399.787549477</v>
      </c>
      <c r="H62">
        <v>5804400.0191677529</v>
      </c>
    </row>
    <row r="63" spans="5:8" x14ac:dyDescent="0.35">
      <c r="E63">
        <v>51</v>
      </c>
      <c r="F63">
        <v>16722200.051939325</v>
      </c>
      <c r="G63">
        <v>15478399.884277983</v>
      </c>
      <c r="H63">
        <v>5804400.063782692</v>
      </c>
    </row>
    <row r="64" spans="5:8" x14ac:dyDescent="0.35">
      <c r="E64">
        <v>52</v>
      </c>
      <c r="F64">
        <v>16722199.971449113</v>
      </c>
      <c r="G64">
        <v>15478399.965091879</v>
      </c>
      <c r="H64">
        <v>5804400.063459008</v>
      </c>
    </row>
    <row r="65" spans="5:8" x14ac:dyDescent="0.35">
      <c r="E65">
        <v>53</v>
      </c>
      <c r="F65">
        <v>16722199.944267221</v>
      </c>
      <c r="G65">
        <v>15478400.012785075</v>
      </c>
      <c r="H65">
        <v>5804400.0429477021</v>
      </c>
    </row>
    <row r="66" spans="5:8" x14ac:dyDescent="0.35">
      <c r="E66">
        <v>54</v>
      </c>
      <c r="F66">
        <v>16722199.949879227</v>
      </c>
      <c r="G66">
        <v>15478400.030217404</v>
      </c>
      <c r="H66">
        <v>5804400.0199033692</v>
      </c>
    </row>
    <row r="67" spans="5:8" x14ac:dyDescent="0.35">
      <c r="E67">
        <v>55</v>
      </c>
      <c r="F67">
        <v>16722199.968497928</v>
      </c>
      <c r="G67">
        <v>15478400.028391449</v>
      </c>
      <c r="H67">
        <v>5804400.0031106239</v>
      </c>
    </row>
    <row r="68" spans="5:8" x14ac:dyDescent="0.35">
      <c r="E68">
        <v>56</v>
      </c>
      <c r="F68">
        <v>16722199.987014567</v>
      </c>
      <c r="G68">
        <v>15478400.018455628</v>
      </c>
      <c r="H68">
        <v>5804399.9945298051</v>
      </c>
    </row>
    <row r="69" spans="5:8" x14ac:dyDescent="0.35">
      <c r="E69">
        <v>57</v>
      </c>
      <c r="F69">
        <v>16722199.999542795</v>
      </c>
      <c r="G69">
        <v>15478400.00804648</v>
      </c>
      <c r="H69">
        <v>5804399.992410725</v>
      </c>
    </row>
    <row r="70" spans="5:8" x14ac:dyDescent="0.35">
      <c r="E70">
        <v>58</v>
      </c>
      <c r="F70">
        <v>16722200.005346492</v>
      </c>
      <c r="G70">
        <v>15478400.000764092</v>
      </c>
      <c r="H70">
        <v>5804399.9938894156</v>
      </c>
    </row>
    <row r="71" spans="5:8" x14ac:dyDescent="0.35">
      <c r="E71">
        <v>59</v>
      </c>
      <c r="F71">
        <v>16722200.006251296</v>
      </c>
      <c r="G71">
        <v>15478399.997230606</v>
      </c>
      <c r="H71">
        <v>5804399.9965180978</v>
      </c>
    </row>
    <row r="72" spans="5:8" x14ac:dyDescent="0.35">
      <c r="E72">
        <v>60</v>
      </c>
      <c r="F72">
        <v>16722200.004653694</v>
      </c>
      <c r="G72">
        <v>15478399.996523852</v>
      </c>
      <c r="H72">
        <v>5804399.9988224534</v>
      </c>
    </row>
    <row r="73" spans="5:8" x14ac:dyDescent="0.35">
      <c r="E73">
        <v>61</v>
      </c>
      <c r="F73">
        <v>16722200.002438862</v>
      </c>
      <c r="G73">
        <v>15478399.997320283</v>
      </c>
      <c r="H73">
        <v>5804400.000240854</v>
      </c>
    </row>
    <row r="74" spans="5:8" x14ac:dyDescent="0.35">
      <c r="E74">
        <v>62</v>
      </c>
      <c r="F74">
        <v>16722200.000656106</v>
      </c>
      <c r="G74">
        <v>15478399.998539872</v>
      </c>
      <c r="H74">
        <v>5804400.0008040201</v>
      </c>
    </row>
    <row r="75" spans="5:8" x14ac:dyDescent="0.35">
      <c r="E75">
        <v>63</v>
      </c>
      <c r="F75">
        <v>16722199.999640567</v>
      </c>
      <c r="G75">
        <v>15478399.999559144</v>
      </c>
      <c r="H75">
        <v>5804400.0008002864</v>
      </c>
    </row>
    <row r="76" spans="5:8" x14ac:dyDescent="0.35">
      <c r="E76">
        <v>64</v>
      </c>
      <c r="F76">
        <v>16722199.999297362</v>
      </c>
      <c r="G76">
        <v>15478400.000160862</v>
      </c>
      <c r="H76">
        <v>5804400.0005417736</v>
      </c>
    </row>
    <row r="77" spans="5:8" x14ac:dyDescent="0.35">
      <c r="E77">
        <v>65</v>
      </c>
      <c r="F77">
        <v>16722199.999367882</v>
      </c>
      <c r="G77">
        <v>15478400.000380937</v>
      </c>
      <c r="H77">
        <v>5804400.0002511796</v>
      </c>
    </row>
    <row r="78" spans="5:8" x14ac:dyDescent="0.35">
      <c r="E78">
        <v>66</v>
      </c>
      <c r="F78">
        <v>16722199.999602584</v>
      </c>
      <c r="G78">
        <v>15478400.00035806</v>
      </c>
      <c r="H78">
        <v>5804400.0000393568</v>
      </c>
    </row>
    <row r="79" spans="5:8" x14ac:dyDescent="0.35">
      <c r="E79">
        <v>67</v>
      </c>
      <c r="F79">
        <v>16722199.999836098</v>
      </c>
      <c r="G79">
        <v>15478400.000232821</v>
      </c>
      <c r="H79">
        <v>5804399.9999310812</v>
      </c>
    </row>
    <row r="80" spans="5:8" x14ac:dyDescent="0.35">
      <c r="E80">
        <v>68</v>
      </c>
      <c r="F80">
        <v>16722199.999994138</v>
      </c>
      <c r="G80">
        <v>15478400.000101555</v>
      </c>
      <c r="H80">
        <v>5804399.9999043075</v>
      </c>
    </row>
    <row r="81" spans="5:8" x14ac:dyDescent="0.35">
      <c r="E81">
        <v>69</v>
      </c>
      <c r="F81">
        <v>16722200.000067381</v>
      </c>
      <c r="G81">
        <v>15478400.000009693</v>
      </c>
      <c r="H81">
        <v>5804399.9999229275</v>
      </c>
    </row>
    <row r="82" spans="5:8" x14ac:dyDescent="0.35">
      <c r="E82">
        <v>70</v>
      </c>
      <c r="F82">
        <v>16722200.000078829</v>
      </c>
      <c r="G82">
        <v>15478399.999965103</v>
      </c>
      <c r="H82">
        <v>5804399.9999560686</v>
      </c>
    </row>
    <row r="83" spans="5:8" x14ac:dyDescent="0.35">
      <c r="E83">
        <v>71</v>
      </c>
      <c r="F83">
        <v>16722200.000058701</v>
      </c>
      <c r="G83">
        <v>15478399.999956168</v>
      </c>
      <c r="H83">
        <v>5804399.9999851324</v>
      </c>
    </row>
    <row r="84" spans="5:8" x14ac:dyDescent="0.35">
      <c r="E84">
        <v>72</v>
      </c>
      <c r="F84">
        <v>16722200.000030775</v>
      </c>
      <c r="G84">
        <v>15478399.9999662</v>
      </c>
      <c r="H84">
        <v>5804400.0000030268</v>
      </c>
    </row>
    <row r="85" spans="5:8" x14ac:dyDescent="0.35">
      <c r="E85">
        <v>73</v>
      </c>
      <c r="F85">
        <v>16722200.000008289</v>
      </c>
      <c r="G85">
        <v>15478399.999981578</v>
      </c>
      <c r="H85">
        <v>5804400.0000101356</v>
      </c>
    </row>
    <row r="86" spans="5:8" x14ac:dyDescent="0.35">
      <c r="E86">
        <v>74</v>
      </c>
      <c r="F86">
        <v>16722199.999995476</v>
      </c>
      <c r="G86">
        <v>15478399.999994434</v>
      </c>
      <c r="H86">
        <v>5804400.0000100927</v>
      </c>
    </row>
    <row r="87" spans="5:8" x14ac:dyDescent="0.35">
      <c r="E87">
        <v>75</v>
      </c>
      <c r="F87">
        <v>16722199.999991141</v>
      </c>
      <c r="G87">
        <v>15478400.000002027</v>
      </c>
      <c r="H87">
        <v>5804400.000006834</v>
      </c>
    </row>
    <row r="88" spans="5:8" x14ac:dyDescent="0.35">
      <c r="E88">
        <v>76</v>
      </c>
      <c r="F88">
        <v>16722199.999992028</v>
      </c>
      <c r="G88">
        <v>15478400.000004804</v>
      </c>
      <c r="H88">
        <v>5804400.0000031702</v>
      </c>
    </row>
    <row r="89" spans="5:8" x14ac:dyDescent="0.35">
      <c r="E89">
        <v>77</v>
      </c>
      <c r="F89">
        <v>16722199.999994986</v>
      </c>
      <c r="G89">
        <v>15478400.000004517</v>
      </c>
      <c r="H89">
        <v>5804400.0000004983</v>
      </c>
    </row>
    <row r="90" spans="5:8" x14ac:dyDescent="0.35">
      <c r="E90">
        <v>78</v>
      </c>
      <c r="F90">
        <v>16722199.999997931</v>
      </c>
      <c r="G90">
        <v>15478400.000002939</v>
      </c>
      <c r="H90">
        <v>5804399.9999991311</v>
      </c>
    </row>
    <row r="91" spans="5:8" x14ac:dyDescent="0.35">
      <c r="E91">
        <v>79</v>
      </c>
      <c r="F91">
        <v>16722199.999999925</v>
      </c>
      <c r="G91">
        <v>15478400.000001283</v>
      </c>
      <c r="H91">
        <v>5804399.9999987921</v>
      </c>
    </row>
    <row r="92" spans="5:8" x14ac:dyDescent="0.35">
      <c r="E92">
        <v>80</v>
      </c>
      <c r="F92">
        <v>16722200.000000851</v>
      </c>
      <c r="G92">
        <v>15478400.000000123</v>
      </c>
      <c r="H92">
        <v>5804399.9999990268</v>
      </c>
    </row>
    <row r="93" spans="5:8" x14ac:dyDescent="0.35">
      <c r="E93">
        <v>81</v>
      </c>
      <c r="F93">
        <v>16722200.000000997</v>
      </c>
      <c r="G93">
        <v>15478399.99999956</v>
      </c>
      <c r="H93">
        <v>5804399.9999994449</v>
      </c>
    </row>
    <row r="94" spans="5:8" x14ac:dyDescent="0.35">
      <c r="E94">
        <v>82</v>
      </c>
      <c r="F94">
        <v>16722200.000000743</v>
      </c>
      <c r="G94">
        <v>15478399.999999447</v>
      </c>
      <c r="H94">
        <v>5804399.9999998119</v>
      </c>
    </row>
    <row r="95" spans="5:8" x14ac:dyDescent="0.35">
      <c r="E95">
        <v>83</v>
      </c>
      <c r="F95">
        <v>16722200.000000389</v>
      </c>
      <c r="G95">
        <v>15478399.999999573</v>
      </c>
      <c r="H95">
        <v>5804400.0000000382</v>
      </c>
    </row>
    <row r="96" spans="5:8" x14ac:dyDescent="0.35">
      <c r="E96">
        <v>84</v>
      </c>
      <c r="F96">
        <v>16722200.000000104</v>
      </c>
      <c r="G96">
        <v>15478399.999999767</v>
      </c>
      <c r="H96">
        <v>5804400.0000001276</v>
      </c>
    </row>
    <row r="97" spans="5:8" x14ac:dyDescent="0.35">
      <c r="E97">
        <v>85</v>
      </c>
      <c r="F97">
        <v>16722199.999999942</v>
      </c>
      <c r="G97">
        <v>15478399.999999929</v>
      </c>
      <c r="H97">
        <v>5804400.0000001276</v>
      </c>
    </row>
    <row r="98" spans="5:8" x14ac:dyDescent="0.35">
      <c r="E98">
        <v>86</v>
      </c>
      <c r="F98">
        <v>16722199.999999888</v>
      </c>
      <c r="G98">
        <v>15478400.000000024</v>
      </c>
      <c r="H98">
        <v>5804400.0000000866</v>
      </c>
    </row>
    <row r="99" spans="5:8" x14ac:dyDescent="0.35">
      <c r="E99">
        <v>87</v>
      </c>
      <c r="F99">
        <v>16722199.999999899</v>
      </c>
      <c r="G99">
        <v>15478400.00000006</v>
      </c>
      <c r="H99">
        <v>5804400.00000004</v>
      </c>
    </row>
    <row r="100" spans="5:8" x14ac:dyDescent="0.35">
      <c r="E100">
        <v>88</v>
      </c>
      <c r="F100">
        <v>16722199.999999937</v>
      </c>
      <c r="G100">
        <v>15478400.000000056</v>
      </c>
      <c r="H100">
        <v>5804400.0000000056</v>
      </c>
    </row>
    <row r="101" spans="5:8" x14ac:dyDescent="0.35">
      <c r="E101">
        <v>89</v>
      </c>
      <c r="F101">
        <v>16722199.999999976</v>
      </c>
      <c r="G101">
        <v>15478400.000000035</v>
      </c>
      <c r="H101">
        <v>5804399.9999999879</v>
      </c>
    </row>
    <row r="102" spans="5:8" x14ac:dyDescent="0.35">
      <c r="E102">
        <v>90</v>
      </c>
      <c r="F102">
        <v>16722200.000000002</v>
      </c>
      <c r="G102">
        <v>15478400.000000015</v>
      </c>
      <c r="H102">
        <v>5804399.9999999832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2FE5A-36A3-4435-926F-9CB4D5554C5C}">
  <sheetPr codeName="Arkusz5"/>
  <dimension ref="A1:AN129"/>
  <sheetViews>
    <sheetView zoomScale="40" zoomScaleNormal="40" workbookViewId="0">
      <selection activeCell="AB55" sqref="AB55"/>
    </sheetView>
  </sheetViews>
  <sheetFormatPr defaultColWidth="8.81640625" defaultRowHeight="14.5" x14ac:dyDescent="0.35"/>
  <cols>
    <col min="1" max="2" width="13.1796875" bestFit="1" customWidth="1"/>
    <col min="5" max="5" width="9.1796875" bestFit="1" customWidth="1"/>
    <col min="6" max="6" width="10" bestFit="1" customWidth="1"/>
    <col min="7" max="7" width="12.1796875" bestFit="1" customWidth="1"/>
    <col min="8" max="8" width="11.36328125" bestFit="1" customWidth="1"/>
    <col min="10" max="10" width="9.1796875" bestFit="1" customWidth="1"/>
    <col min="11" max="11" width="10" bestFit="1" customWidth="1"/>
    <col min="12" max="12" width="12.1796875" bestFit="1" customWidth="1"/>
    <col min="13" max="13" width="11.1796875" bestFit="1" customWidth="1"/>
    <col min="28" max="29" width="13.1796875" bestFit="1" customWidth="1"/>
    <col min="32" max="32" width="9.1796875" bestFit="1" customWidth="1"/>
    <col min="33" max="33" width="10" bestFit="1" customWidth="1"/>
    <col min="34" max="34" width="12.1796875" bestFit="1" customWidth="1"/>
    <col min="35" max="35" width="9.1796875" bestFit="1" customWidth="1"/>
    <col min="37" max="37" width="9" bestFit="1" customWidth="1"/>
    <col min="38" max="38" width="10" bestFit="1" customWidth="1"/>
    <col min="39" max="39" width="12.1796875" bestFit="1" customWidth="1"/>
    <col min="40" max="40" width="11.1796875" bestFit="1" customWidth="1"/>
  </cols>
  <sheetData>
    <row r="1" spans="1:40" x14ac:dyDescent="0.35">
      <c r="A1" t="s">
        <v>20</v>
      </c>
      <c r="B1" t="s">
        <v>21</v>
      </c>
      <c r="AB1" t="s">
        <v>20</v>
      </c>
      <c r="AC1" t="s">
        <v>21</v>
      </c>
    </row>
    <row r="2" spans="1:40" hidden="1" x14ac:dyDescent="0.35">
      <c r="A2" t="s">
        <v>0</v>
      </c>
      <c r="B2">
        <v>0</v>
      </c>
      <c r="AB2" t="s">
        <v>0</v>
      </c>
      <c r="AC2">
        <v>0</v>
      </c>
    </row>
    <row r="3" spans="1:40" hidden="1" x14ac:dyDescent="0.35">
      <c r="A3" t="s">
        <v>1</v>
      </c>
      <c r="B3">
        <v>120</v>
      </c>
      <c r="AB3" t="s">
        <v>1</v>
      </c>
      <c r="AC3">
        <v>120</v>
      </c>
    </row>
    <row r="4" spans="1:40" hidden="1" x14ac:dyDescent="0.35">
      <c r="A4" t="s">
        <v>2</v>
      </c>
      <c r="B4">
        <v>50</v>
      </c>
      <c r="AB4" t="s">
        <v>2</v>
      </c>
      <c r="AC4">
        <v>120</v>
      </c>
    </row>
    <row r="5" spans="1:40" x14ac:dyDescent="0.35">
      <c r="A5" t="s">
        <v>8</v>
      </c>
      <c r="B5">
        <v>38000000</v>
      </c>
      <c r="AB5" t="s">
        <v>8</v>
      </c>
      <c r="AC5">
        <v>38000000</v>
      </c>
    </row>
    <row r="6" spans="1:40" x14ac:dyDescent="0.35">
      <c r="A6" t="s">
        <v>9</v>
      </c>
      <c r="B6">
        <v>0</v>
      </c>
      <c r="E6" s="16" t="s">
        <v>22</v>
      </c>
      <c r="F6" s="17"/>
      <c r="G6" s="17"/>
      <c r="H6" s="17"/>
      <c r="J6" s="19" t="s">
        <v>23</v>
      </c>
      <c r="K6" s="20"/>
      <c r="L6" s="20"/>
      <c r="M6" s="20"/>
      <c r="AB6" t="s">
        <v>9</v>
      </c>
      <c r="AC6">
        <v>0</v>
      </c>
      <c r="AF6" s="16" t="s">
        <v>22</v>
      </c>
      <c r="AG6" s="17"/>
      <c r="AH6" s="17"/>
      <c r="AI6" s="17"/>
      <c r="AK6" s="19" t="s">
        <v>23</v>
      </c>
      <c r="AL6" s="20"/>
      <c r="AM6" s="20"/>
      <c r="AN6" s="20"/>
    </row>
    <row r="7" spans="1:40" x14ac:dyDescent="0.35">
      <c r="A7" t="s">
        <v>10</v>
      </c>
      <c r="B7">
        <v>5000</v>
      </c>
      <c r="E7" s="18"/>
      <c r="F7" s="18"/>
      <c r="G7" s="18"/>
      <c r="H7" s="18"/>
      <c r="J7" s="21"/>
      <c r="K7" s="21"/>
      <c r="L7" s="21"/>
      <c r="M7" s="21"/>
      <c r="AB7" t="s">
        <v>10</v>
      </c>
      <c r="AC7">
        <v>5000</v>
      </c>
      <c r="AF7" s="18"/>
      <c r="AG7" s="18"/>
      <c r="AH7" s="18"/>
      <c r="AI7" s="18"/>
      <c r="AK7" s="21"/>
      <c r="AL7" s="21"/>
      <c r="AM7" s="21"/>
      <c r="AN7" s="21"/>
    </row>
    <row r="8" spans="1:40" x14ac:dyDescent="0.35">
      <c r="A8" t="s">
        <v>11</v>
      </c>
      <c r="B8">
        <v>0.3</v>
      </c>
      <c r="E8" s="4" t="s">
        <v>3</v>
      </c>
      <c r="F8" s="2" t="s">
        <v>4</v>
      </c>
      <c r="G8" s="2" t="s">
        <v>5</v>
      </c>
      <c r="H8" s="3" t="s">
        <v>6</v>
      </c>
      <c r="J8" s="4" t="s">
        <v>3</v>
      </c>
      <c r="K8" s="2" t="s">
        <v>4</v>
      </c>
      <c r="L8" s="2" t="s">
        <v>5</v>
      </c>
      <c r="M8" s="3" t="s">
        <v>6</v>
      </c>
      <c r="AB8" t="s">
        <v>11</v>
      </c>
      <c r="AC8">
        <v>0.3</v>
      </c>
      <c r="AF8" s="4" t="s">
        <v>3</v>
      </c>
      <c r="AG8" s="2" t="s">
        <v>4</v>
      </c>
      <c r="AH8" s="2" t="s">
        <v>5</v>
      </c>
      <c r="AI8" s="3" t="s">
        <v>6</v>
      </c>
      <c r="AK8" s="4" t="s">
        <v>3</v>
      </c>
      <c r="AL8" s="2" t="s">
        <v>4</v>
      </c>
      <c r="AM8" s="2" t="s">
        <v>5</v>
      </c>
      <c r="AN8" s="3" t="s">
        <v>6</v>
      </c>
    </row>
    <row r="9" spans="1:40" x14ac:dyDescent="0.35">
      <c r="A9" t="s">
        <v>12</v>
      </c>
      <c r="B9">
        <f>B8</f>
        <v>0.3</v>
      </c>
      <c r="E9" cm="1">
        <f t="array" ref="E9:H59">SOLVE_SIR_RUNGE_KUTTA(B2,B3,B4,B5,B6,B7,B8,B9,B10,B11)</f>
        <v>0</v>
      </c>
      <c r="F9">
        <v>38000000</v>
      </c>
      <c r="G9">
        <v>0</v>
      </c>
      <c r="H9">
        <v>5000</v>
      </c>
      <c r="J9" cm="1">
        <f t="array" ref="J9:M59">SOLVE_SIR_RALSTON(B2,B3,B4,B5,B6,B7,B8,B9,B10,B11)</f>
        <v>0</v>
      </c>
      <c r="K9">
        <v>38000000</v>
      </c>
      <c r="L9">
        <v>0</v>
      </c>
      <c r="M9">
        <v>5000</v>
      </c>
      <c r="AB9" t="s">
        <v>12</v>
      </c>
      <c r="AC9">
        <f>AC8</f>
        <v>0.3</v>
      </c>
      <c r="AF9" cm="1">
        <f t="array" ref="AF9:AI129">SOLVE_SIR_RUNGE_KUTTA(AC2,AC3,AC4,AC5,AC6,AC7,AC8,AC9,AC10,AC11)</f>
        <v>0</v>
      </c>
      <c r="AG9">
        <v>38000000</v>
      </c>
      <c r="AH9">
        <v>0</v>
      </c>
      <c r="AI9">
        <v>5000</v>
      </c>
      <c r="AK9" cm="1">
        <f t="array" ref="AK9:AN129">SOLVE_SIR_RALSTON(AC2,AC3,AC4,AC5,AC6,AC7,AC8,AC9,AC10,AC11)</f>
        <v>0</v>
      </c>
      <c r="AL9">
        <v>38000000</v>
      </c>
      <c r="AM9">
        <v>0</v>
      </c>
      <c r="AN9">
        <v>5000</v>
      </c>
    </row>
    <row r="10" spans="1:40" x14ac:dyDescent="0.35">
      <c r="A10" t="s">
        <v>13</v>
      </c>
      <c r="B10">
        <v>2.5</v>
      </c>
      <c r="E10">
        <v>2.4</v>
      </c>
      <c r="F10">
        <v>37886411.939525791</v>
      </c>
      <c r="G10">
        <v>37264.847537120739</v>
      </c>
      <c r="H10">
        <v>81323.21293708797</v>
      </c>
      <c r="J10">
        <v>2.4</v>
      </c>
      <c r="K10">
        <v>37932761.661307611</v>
      </c>
      <c r="L10">
        <v>22268.211024865148</v>
      </c>
      <c r="M10">
        <v>49970.127667521519</v>
      </c>
      <c r="AB10" t="s">
        <v>13</v>
      </c>
      <c r="AC10">
        <v>2.5</v>
      </c>
      <c r="AF10">
        <v>1</v>
      </c>
      <c r="AG10">
        <v>37978543.750554599</v>
      </c>
      <c r="AH10">
        <v>7284.6408915014381</v>
      </c>
      <c r="AI10">
        <v>19171.608553902501</v>
      </c>
      <c r="AK10">
        <v>1</v>
      </c>
      <c r="AL10">
        <v>37981908.311779886</v>
      </c>
      <c r="AM10">
        <v>6199.3421918168669</v>
      </c>
      <c r="AN10">
        <v>16892.34602829241</v>
      </c>
    </row>
    <row r="11" spans="1:40" x14ac:dyDescent="0.35">
      <c r="A11" t="s">
        <v>14</v>
      </c>
      <c r="B11">
        <v>0.8</v>
      </c>
      <c r="E11">
        <v>4.8</v>
      </c>
      <c r="F11">
        <v>36145644.610754535</v>
      </c>
      <c r="G11">
        <v>615573.96706360858</v>
      </c>
      <c r="H11">
        <v>1243781.4221818543</v>
      </c>
      <c r="J11">
        <v>4.8</v>
      </c>
      <c r="K11">
        <v>37276917.938619502</v>
      </c>
      <c r="L11">
        <v>234046.86458200993</v>
      </c>
      <c r="M11">
        <v>494035.19679848826</v>
      </c>
      <c r="AB11" t="s">
        <v>14</v>
      </c>
      <c r="AC11">
        <v>0.8</v>
      </c>
      <c r="AF11">
        <v>2</v>
      </c>
      <c r="AG11">
        <v>37898382.228039667</v>
      </c>
      <c r="AH11">
        <v>33297.824575138933</v>
      </c>
      <c r="AI11">
        <v>73319.947385195512</v>
      </c>
      <c r="AK11">
        <v>2</v>
      </c>
      <c r="AL11">
        <v>37922450.835976191</v>
      </c>
      <c r="AM11">
        <v>25554.755285113068</v>
      </c>
      <c r="AN11">
        <v>56994.408738695754</v>
      </c>
    </row>
    <row r="12" spans="1:40" x14ac:dyDescent="0.35">
      <c r="E12">
        <v>7.1999999999999993</v>
      </c>
      <c r="F12">
        <v>23400296.057414167</v>
      </c>
      <c r="G12">
        <v>7636882.7559556654</v>
      </c>
      <c r="H12">
        <v>6967821.1866301652</v>
      </c>
      <c r="J12">
        <v>7.1999999999999993</v>
      </c>
      <c r="K12">
        <v>31353425.685907323</v>
      </c>
      <c r="L12">
        <v>2272312.9539512261</v>
      </c>
      <c r="M12">
        <v>4379261.3601414505</v>
      </c>
      <c r="AF12">
        <v>3</v>
      </c>
      <c r="AG12">
        <v>37596356.400480084</v>
      </c>
      <c r="AH12">
        <v>130967.50840251433</v>
      </c>
      <c r="AI12">
        <v>277676.09111739969</v>
      </c>
      <c r="AK12">
        <v>3</v>
      </c>
      <c r="AL12">
        <v>37723963.567373455</v>
      </c>
      <c r="AM12">
        <v>89587.564212369471</v>
      </c>
      <c r="AN12">
        <v>191448.86841417695</v>
      </c>
    </row>
    <row r="13" spans="1:40" x14ac:dyDescent="0.35">
      <c r="A13" s="5" t="s">
        <v>7</v>
      </c>
      <c r="B13" s="5">
        <f>B10/(B11+B9)</f>
        <v>2.2727272727272725</v>
      </c>
      <c r="E13">
        <v>9.6</v>
      </c>
      <c r="F13">
        <v>17925031.462774593</v>
      </c>
      <c r="G13">
        <v>13013820.853108872</v>
      </c>
      <c r="H13">
        <v>7066147.6841165312</v>
      </c>
      <c r="J13">
        <v>9.6</v>
      </c>
      <c r="K13">
        <v>11461132.257788729</v>
      </c>
      <c r="L13">
        <v>16317453.35006273</v>
      </c>
      <c r="M13">
        <v>10226414.392148543</v>
      </c>
      <c r="AB13" s="5" t="s">
        <v>7</v>
      </c>
      <c r="AC13" s="5">
        <f>AC10/(AC11+AC9)</f>
        <v>2.2727272727272725</v>
      </c>
      <c r="AF13">
        <v>4</v>
      </c>
      <c r="AG13">
        <v>36497207.063840918</v>
      </c>
      <c r="AH13">
        <v>493883.90013573028</v>
      </c>
      <c r="AI13">
        <v>1013909.0360233467</v>
      </c>
      <c r="AK13">
        <v>4</v>
      </c>
      <c r="AL13">
        <v>37068650.921475992</v>
      </c>
      <c r="AM13">
        <v>302723.62089671218</v>
      </c>
      <c r="AN13">
        <v>633625.45762729691</v>
      </c>
    </row>
    <row r="14" spans="1:40" x14ac:dyDescent="0.35">
      <c r="E14">
        <v>12</v>
      </c>
      <c r="F14">
        <v>16902040.283510599</v>
      </c>
      <c r="G14">
        <v>14958093.603973551</v>
      </c>
      <c r="H14">
        <v>6144866.1125158509</v>
      </c>
      <c r="J14">
        <v>12</v>
      </c>
      <c r="K14">
        <v>19349614.124951005</v>
      </c>
      <c r="L14">
        <v>13210432.631675331</v>
      </c>
      <c r="M14">
        <v>5444953.2433736669</v>
      </c>
      <c r="AF14">
        <v>5</v>
      </c>
      <c r="AG14">
        <v>33002655.574775986</v>
      </c>
      <c r="AH14">
        <v>1741820.5428669355</v>
      </c>
      <c r="AI14">
        <v>3260523.8823570739</v>
      </c>
      <c r="AK14">
        <v>5</v>
      </c>
      <c r="AL14">
        <v>35012985.840415299</v>
      </c>
      <c r="AM14">
        <v>995613.70295831107</v>
      </c>
      <c r="AN14">
        <v>1996400.4566263929</v>
      </c>
    </row>
    <row r="15" spans="1:40" x14ac:dyDescent="0.35">
      <c r="A15" s="5" t="s">
        <v>16</v>
      </c>
      <c r="B15" s="5">
        <f>(B3-B2)/B4</f>
        <v>2.4</v>
      </c>
      <c r="E15">
        <v>14.4</v>
      </c>
      <c r="F15">
        <v>16576437.262246357</v>
      </c>
      <c r="G15">
        <v>15455249.324711775</v>
      </c>
      <c r="H15">
        <v>5973313.4130418673</v>
      </c>
      <c r="J15">
        <v>14.4</v>
      </c>
      <c r="K15">
        <v>15655041.373994771</v>
      </c>
      <c r="L15">
        <v>15982049.240093935</v>
      </c>
      <c r="M15">
        <v>6367909.385911298</v>
      </c>
      <c r="AB15" s="5" t="s">
        <v>16</v>
      </c>
      <c r="AC15" s="5">
        <f>(AC3-AC2)/AC4</f>
        <v>1</v>
      </c>
      <c r="AF15">
        <v>6</v>
      </c>
      <c r="AG15">
        <v>25514210.698492393</v>
      </c>
      <c r="AH15">
        <v>5056847.1264427276</v>
      </c>
      <c r="AI15">
        <v>7433942.1750648767</v>
      </c>
      <c r="AK15">
        <v>6</v>
      </c>
      <c r="AL15">
        <v>29563668.401233587</v>
      </c>
      <c r="AM15">
        <v>3060098.4437950929</v>
      </c>
      <c r="AN15">
        <v>5381233.154971322</v>
      </c>
    </row>
    <row r="16" spans="1:40" x14ac:dyDescent="0.35">
      <c r="E16">
        <v>16.8</v>
      </c>
      <c r="F16">
        <v>16613935.241067443</v>
      </c>
      <c r="G16">
        <v>15542950.583317298</v>
      </c>
      <c r="H16">
        <v>5848114.1756152594</v>
      </c>
      <c r="J16">
        <v>16.8</v>
      </c>
      <c r="K16">
        <v>17051827.975633778</v>
      </c>
      <c r="L16">
        <v>15412478.259649122</v>
      </c>
      <c r="M16">
        <v>5540693.764717103</v>
      </c>
      <c r="AF16">
        <v>7</v>
      </c>
      <c r="AG16">
        <v>17866789.660640776</v>
      </c>
      <c r="AH16">
        <v>10034435.52407318</v>
      </c>
      <c r="AI16">
        <v>10103774.815286042</v>
      </c>
      <c r="AK16">
        <v>7</v>
      </c>
      <c r="AL16">
        <v>20694434.744907208</v>
      </c>
      <c r="AM16">
        <v>7757270.9445326366</v>
      </c>
      <c r="AN16">
        <v>9553294.3105601594</v>
      </c>
    </row>
    <row r="17" spans="5:40" x14ac:dyDescent="0.35">
      <c r="E17">
        <v>19.2</v>
      </c>
      <c r="F17">
        <v>16687009.272526376</v>
      </c>
      <c r="G17">
        <v>15516083.948531909</v>
      </c>
      <c r="H17">
        <v>5801906.7789417161</v>
      </c>
      <c r="J17">
        <v>19.2</v>
      </c>
      <c r="K17">
        <v>16695363.851503234</v>
      </c>
      <c r="L17">
        <v>15395615.24312561</v>
      </c>
      <c r="M17">
        <v>5914020.9053711584</v>
      </c>
      <c r="AF17">
        <v>8</v>
      </c>
      <c r="AG17">
        <v>14407416.620761942</v>
      </c>
      <c r="AH17">
        <v>14167405.916306615</v>
      </c>
      <c r="AI17">
        <v>9430177.4629314411</v>
      </c>
      <c r="AK17">
        <v>8</v>
      </c>
      <c r="AL17">
        <v>15290972.391467094</v>
      </c>
      <c r="AM17">
        <v>13273905.276891176</v>
      </c>
      <c r="AN17">
        <v>9440122.3316417318</v>
      </c>
    </row>
    <row r="18" spans="5:40" x14ac:dyDescent="0.35">
      <c r="E18">
        <v>21.599999999999998</v>
      </c>
      <c r="F18">
        <v>16720778.700953329</v>
      </c>
      <c r="G18">
        <v>15488189.010696121</v>
      </c>
      <c r="H18">
        <v>5796032.2883505514</v>
      </c>
      <c r="J18">
        <v>21.599999999999998</v>
      </c>
      <c r="K18">
        <v>16685592.288961967</v>
      </c>
      <c r="L18">
        <v>15544410.767095001</v>
      </c>
      <c r="M18">
        <v>5774996.943943033</v>
      </c>
      <c r="AF18">
        <v>9</v>
      </c>
      <c r="AG18">
        <v>13759818.221375031</v>
      </c>
      <c r="AH18">
        <v>16386893.813729636</v>
      </c>
      <c r="AI18">
        <v>7858287.9648953313</v>
      </c>
      <c r="AK18">
        <v>9</v>
      </c>
      <c r="AL18">
        <v>14232656.803634752</v>
      </c>
      <c r="AM18">
        <v>15952837.717208838</v>
      </c>
      <c r="AN18">
        <v>7819505.4791564131</v>
      </c>
    </row>
    <row r="19" spans="5:40" x14ac:dyDescent="0.35">
      <c r="E19">
        <v>23.999999999999996</v>
      </c>
      <c r="F19">
        <v>16727071.928311229</v>
      </c>
      <c r="G19">
        <v>15477598.283717982</v>
      </c>
      <c r="H19">
        <v>5800329.7879707878</v>
      </c>
      <c r="J19">
        <v>23.999999999999996</v>
      </c>
      <c r="K19">
        <v>16755116.557363769</v>
      </c>
      <c r="L19">
        <v>15445821.52900427</v>
      </c>
      <c r="M19">
        <v>5804061.9136319626</v>
      </c>
      <c r="AF19">
        <v>10</v>
      </c>
      <c r="AG19">
        <v>14340446.23758688</v>
      </c>
      <c r="AH19">
        <v>17070940.489069752</v>
      </c>
      <c r="AI19">
        <v>6593613.2733433647</v>
      </c>
      <c r="AK19">
        <v>10</v>
      </c>
      <c r="AL19">
        <v>14713971.891808165</v>
      </c>
      <c r="AM19">
        <v>16689905.836867124</v>
      </c>
      <c r="AN19">
        <v>6601122.2713247128</v>
      </c>
    </row>
    <row r="20" spans="5:40" x14ac:dyDescent="0.35">
      <c r="E20">
        <v>26.399999999999995</v>
      </c>
      <c r="F20">
        <v>16725018.341558527</v>
      </c>
      <c r="G20">
        <v>15476410.832056232</v>
      </c>
      <c r="H20">
        <v>5803570.8263852419</v>
      </c>
      <c r="J20">
        <v>26.399999999999995</v>
      </c>
      <c r="K20">
        <v>16705687.054608859</v>
      </c>
      <c r="L20">
        <v>15489373.556018889</v>
      </c>
      <c r="M20">
        <v>5809939.3893722529</v>
      </c>
      <c r="AF20">
        <v>11</v>
      </c>
      <c r="AG20">
        <v>15276879.363880552</v>
      </c>
      <c r="AH20">
        <v>16900370.170634355</v>
      </c>
      <c r="AI20">
        <v>5827750.4654850913</v>
      </c>
      <c r="AK20">
        <v>11</v>
      </c>
      <c r="AL20">
        <v>15527384.150916051</v>
      </c>
      <c r="AM20">
        <v>16573932.0656971</v>
      </c>
      <c r="AN20">
        <v>5903683.7833868507</v>
      </c>
    </row>
    <row r="21" spans="5:40" x14ac:dyDescent="0.35">
      <c r="E21">
        <v>28.799999999999994</v>
      </c>
      <c r="F21">
        <v>16722923.603403412</v>
      </c>
      <c r="G21">
        <v>15477468.721218847</v>
      </c>
      <c r="H21">
        <v>5804607.6753777415</v>
      </c>
      <c r="J21">
        <v>28.799999999999994</v>
      </c>
      <c r="K21">
        <v>16727922.796092549</v>
      </c>
      <c r="L21">
        <v>15476583.291537836</v>
      </c>
      <c r="M21">
        <v>5800493.9123696173</v>
      </c>
      <c r="AF21">
        <v>12</v>
      </c>
      <c r="AG21">
        <v>16137668.314834334</v>
      </c>
      <c r="AH21">
        <v>16401919.175253412</v>
      </c>
      <c r="AI21">
        <v>5465412.5099122534</v>
      </c>
      <c r="AK21">
        <v>12</v>
      </c>
      <c r="AL21">
        <v>16240276.356022878</v>
      </c>
      <c r="AM21">
        <v>16176482.073728165</v>
      </c>
      <c r="AN21">
        <v>5588241.5702489596</v>
      </c>
    </row>
    <row r="22" spans="5:40" x14ac:dyDescent="0.35">
      <c r="E22">
        <v>31.199999999999992</v>
      </c>
      <c r="F22">
        <v>16722136.17268366</v>
      </c>
      <c r="G22">
        <v>15478221.21774202</v>
      </c>
      <c r="H22">
        <v>5804642.6095743198</v>
      </c>
      <c r="J22">
        <v>31.199999999999992</v>
      </c>
      <c r="K22">
        <v>16721175.704716275</v>
      </c>
      <c r="L22">
        <v>15477651.638153961</v>
      </c>
      <c r="M22">
        <v>5806172.6571297674</v>
      </c>
      <c r="AF22">
        <v>13</v>
      </c>
      <c r="AG22">
        <v>16740056.803378016</v>
      </c>
      <c r="AH22">
        <v>15888765.328643201</v>
      </c>
      <c r="AI22">
        <v>5376177.8679787824</v>
      </c>
      <c r="AK22">
        <v>13</v>
      </c>
      <c r="AL22">
        <v>16710091.663868578</v>
      </c>
      <c r="AM22">
        <v>15780621.532918883</v>
      </c>
      <c r="AN22">
        <v>5514286.8032125412</v>
      </c>
    </row>
    <row r="23" spans="5:40" x14ac:dyDescent="0.35">
      <c r="E23">
        <v>33.599999999999994</v>
      </c>
      <c r="F23">
        <v>16722050.723962296</v>
      </c>
      <c r="G23">
        <v>15478453.218939027</v>
      </c>
      <c r="H23">
        <v>5804496.0570986774</v>
      </c>
      <c r="J23">
        <v>33.599999999999994</v>
      </c>
      <c r="K23">
        <v>16721869.173781492</v>
      </c>
      <c r="L23">
        <v>15479273.367311431</v>
      </c>
      <c r="M23">
        <v>5803857.4589070808</v>
      </c>
      <c r="AF23">
        <v>14</v>
      </c>
      <c r="AG23">
        <v>17049149.824540973</v>
      </c>
      <c r="AH23">
        <v>15509893.83359855</v>
      </c>
      <c r="AI23">
        <v>5445956.341860475</v>
      </c>
      <c r="AK23">
        <v>14</v>
      </c>
      <c r="AL23">
        <v>16931283.671952654</v>
      </c>
      <c r="AM23">
        <v>15504521.224684866</v>
      </c>
      <c r="AN23">
        <v>5569195.1033624811</v>
      </c>
    </row>
    <row r="24" spans="5:40" x14ac:dyDescent="0.35">
      <c r="E24">
        <v>35.999999999999993</v>
      </c>
      <c r="F24">
        <v>16722130.702567041</v>
      </c>
      <c r="G24">
        <v>15478456.818696054</v>
      </c>
      <c r="H24">
        <v>5804412.4787369063</v>
      </c>
      <c r="J24">
        <v>35.999999999999993</v>
      </c>
      <c r="K24">
        <v>16722628.258006038</v>
      </c>
      <c r="L24">
        <v>15477913.241530256</v>
      </c>
      <c r="M24">
        <v>5804458.5004637083</v>
      </c>
      <c r="AF24">
        <v>15</v>
      </c>
      <c r="AG24">
        <v>17118350.423410598</v>
      </c>
      <c r="AH24">
        <v>15304825.15254667</v>
      </c>
      <c r="AI24">
        <v>5581824.4240427315</v>
      </c>
      <c r="AK24">
        <v>15</v>
      </c>
      <c r="AL24">
        <v>16968024.273932192</v>
      </c>
      <c r="AM24">
        <v>15368559.78709802</v>
      </c>
      <c r="AN24">
        <v>5668415.9389697872</v>
      </c>
    </row>
    <row r="25" spans="5:40" x14ac:dyDescent="0.35">
      <c r="E25">
        <v>38.399999999999991</v>
      </c>
      <c r="F25">
        <v>16722186.896965547</v>
      </c>
      <c r="G25">
        <v>15478421.766722927</v>
      </c>
      <c r="H25">
        <v>5804391.3363115275</v>
      </c>
      <c r="J25">
        <v>38.399999999999991</v>
      </c>
      <c r="K25">
        <v>16721954.745907003</v>
      </c>
      <c r="L25">
        <v>15478586.171461137</v>
      </c>
      <c r="M25">
        <v>5804459.0826318609</v>
      </c>
      <c r="AF25">
        <v>16</v>
      </c>
      <c r="AG25">
        <v>17041181.293835457</v>
      </c>
      <c r="AH25">
        <v>15247749.981845399</v>
      </c>
      <c r="AI25">
        <v>5716068.7243191414</v>
      </c>
      <c r="AK25">
        <v>16</v>
      </c>
      <c r="AL25">
        <v>16906403.673746496</v>
      </c>
      <c r="AM25">
        <v>15340764.3775205</v>
      </c>
      <c r="AN25">
        <v>5757831.9487330047</v>
      </c>
    </row>
    <row r="26" spans="5:40" x14ac:dyDescent="0.35">
      <c r="E26">
        <v>40.79999999999999</v>
      </c>
      <c r="F26">
        <v>16722204.067346333</v>
      </c>
      <c r="G26">
        <v>15478402.533300634</v>
      </c>
      <c r="H26">
        <v>5804393.3993530339</v>
      </c>
      <c r="J26">
        <v>40.79999999999999</v>
      </c>
      <c r="K26">
        <v>16722296.014959374</v>
      </c>
      <c r="L26">
        <v>15478357.229938556</v>
      </c>
      <c r="M26">
        <v>5804346.7551020719</v>
      </c>
      <c r="AF26">
        <v>17</v>
      </c>
      <c r="AG26">
        <v>16909844.085659772</v>
      </c>
      <c r="AH26">
        <v>15283990.46467359</v>
      </c>
      <c r="AI26">
        <v>5811165.449666637</v>
      </c>
      <c r="AK26">
        <v>17</v>
      </c>
      <c r="AL26">
        <v>16818978.798852477</v>
      </c>
      <c r="AM26">
        <v>15372102.403803967</v>
      </c>
      <c r="AN26">
        <v>5813918.7973435568</v>
      </c>
    </row>
    <row r="27" spans="5:40" x14ac:dyDescent="0.35">
      <c r="E27">
        <v>43.199999999999989</v>
      </c>
      <c r="F27">
        <v>16722204.253228739</v>
      </c>
      <c r="G27">
        <v>15478397.880029736</v>
      </c>
      <c r="H27">
        <v>5804397.866741525</v>
      </c>
      <c r="J27">
        <v>43.199999999999989</v>
      </c>
      <c r="K27">
        <v>16722176.866943251</v>
      </c>
      <c r="L27">
        <v>15478395.975510104</v>
      </c>
      <c r="M27">
        <v>5804427.1575466469</v>
      </c>
      <c r="AF27">
        <v>18</v>
      </c>
      <c r="AG27">
        <v>16788853.074634906</v>
      </c>
      <c r="AH27">
        <v>15358115.044506853</v>
      </c>
      <c r="AI27">
        <v>5858031.8808582406</v>
      </c>
      <c r="AK27">
        <v>18</v>
      </c>
      <c r="AL27">
        <v>16748166.383906962</v>
      </c>
      <c r="AM27">
        <v>15420486.074417727</v>
      </c>
      <c r="AN27">
        <v>5836347.5416753115</v>
      </c>
    </row>
    <row r="28" spans="5:40" x14ac:dyDescent="0.35">
      <c r="E28">
        <v>45.599999999999987</v>
      </c>
      <c r="F28">
        <v>16722201.616053879</v>
      </c>
      <c r="G28">
        <v>15478398.46775475</v>
      </c>
      <c r="H28">
        <v>5804399.9161913712</v>
      </c>
      <c r="J28">
        <v>45.599999999999987</v>
      </c>
      <c r="K28">
        <v>16722198.695768964</v>
      </c>
      <c r="L28">
        <v>15478410.850732829</v>
      </c>
      <c r="M28">
        <v>5804390.453498208</v>
      </c>
      <c r="AF28">
        <v>19</v>
      </c>
      <c r="AG28">
        <v>16708339.541662252</v>
      </c>
      <c r="AH28">
        <v>15430313.725488078</v>
      </c>
      <c r="AI28">
        <v>5866346.7328496715</v>
      </c>
      <c r="AK28">
        <v>19</v>
      </c>
      <c r="AL28">
        <v>16707876.800501386</v>
      </c>
      <c r="AM28">
        <v>15460966.056487473</v>
      </c>
      <c r="AN28">
        <v>5836157.1430111425</v>
      </c>
    </row>
    <row r="29" spans="5:40" x14ac:dyDescent="0.35">
      <c r="E29">
        <v>47.999999999999986</v>
      </c>
      <c r="F29">
        <v>16722200.182543</v>
      </c>
      <c r="G29">
        <v>15478399.522134472</v>
      </c>
      <c r="H29">
        <v>5804400.2953225272</v>
      </c>
      <c r="J29">
        <v>47.999999999999986</v>
      </c>
      <c r="K29">
        <v>16722205.243742827</v>
      </c>
      <c r="L29">
        <v>15478392.972631726</v>
      </c>
      <c r="M29">
        <v>5804401.7836254481</v>
      </c>
      <c r="AF29">
        <v>20</v>
      </c>
      <c r="AG29">
        <v>16671619.231939459</v>
      </c>
      <c r="AH29">
        <v>15480718.870293913</v>
      </c>
      <c r="AI29">
        <v>5852661.8977666274</v>
      </c>
      <c r="AK29">
        <v>20</v>
      </c>
      <c r="AL29">
        <v>16694353.738800488</v>
      </c>
      <c r="AM29">
        <v>15484807.057606902</v>
      </c>
      <c r="AN29">
        <v>5825839.2035926115</v>
      </c>
    </row>
    <row r="30" spans="5:40" x14ac:dyDescent="0.35">
      <c r="E30">
        <v>50.399999999999984</v>
      </c>
      <c r="F30">
        <v>16722199.839655703</v>
      </c>
      <c r="G30">
        <v>15478399.989775298</v>
      </c>
      <c r="H30">
        <v>5804400.1705689989</v>
      </c>
      <c r="J30">
        <v>50.399999999999984</v>
      </c>
      <c r="K30">
        <v>16722196.484650901</v>
      </c>
      <c r="L30">
        <v>15478403.015531631</v>
      </c>
      <c r="M30">
        <v>5804400.499817471</v>
      </c>
      <c r="AF30">
        <v>21</v>
      </c>
      <c r="AG30">
        <v>16667577.709038813</v>
      </c>
      <c r="AH30">
        <v>15505567.604422297</v>
      </c>
      <c r="AI30">
        <v>5831854.68653889</v>
      </c>
      <c r="AK30">
        <v>21</v>
      </c>
      <c r="AL30">
        <v>16697211.311374681</v>
      </c>
      <c r="AM30">
        <v>15493483.32432829</v>
      </c>
      <c r="AN30">
        <v>5814305.3642970305</v>
      </c>
    </row>
    <row r="31" spans="5:40" x14ac:dyDescent="0.35">
      <c r="E31">
        <v>52.799999999999983</v>
      </c>
      <c r="F31">
        <v>16722199.885552734</v>
      </c>
      <c r="G31">
        <v>15478400.070705472</v>
      </c>
      <c r="H31">
        <v>5804400.0437417952</v>
      </c>
      <c r="J31">
        <v>52.799999999999983</v>
      </c>
      <c r="K31">
        <v>16722201.542793969</v>
      </c>
      <c r="L31">
        <v>15478399.147665538</v>
      </c>
      <c r="M31">
        <v>5804399.3095404962</v>
      </c>
      <c r="AF31">
        <v>22</v>
      </c>
      <c r="AG31">
        <v>16681196.2951209</v>
      </c>
      <c r="AH31">
        <v>15510347.301043967</v>
      </c>
      <c r="AI31">
        <v>5813456.4038351336</v>
      </c>
      <c r="AK31">
        <v>22</v>
      </c>
      <c r="AL31">
        <v>16706518.245009605</v>
      </c>
      <c r="AM31">
        <v>15492549.75720221</v>
      </c>
      <c r="AN31">
        <v>5805931.997788188</v>
      </c>
    </row>
    <row r="32" spans="5:40" x14ac:dyDescent="0.35">
      <c r="E32">
        <v>55.199999999999982</v>
      </c>
      <c r="F32">
        <v>16722199.964625459</v>
      </c>
      <c r="G32">
        <v>15478400.039269153</v>
      </c>
      <c r="H32">
        <v>5804399.9961053897</v>
      </c>
      <c r="J32">
        <v>55.199999999999982</v>
      </c>
      <c r="K32">
        <v>16722199.549037965</v>
      </c>
      <c r="L32">
        <v>15478400.04919434</v>
      </c>
      <c r="M32">
        <v>5804400.4017676981</v>
      </c>
      <c r="AF32">
        <v>23</v>
      </c>
      <c r="AG32">
        <v>16699850.053584797</v>
      </c>
      <c r="AH32">
        <v>15503602.253858671</v>
      </c>
      <c r="AI32">
        <v>5801547.692556533</v>
      </c>
      <c r="AK32">
        <v>23</v>
      </c>
      <c r="AL32">
        <v>16715747.483496467</v>
      </c>
      <c r="AM32">
        <v>15487587.663802112</v>
      </c>
      <c r="AN32">
        <v>5801664.8527014246</v>
      </c>
    </row>
    <row r="33" spans="5:40" x14ac:dyDescent="0.35">
      <c r="E33">
        <v>57.59999999999998</v>
      </c>
      <c r="F33">
        <v>16722199.999405812</v>
      </c>
      <c r="G33">
        <v>15478400.00963779</v>
      </c>
      <c r="H33">
        <v>5804399.9909563977</v>
      </c>
      <c r="J33">
        <v>57.59999999999998</v>
      </c>
      <c r="K33">
        <v>16722200.035843702</v>
      </c>
      <c r="L33">
        <v>15478400.123502307</v>
      </c>
      <c r="M33">
        <v>5804399.8406539941</v>
      </c>
      <c r="AF33">
        <v>24</v>
      </c>
      <c r="AG33">
        <v>16715720.02033074</v>
      </c>
      <c r="AH33">
        <v>15492953.704328321</v>
      </c>
      <c r="AI33">
        <v>5796326.2753409399</v>
      </c>
      <c r="AK33">
        <v>24</v>
      </c>
      <c r="AL33">
        <v>16721984.316660065</v>
      </c>
      <c r="AM33">
        <v>15482399.898497025</v>
      </c>
      <c r="AN33">
        <v>5800615.7848429121</v>
      </c>
    </row>
    <row r="34" spans="5:40" x14ac:dyDescent="0.35">
      <c r="E34">
        <v>59.999999999999979</v>
      </c>
      <c r="F34">
        <v>16722200.005320672</v>
      </c>
      <c r="G34">
        <v>15478399.998873049</v>
      </c>
      <c r="H34">
        <v>5804399.9958062787</v>
      </c>
      <c r="J34">
        <v>59.999999999999979</v>
      </c>
      <c r="K34">
        <v>16722200.058309007</v>
      </c>
      <c r="L34">
        <v>15478399.902320102</v>
      </c>
      <c r="M34">
        <v>5804400.0393708935</v>
      </c>
      <c r="AF34">
        <v>25</v>
      </c>
      <c r="AG34">
        <v>16725636.14115672</v>
      </c>
      <c r="AH34">
        <v>15483376.4700062</v>
      </c>
      <c r="AI34">
        <v>5795987.3888370814</v>
      </c>
      <c r="AK34">
        <v>25</v>
      </c>
      <c r="AL34">
        <v>16724870.569611369</v>
      </c>
      <c r="AM34">
        <v>15478773.738821099</v>
      </c>
      <c r="AN34">
        <v>5801355.6915675355</v>
      </c>
    </row>
    <row r="35" spans="5:40" x14ac:dyDescent="0.35">
      <c r="E35">
        <v>62.399999999999977</v>
      </c>
      <c r="F35">
        <v>16722200.002927126</v>
      </c>
      <c r="G35">
        <v>15478399.997864276</v>
      </c>
      <c r="H35">
        <v>5804399.9992085965</v>
      </c>
      <c r="J35">
        <v>62.399999999999977</v>
      </c>
      <c r="K35">
        <v>16722199.951532271</v>
      </c>
      <c r="L35">
        <v>15478400.047004916</v>
      </c>
      <c r="M35">
        <v>5804400.0014628153</v>
      </c>
      <c r="AF35">
        <v>26</v>
      </c>
      <c r="AG35">
        <v>16729688.51533699</v>
      </c>
      <c r="AH35">
        <v>15477086.678928746</v>
      </c>
      <c r="AI35">
        <v>5798224.8057342647</v>
      </c>
      <c r="AK35">
        <v>26</v>
      </c>
      <c r="AL35">
        <v>16725317.44431355</v>
      </c>
      <c r="AM35">
        <v>15477015.960580805</v>
      </c>
      <c r="AN35">
        <v>5802666.5951056471</v>
      </c>
    </row>
    <row r="36" spans="5:40" x14ac:dyDescent="0.35">
      <c r="E36">
        <v>64.799999999999983</v>
      </c>
      <c r="F36">
        <v>16722200.000710391</v>
      </c>
      <c r="G36">
        <v>15478399.999042636</v>
      </c>
      <c r="H36">
        <v>5804400.0002469737</v>
      </c>
      <c r="J36">
        <v>64.799999999999983</v>
      </c>
      <c r="K36">
        <v>16722200.023876835</v>
      </c>
      <c r="L36">
        <v>15478399.984505057</v>
      </c>
      <c r="M36">
        <v>5804399.9916181099</v>
      </c>
      <c r="AF36">
        <v>27</v>
      </c>
      <c r="AG36">
        <v>16729600.378275437</v>
      </c>
      <c r="AH36">
        <v>15474268.637736984</v>
      </c>
      <c r="AI36">
        <v>5801130.9839875791</v>
      </c>
      <c r="AK36">
        <v>27</v>
      </c>
      <c r="AL36">
        <v>16724518.883654794</v>
      </c>
      <c r="AM36">
        <v>15476666.151886052</v>
      </c>
      <c r="AN36">
        <v>5803814.9644591566</v>
      </c>
    </row>
    <row r="37" spans="5:40" x14ac:dyDescent="0.35">
      <c r="E37">
        <v>67.199999999999989</v>
      </c>
      <c r="F37">
        <v>16722199.999911733</v>
      </c>
      <c r="G37">
        <v>15478399.99983068</v>
      </c>
      <c r="H37">
        <v>5804400.0002575871</v>
      </c>
      <c r="J37">
        <v>67.199999999999989</v>
      </c>
      <c r="K37">
        <v>16722199.991914872</v>
      </c>
      <c r="L37">
        <v>15478400.002350129</v>
      </c>
      <c r="M37">
        <v>5804400.0057349997</v>
      </c>
      <c r="AF37">
        <v>28</v>
      </c>
      <c r="AG37">
        <v>16727433.996958368</v>
      </c>
      <c r="AH37">
        <v>15474021.690066626</v>
      </c>
      <c r="AI37">
        <v>5803544.3129750052</v>
      </c>
      <c r="AK37">
        <v>28</v>
      </c>
      <c r="AL37">
        <v>16723414.051346598</v>
      </c>
      <c r="AM37">
        <v>15477064.580067629</v>
      </c>
      <c r="AN37">
        <v>5804521.3685857747</v>
      </c>
    </row>
    <row r="38" spans="5:40" x14ac:dyDescent="0.35">
      <c r="E38">
        <v>69.599999999999994</v>
      </c>
      <c r="F38">
        <v>16722199.999839809</v>
      </c>
      <c r="G38">
        <v>15478400.000062421</v>
      </c>
      <c r="H38">
        <v>5804400.0000977693</v>
      </c>
      <c r="J38">
        <v>69.599999999999994</v>
      </c>
      <c r="K38">
        <v>16722200.001347339</v>
      </c>
      <c r="L38">
        <v>15478400.001201797</v>
      </c>
      <c r="M38">
        <v>5804399.9974508677</v>
      </c>
      <c r="AF38">
        <v>29</v>
      </c>
      <c r="AG38">
        <v>16724833.331447044</v>
      </c>
      <c r="AH38">
        <v>15475151.402653763</v>
      </c>
      <c r="AI38">
        <v>5805015.2658991935</v>
      </c>
      <c r="AK38">
        <v>29</v>
      </c>
      <c r="AL38">
        <v>16722525.522344332</v>
      </c>
      <c r="AM38">
        <v>15477673.065416889</v>
      </c>
      <c r="AN38">
        <v>5804801.4122387804</v>
      </c>
    </row>
    <row r="39" spans="5:40" x14ac:dyDescent="0.35">
      <c r="E39">
        <v>72</v>
      </c>
      <c r="F39">
        <v>16722199.999928789</v>
      </c>
      <c r="G39">
        <v>15478400.00006021</v>
      </c>
      <c r="H39">
        <v>5804400.0000109999</v>
      </c>
      <c r="J39">
        <v>72</v>
      </c>
      <c r="K39">
        <v>16722200.00054032</v>
      </c>
      <c r="L39">
        <v>15478399.998700902</v>
      </c>
      <c r="M39">
        <v>5804400.0007587792</v>
      </c>
      <c r="AF39">
        <v>30</v>
      </c>
      <c r="AG39">
        <v>16722757.987121586</v>
      </c>
      <c r="AH39">
        <v>15476656.313183749</v>
      </c>
      <c r="AI39">
        <v>5805585.6996946661</v>
      </c>
      <c r="AK39">
        <v>30</v>
      </c>
      <c r="AL39">
        <v>16722019.854564955</v>
      </c>
      <c r="AM39">
        <v>15478181.113636011</v>
      </c>
      <c r="AN39">
        <v>5804799.0317990351</v>
      </c>
    </row>
    <row r="40" spans="5:40" x14ac:dyDescent="0.35">
      <c r="E40">
        <v>74.400000000000006</v>
      </c>
      <c r="F40">
        <v>16722199.999987619</v>
      </c>
      <c r="G40">
        <v>15478400.000022106</v>
      </c>
      <c r="H40">
        <v>5804399.9999902761</v>
      </c>
      <c r="J40">
        <v>74.400000000000006</v>
      </c>
      <c r="K40">
        <v>16722199.99936178</v>
      </c>
      <c r="L40">
        <v>15478400.000707239</v>
      </c>
      <c r="M40">
        <v>5804399.9999309825</v>
      </c>
      <c r="AF40">
        <v>31</v>
      </c>
      <c r="AG40">
        <v>16721544.475921176</v>
      </c>
      <c r="AH40">
        <v>15477920.230036255</v>
      </c>
      <c r="AI40">
        <v>5805535.2940425687</v>
      </c>
      <c r="AK40">
        <v>31</v>
      </c>
      <c r="AL40">
        <v>16721849.349759365</v>
      </c>
      <c r="AM40">
        <v>15478480.756269755</v>
      </c>
      <c r="AN40">
        <v>5804669.8939708816</v>
      </c>
    </row>
    <row r="41" spans="5:40" x14ac:dyDescent="0.35">
      <c r="E41">
        <v>76.800000000000011</v>
      </c>
      <c r="F41">
        <v>16722200.000004757</v>
      </c>
      <c r="G41">
        <v>15478400.000002174</v>
      </c>
      <c r="H41">
        <v>5804399.99999307</v>
      </c>
      <c r="J41">
        <v>76.800000000000011</v>
      </c>
      <c r="K41">
        <v>16722200.000356784</v>
      </c>
      <c r="L41">
        <v>15478399.999735087</v>
      </c>
      <c r="M41">
        <v>5804399.9999081306</v>
      </c>
      <c r="AF41">
        <v>32</v>
      </c>
      <c r="AG41">
        <v>16721116.409874422</v>
      </c>
      <c r="AH41">
        <v>15478699.40552095</v>
      </c>
      <c r="AI41">
        <v>5805184.1846046271</v>
      </c>
      <c r="AK41">
        <v>32</v>
      </c>
      <c r="AL41">
        <v>16721884.89474917</v>
      </c>
      <c r="AM41">
        <v>15478590.134976078</v>
      </c>
      <c r="AN41">
        <v>5804524.9702747529</v>
      </c>
    </row>
    <row r="42" spans="5:40" x14ac:dyDescent="0.35">
      <c r="E42">
        <v>79.200000000000017</v>
      </c>
      <c r="F42">
        <v>16722200.000004506</v>
      </c>
      <c r="G42">
        <v>15478399.999997634</v>
      </c>
      <c r="H42">
        <v>5804399.9999978598</v>
      </c>
      <c r="J42">
        <v>79.200000000000017</v>
      </c>
      <c r="K42">
        <v>16722199.999863164</v>
      </c>
      <c r="L42">
        <v>15478400.000058137</v>
      </c>
      <c r="M42">
        <v>5804400.0000787005</v>
      </c>
      <c r="AF42">
        <v>33</v>
      </c>
      <c r="AG42">
        <v>16721209.775262561</v>
      </c>
      <c r="AH42">
        <v>15479009.105056975</v>
      </c>
      <c r="AI42">
        <v>5804781.1196804643</v>
      </c>
      <c r="AK42">
        <v>33</v>
      </c>
      <c r="AL42">
        <v>16722002.067249</v>
      </c>
      <c r="AM42">
        <v>15478578.504142281</v>
      </c>
      <c r="AN42">
        <v>5804419.4286087193</v>
      </c>
    </row>
    <row r="43" spans="5:40" x14ac:dyDescent="0.35">
      <c r="E43">
        <v>81.600000000000023</v>
      </c>
      <c r="F43">
        <v>16722200.000001641</v>
      </c>
      <c r="G43">
        <v>15478399.999998394</v>
      </c>
      <c r="H43">
        <v>5804399.9999999646</v>
      </c>
      <c r="J43">
        <v>81.600000000000023</v>
      </c>
      <c r="K43">
        <v>16722200.000031618</v>
      </c>
      <c r="L43">
        <v>15478400.00000768</v>
      </c>
      <c r="M43">
        <v>5804399.9999607056</v>
      </c>
      <c r="AF43">
        <v>34</v>
      </c>
      <c r="AG43">
        <v>16721541.063719278</v>
      </c>
      <c r="AH43">
        <v>15478991.690999238</v>
      </c>
      <c r="AI43">
        <v>5804467.245281483</v>
      </c>
      <c r="AK43">
        <v>34</v>
      </c>
      <c r="AL43">
        <v>16722118.494390776</v>
      </c>
      <c r="AM43">
        <v>15478515.967209499</v>
      </c>
      <c r="AN43">
        <v>5804365.5383997252</v>
      </c>
    </row>
    <row r="44" spans="5:40" x14ac:dyDescent="0.35">
      <c r="E44">
        <v>84.000000000000028</v>
      </c>
      <c r="F44">
        <v>16722200.000000156</v>
      </c>
      <c r="G44">
        <v>15478399.999999521</v>
      </c>
      <c r="H44">
        <v>5804400.0000003222</v>
      </c>
      <c r="J44">
        <v>84.000000000000028</v>
      </c>
      <c r="K44">
        <v>16722200.000002826</v>
      </c>
      <c r="L44">
        <v>15478399.999983672</v>
      </c>
      <c r="M44">
        <v>5804400.0000135051</v>
      </c>
      <c r="AF44">
        <v>35</v>
      </c>
      <c r="AG44">
        <v>16721898.15697002</v>
      </c>
      <c r="AH44">
        <v>15478813.213925833</v>
      </c>
      <c r="AI44">
        <v>5804288.6291041458</v>
      </c>
      <c r="AK44">
        <v>35</v>
      </c>
      <c r="AL44">
        <v>16722197.22210395</v>
      </c>
      <c r="AM44">
        <v>15478450.513627388</v>
      </c>
      <c r="AN44">
        <v>5804352.2642686637</v>
      </c>
    </row>
    <row r="45" spans="5:40" x14ac:dyDescent="0.35">
      <c r="E45">
        <v>86.400000000000034</v>
      </c>
      <c r="F45">
        <v>16722199.999999821</v>
      </c>
      <c r="G45">
        <v>15478400.000000002</v>
      </c>
      <c r="H45">
        <v>5804400.000000177</v>
      </c>
      <c r="J45">
        <v>86.400000000000034</v>
      </c>
      <c r="K45">
        <v>16722199.999992086</v>
      </c>
      <c r="L45">
        <v>15478400.000010278</v>
      </c>
      <c r="M45">
        <v>5804399.9999976391</v>
      </c>
      <c r="AF45">
        <v>36</v>
      </c>
      <c r="AG45">
        <v>16722165.977999046</v>
      </c>
      <c r="AH45">
        <v>15478604.141023897</v>
      </c>
      <c r="AI45">
        <v>5804229.880977056</v>
      </c>
      <c r="AK45">
        <v>36</v>
      </c>
      <c r="AL45">
        <v>16722233.662274921</v>
      </c>
      <c r="AM45">
        <v>15478404.748098096</v>
      </c>
      <c r="AN45">
        <v>5804361.5896269828</v>
      </c>
    </row>
    <row r="46" spans="5:40" x14ac:dyDescent="0.35">
      <c r="E46">
        <v>88.80000000000004</v>
      </c>
      <c r="F46">
        <v>16722199.999999881</v>
      </c>
      <c r="G46">
        <v>15478400.000000076</v>
      </c>
      <c r="H46">
        <v>5804400.0000000428</v>
      </c>
      <c r="J46">
        <v>88.80000000000004</v>
      </c>
      <c r="K46">
        <v>16722200.000005148</v>
      </c>
      <c r="L46">
        <v>15478399.999995677</v>
      </c>
      <c r="M46">
        <v>5804399.9999991758</v>
      </c>
      <c r="AF46">
        <v>37</v>
      </c>
      <c r="AG46">
        <v>16722311.697732601</v>
      </c>
      <c r="AH46">
        <v>15478439.474975634</v>
      </c>
      <c r="AI46">
        <v>5804248.8272917634</v>
      </c>
      <c r="AK46">
        <v>37</v>
      </c>
      <c r="AL46">
        <v>16722239.313665828</v>
      </c>
      <c r="AM46">
        <v>15478382.559392851</v>
      </c>
      <c r="AN46">
        <v>5804378.1269413214</v>
      </c>
    </row>
    <row r="47" spans="5:40" x14ac:dyDescent="0.35">
      <c r="E47">
        <v>91.200000000000045</v>
      </c>
      <c r="F47">
        <v>16722199.999999965</v>
      </c>
      <c r="G47">
        <v>15478400.000000041</v>
      </c>
      <c r="H47">
        <v>5804399.9999999944</v>
      </c>
      <c r="J47">
        <v>91.200000000000045</v>
      </c>
      <c r="K47">
        <v>16722199.999997783</v>
      </c>
      <c r="L47">
        <v>15478400.000001185</v>
      </c>
      <c r="M47">
        <v>5804400.000001031</v>
      </c>
      <c r="AF47">
        <v>38</v>
      </c>
      <c r="AG47">
        <v>16722353.653123125</v>
      </c>
      <c r="AH47">
        <v>15478344.561222509</v>
      </c>
      <c r="AI47">
        <v>5804301.7856543651</v>
      </c>
      <c r="AK47">
        <v>38</v>
      </c>
      <c r="AL47">
        <v>16722229.249029925</v>
      </c>
      <c r="AM47">
        <v>15478378.137314109</v>
      </c>
      <c r="AN47">
        <v>5804392.6136559667</v>
      </c>
    </row>
    <row r="48" spans="5:40" x14ac:dyDescent="0.35">
      <c r="E48">
        <v>93.600000000000051</v>
      </c>
      <c r="F48">
        <v>16722200</v>
      </c>
      <c r="G48">
        <v>15478400.000000009</v>
      </c>
      <c r="H48">
        <v>5804399.9999999898</v>
      </c>
      <c r="J48">
        <v>93.600000000000051</v>
      </c>
      <c r="K48">
        <v>16722200.00000063</v>
      </c>
      <c r="L48">
        <v>15478399.999999955</v>
      </c>
      <c r="M48">
        <v>5804399.9999994142</v>
      </c>
      <c r="AF48">
        <v>39</v>
      </c>
      <c r="AG48">
        <v>16722330.90134404</v>
      </c>
      <c r="AH48">
        <v>15478312.269937702</v>
      </c>
      <c r="AI48">
        <v>5804356.8287182571</v>
      </c>
      <c r="AK48">
        <v>39</v>
      </c>
      <c r="AL48">
        <v>16722215.317905987</v>
      </c>
      <c r="AM48">
        <v>15478383.156703955</v>
      </c>
      <c r="AN48">
        <v>5804401.5253900588</v>
      </c>
    </row>
    <row r="49" spans="5:40" x14ac:dyDescent="0.35">
      <c r="E49">
        <v>96.000000000000057</v>
      </c>
      <c r="F49">
        <v>16722200.000000006</v>
      </c>
      <c r="G49">
        <v>15478399.999999998</v>
      </c>
      <c r="H49">
        <v>5804399.9999999953</v>
      </c>
      <c r="J49">
        <v>96.000000000000057</v>
      </c>
      <c r="K49">
        <v>16722199.999999965</v>
      </c>
      <c r="L49">
        <v>15478399.99999981</v>
      </c>
      <c r="M49">
        <v>5804400.0000002272</v>
      </c>
      <c r="AF49">
        <v>40</v>
      </c>
      <c r="AG49">
        <v>16722281.822138159</v>
      </c>
      <c r="AH49">
        <v>15478321.028204549</v>
      </c>
      <c r="AI49">
        <v>5804397.1496572914</v>
      </c>
      <c r="AK49">
        <v>40</v>
      </c>
      <c r="AL49">
        <v>16722204.111672366</v>
      </c>
      <c r="AM49">
        <v>15478390.828472307</v>
      </c>
      <c r="AN49">
        <v>5804405.0598553289</v>
      </c>
    </row>
    <row r="50" spans="5:40" x14ac:dyDescent="0.35">
      <c r="E50">
        <v>98.400000000000063</v>
      </c>
      <c r="F50">
        <v>16722200.000000004</v>
      </c>
      <c r="G50">
        <v>15478399.999999998</v>
      </c>
      <c r="H50">
        <v>5804399.9999999991</v>
      </c>
      <c r="J50">
        <v>98.400000000000063</v>
      </c>
      <c r="K50">
        <v>16722199.999999907</v>
      </c>
      <c r="L50">
        <v>15478400.000000147</v>
      </c>
      <c r="M50">
        <v>5804399.999999946</v>
      </c>
      <c r="AF50">
        <v>41</v>
      </c>
      <c r="AG50">
        <v>16722233.448045125</v>
      </c>
      <c r="AH50">
        <v>15478348.11529682</v>
      </c>
      <c r="AI50">
        <v>5804418.4366580537</v>
      </c>
      <c r="AK50">
        <v>41</v>
      </c>
      <c r="AL50">
        <v>16722197.7321219</v>
      </c>
      <c r="AM50">
        <v>15478397.235878546</v>
      </c>
      <c r="AN50">
        <v>5804405.0319995563</v>
      </c>
    </row>
    <row r="51" spans="5:40" x14ac:dyDescent="0.35">
      <c r="E51">
        <v>100.80000000000007</v>
      </c>
      <c r="F51">
        <v>16722200.000000002</v>
      </c>
      <c r="G51">
        <v>15478400</v>
      </c>
      <c r="H51">
        <v>5804400</v>
      </c>
      <c r="J51">
        <v>100.80000000000007</v>
      </c>
      <c r="K51">
        <v>16722200.000000073</v>
      </c>
      <c r="L51">
        <v>15478399.999999931</v>
      </c>
      <c r="M51">
        <v>5804399.9999999953</v>
      </c>
      <c r="AF51">
        <v>42</v>
      </c>
      <c r="AG51">
        <v>16722199.300599707</v>
      </c>
      <c r="AH51">
        <v>15478376.741678037</v>
      </c>
      <c r="AI51">
        <v>5804423.957722255</v>
      </c>
      <c r="AK51">
        <v>42</v>
      </c>
      <c r="AL51">
        <v>16722195.579317475</v>
      </c>
      <c r="AM51">
        <v>15478401.016122079</v>
      </c>
      <c r="AN51">
        <v>5804403.4045604486</v>
      </c>
    </row>
    <row r="52" spans="5:40" x14ac:dyDescent="0.35">
      <c r="E52">
        <v>103.20000000000007</v>
      </c>
      <c r="F52">
        <v>16722200</v>
      </c>
      <c r="G52">
        <v>15478400</v>
      </c>
      <c r="H52">
        <v>5804400</v>
      </c>
      <c r="J52">
        <v>103.20000000000007</v>
      </c>
      <c r="K52">
        <v>16722199.999999966</v>
      </c>
      <c r="L52">
        <v>15478400.00000002</v>
      </c>
      <c r="M52">
        <v>5804400.0000000121</v>
      </c>
      <c r="AF52">
        <v>43</v>
      </c>
      <c r="AG52">
        <v>16722182.165519862</v>
      </c>
      <c r="AH52">
        <v>15478397.942459149</v>
      </c>
      <c r="AI52">
        <v>5804419.8920209873</v>
      </c>
      <c r="AK52">
        <v>43</v>
      </c>
      <c r="AL52">
        <v>16722196.025922528</v>
      </c>
      <c r="AM52">
        <v>15478402.396952873</v>
      </c>
      <c r="AN52">
        <v>5804401.5771246031</v>
      </c>
    </row>
    <row r="53" spans="5:40" x14ac:dyDescent="0.35">
      <c r="E53">
        <v>105.60000000000008</v>
      </c>
      <c r="F53">
        <v>16722200</v>
      </c>
      <c r="G53">
        <v>15478400</v>
      </c>
      <c r="H53">
        <v>5804400</v>
      </c>
      <c r="J53">
        <v>105.60000000000008</v>
      </c>
      <c r="K53">
        <v>16722200.000000013</v>
      </c>
      <c r="L53">
        <v>15478399.999999996</v>
      </c>
      <c r="M53">
        <v>5804399.9999999907</v>
      </c>
      <c r="AF53">
        <v>44</v>
      </c>
      <c r="AG53">
        <v>16722178.579630731</v>
      </c>
      <c r="AH53">
        <v>15478409.295326505</v>
      </c>
      <c r="AI53">
        <v>5804412.1250427626</v>
      </c>
      <c r="AK53">
        <v>44</v>
      </c>
      <c r="AL53">
        <v>16722197.502935337</v>
      </c>
      <c r="AM53">
        <v>15478402.251224441</v>
      </c>
      <c r="AN53">
        <v>5804400.2458402235</v>
      </c>
    </row>
    <row r="54" spans="5:40" x14ac:dyDescent="0.35">
      <c r="E54">
        <v>108.00000000000009</v>
      </c>
      <c r="F54">
        <v>16722200</v>
      </c>
      <c r="G54">
        <v>15478400</v>
      </c>
      <c r="H54">
        <v>5804400</v>
      </c>
      <c r="J54">
        <v>108.00000000000009</v>
      </c>
      <c r="K54">
        <v>16722199.999999998</v>
      </c>
      <c r="L54">
        <v>15478399.999999998</v>
      </c>
      <c r="M54">
        <v>5804400.0000000037</v>
      </c>
      <c r="AF54">
        <v>45</v>
      </c>
      <c r="AG54">
        <v>16722182.900295215</v>
      </c>
      <c r="AH54">
        <v>15478412.393902648</v>
      </c>
      <c r="AI54">
        <v>5804404.7058021352</v>
      </c>
      <c r="AK54">
        <v>45</v>
      </c>
      <c r="AL54">
        <v>16722198.971216079</v>
      </c>
      <c r="AM54">
        <v>15478401.46296367</v>
      </c>
      <c r="AN54">
        <v>5804399.5658202544</v>
      </c>
    </row>
    <row r="55" spans="5:40" x14ac:dyDescent="0.35">
      <c r="E55">
        <v>110.40000000000009</v>
      </c>
      <c r="F55">
        <v>16722200</v>
      </c>
      <c r="G55">
        <v>15478400</v>
      </c>
      <c r="H55">
        <v>5804400</v>
      </c>
      <c r="J55">
        <v>110.40000000000009</v>
      </c>
      <c r="K55">
        <v>16722200</v>
      </c>
      <c r="L55">
        <v>15478400.000000002</v>
      </c>
      <c r="M55">
        <v>5804399.9999999991</v>
      </c>
      <c r="AF55">
        <v>46</v>
      </c>
      <c r="AG55">
        <v>16722189.996159174</v>
      </c>
      <c r="AH55">
        <v>15478410.413685817</v>
      </c>
      <c r="AI55">
        <v>5804399.5901550073</v>
      </c>
      <c r="AK55">
        <v>46</v>
      </c>
      <c r="AL55">
        <v>16722199.964356085</v>
      </c>
      <c r="AM55">
        <v>15478400.637542358</v>
      </c>
      <c r="AN55">
        <v>5804399.3981015598</v>
      </c>
    </row>
    <row r="56" spans="5:40" x14ac:dyDescent="0.35">
      <c r="E56">
        <v>112.8000000000001</v>
      </c>
      <c r="F56">
        <v>16722200</v>
      </c>
      <c r="G56">
        <v>15478400</v>
      </c>
      <c r="H56">
        <v>5804400</v>
      </c>
      <c r="J56">
        <v>112.8000000000001</v>
      </c>
      <c r="K56">
        <v>16722200</v>
      </c>
      <c r="L56">
        <v>15478400</v>
      </c>
      <c r="M56">
        <v>5804400.0000000009</v>
      </c>
      <c r="AF56">
        <v>47</v>
      </c>
      <c r="AG56">
        <v>16722196.466561086</v>
      </c>
      <c r="AH56">
        <v>15478406.422840565</v>
      </c>
      <c r="AI56">
        <v>5804397.1105983471</v>
      </c>
      <c r="AK56">
        <v>47</v>
      </c>
      <c r="AL56">
        <v>16722200.424235357</v>
      </c>
      <c r="AM56">
        <v>15478400.060234319</v>
      </c>
      <c r="AN56">
        <v>5804399.5155303255</v>
      </c>
    </row>
    <row r="57" spans="5:40" x14ac:dyDescent="0.35">
      <c r="E57">
        <v>115.2000000000001</v>
      </c>
      <c r="F57">
        <v>16722200</v>
      </c>
      <c r="G57">
        <v>15478400</v>
      </c>
      <c r="H57">
        <v>5804400</v>
      </c>
      <c r="J57">
        <v>115.2000000000001</v>
      </c>
      <c r="K57">
        <v>16722200</v>
      </c>
      <c r="L57">
        <v>15478400.000000002</v>
      </c>
      <c r="M57">
        <v>5804399.9999999991</v>
      </c>
      <c r="AF57">
        <v>48</v>
      </c>
      <c r="AG57">
        <v>16722200.764406033</v>
      </c>
      <c r="AH57">
        <v>15478402.555415116</v>
      </c>
      <c r="AI57">
        <v>5804396.6801788518</v>
      </c>
      <c r="AK57">
        <v>48</v>
      </c>
      <c r="AL57">
        <v>16722200.495743508</v>
      </c>
      <c r="AM57">
        <v>15478399.780227493</v>
      </c>
      <c r="AN57">
        <v>5804399.7240290008</v>
      </c>
    </row>
    <row r="58" spans="5:40" x14ac:dyDescent="0.35">
      <c r="E58">
        <v>117.60000000000011</v>
      </c>
      <c r="F58">
        <v>16722200</v>
      </c>
      <c r="G58">
        <v>15478400</v>
      </c>
      <c r="H58">
        <v>5804400</v>
      </c>
      <c r="J58">
        <v>117.60000000000011</v>
      </c>
      <c r="K58">
        <v>16722200</v>
      </c>
      <c r="L58">
        <v>15478400</v>
      </c>
      <c r="M58">
        <v>5804400.0000000009</v>
      </c>
      <c r="AF58">
        <v>49</v>
      </c>
      <c r="AG58">
        <v>16722202.727140592</v>
      </c>
      <c r="AH58">
        <v>15478399.859416489</v>
      </c>
      <c r="AI58">
        <v>5804397.413442919</v>
      </c>
      <c r="AK58">
        <v>49</v>
      </c>
      <c r="AL58">
        <v>16722200.368939053</v>
      </c>
      <c r="AM58">
        <v>15478399.724322753</v>
      </c>
      <c r="AN58">
        <v>5804399.9067381937</v>
      </c>
    </row>
    <row r="59" spans="5:40" x14ac:dyDescent="0.35">
      <c r="E59">
        <v>120.00000000000011</v>
      </c>
      <c r="F59">
        <v>16722200</v>
      </c>
      <c r="G59">
        <v>15478400</v>
      </c>
      <c r="H59">
        <v>5804400</v>
      </c>
      <c r="J59">
        <v>120.00000000000011</v>
      </c>
      <c r="K59">
        <v>16722200</v>
      </c>
      <c r="L59">
        <v>15478400.000000002</v>
      </c>
      <c r="M59">
        <v>5804399.9999999991</v>
      </c>
      <c r="AF59">
        <v>50</v>
      </c>
      <c r="AG59">
        <v>16722202.941704599</v>
      </c>
      <c r="AH59">
        <v>15478398.531044262</v>
      </c>
      <c r="AI59">
        <v>5804398.5272511384</v>
      </c>
      <c r="AK59">
        <v>50</v>
      </c>
      <c r="AL59">
        <v>16722200.19328277</v>
      </c>
      <c r="AM59">
        <v>15478399.787549477</v>
      </c>
      <c r="AN59">
        <v>5804400.0191677529</v>
      </c>
    </row>
    <row r="60" spans="5:40" x14ac:dyDescent="0.35">
      <c r="AF60">
        <v>51</v>
      </c>
      <c r="AG60">
        <v>16722202.20726091</v>
      </c>
      <c r="AH60">
        <v>15478398.277811857</v>
      </c>
      <c r="AI60">
        <v>5804399.5149272308</v>
      </c>
      <c r="AK60">
        <v>51</v>
      </c>
      <c r="AL60">
        <v>16722200.051939325</v>
      </c>
      <c r="AM60">
        <v>15478399.884277983</v>
      </c>
      <c r="AN60">
        <v>5804400.063782692</v>
      </c>
    </row>
    <row r="61" spans="5:40" x14ac:dyDescent="0.35">
      <c r="AF61">
        <v>52</v>
      </c>
      <c r="AG61">
        <v>16722201.201595953</v>
      </c>
      <c r="AH61">
        <v>15478398.642995771</v>
      </c>
      <c r="AI61">
        <v>5804400.1554082753</v>
      </c>
      <c r="AK61">
        <v>52</v>
      </c>
      <c r="AL61">
        <v>16722199.971449113</v>
      </c>
      <c r="AM61">
        <v>15478399.965091879</v>
      </c>
      <c r="AN61">
        <v>5804400.063459008</v>
      </c>
    </row>
    <row r="62" spans="5:40" x14ac:dyDescent="0.35">
      <c r="AF62">
        <v>53</v>
      </c>
      <c r="AG62">
        <v>16722200.346559113</v>
      </c>
      <c r="AH62">
        <v>15478399.217434574</v>
      </c>
      <c r="AI62">
        <v>5804400.4360063141</v>
      </c>
      <c r="AK62">
        <v>53</v>
      </c>
      <c r="AL62">
        <v>16722199.944267221</v>
      </c>
      <c r="AM62">
        <v>15478400.012785075</v>
      </c>
      <c r="AN62">
        <v>5804400.0429477021</v>
      </c>
    </row>
    <row r="63" spans="5:40" x14ac:dyDescent="0.35">
      <c r="AF63">
        <v>54</v>
      </c>
      <c r="AG63">
        <v>16722199.813126212</v>
      </c>
      <c r="AH63">
        <v>15478399.73341712</v>
      </c>
      <c r="AI63">
        <v>5804400.4534566691</v>
      </c>
      <c r="AK63">
        <v>54</v>
      </c>
      <c r="AL63">
        <v>16722199.949879227</v>
      </c>
      <c r="AM63">
        <v>15478400.030217404</v>
      </c>
      <c r="AN63">
        <v>5804400.0199033692</v>
      </c>
    </row>
    <row r="64" spans="5:40" x14ac:dyDescent="0.35">
      <c r="AF64">
        <v>55</v>
      </c>
      <c r="AG64">
        <v>16722199.59589429</v>
      </c>
      <c r="AH64">
        <v>15478400.071793692</v>
      </c>
      <c r="AI64">
        <v>5804400.3323120186</v>
      </c>
      <c r="AK64">
        <v>55</v>
      </c>
      <c r="AL64">
        <v>16722199.968497928</v>
      </c>
      <c r="AM64">
        <v>15478400.028391449</v>
      </c>
      <c r="AN64">
        <v>5804400.0031106239</v>
      </c>
    </row>
    <row r="65" spans="32:40" x14ac:dyDescent="0.35">
      <c r="AF65">
        <v>56</v>
      </c>
      <c r="AG65">
        <v>16722199.601467246</v>
      </c>
      <c r="AH65">
        <v>15478400.222994315</v>
      </c>
      <c r="AI65">
        <v>5804400.1755384412</v>
      </c>
      <c r="AK65">
        <v>56</v>
      </c>
      <c r="AL65">
        <v>16722199.987014567</v>
      </c>
      <c r="AM65">
        <v>15478400.018455628</v>
      </c>
      <c r="AN65">
        <v>5804399.9945298051</v>
      </c>
    </row>
    <row r="66" spans="32:40" x14ac:dyDescent="0.35">
      <c r="AF66">
        <v>57</v>
      </c>
      <c r="AG66">
        <v>16722199.718553726</v>
      </c>
      <c r="AH66">
        <v>15478400.235822968</v>
      </c>
      <c r="AI66">
        <v>5804400.045623308</v>
      </c>
      <c r="AK66">
        <v>57</v>
      </c>
      <c r="AL66">
        <v>16722199.999542795</v>
      </c>
      <c r="AM66">
        <v>15478400.00804648</v>
      </c>
      <c r="AN66">
        <v>5804399.992410725</v>
      </c>
    </row>
    <row r="67" spans="32:40" x14ac:dyDescent="0.35">
      <c r="AF67">
        <v>58</v>
      </c>
      <c r="AG67">
        <v>16722199.858684149</v>
      </c>
      <c r="AH67">
        <v>15478400.174726471</v>
      </c>
      <c r="AI67">
        <v>5804399.966589381</v>
      </c>
      <c r="AK67">
        <v>58</v>
      </c>
      <c r="AL67">
        <v>16722200.005346492</v>
      </c>
      <c r="AM67">
        <v>15478400.000764092</v>
      </c>
      <c r="AN67">
        <v>5804399.9938894156</v>
      </c>
    </row>
    <row r="68" spans="32:40" x14ac:dyDescent="0.35">
      <c r="AF68">
        <v>59</v>
      </c>
      <c r="AG68">
        <v>16722199.970338622</v>
      </c>
      <c r="AH68">
        <v>15478400.093616471</v>
      </c>
      <c r="AI68">
        <v>5804399.9360449081</v>
      </c>
      <c r="AK68">
        <v>59</v>
      </c>
      <c r="AL68">
        <v>16722200.006251296</v>
      </c>
      <c r="AM68">
        <v>15478399.997230606</v>
      </c>
      <c r="AN68">
        <v>5804399.9965180978</v>
      </c>
    </row>
    <row r="69" spans="32:40" x14ac:dyDescent="0.35">
      <c r="AF69">
        <v>60</v>
      </c>
      <c r="AG69">
        <v>16722200.035525966</v>
      </c>
      <c r="AH69">
        <v>15478400.025600035</v>
      </c>
      <c r="AI69">
        <v>5804399.9388739979</v>
      </c>
      <c r="AK69">
        <v>60</v>
      </c>
      <c r="AL69">
        <v>16722200.004653694</v>
      </c>
      <c r="AM69">
        <v>15478399.996523852</v>
      </c>
      <c r="AN69">
        <v>5804399.9988224534</v>
      </c>
    </row>
    <row r="70" spans="32:40" x14ac:dyDescent="0.35">
      <c r="AF70">
        <v>61</v>
      </c>
      <c r="AG70">
        <v>16722200.058434492</v>
      </c>
      <c r="AH70">
        <v>15478399.983730761</v>
      </c>
      <c r="AI70">
        <v>5804399.9578347458</v>
      </c>
      <c r="AK70">
        <v>61</v>
      </c>
      <c r="AL70">
        <v>16722200.002438862</v>
      </c>
      <c r="AM70">
        <v>15478399.997320283</v>
      </c>
      <c r="AN70">
        <v>5804400.000240854</v>
      </c>
    </row>
    <row r="71" spans="32:40" x14ac:dyDescent="0.35">
      <c r="AF71">
        <v>62</v>
      </c>
      <c r="AG71">
        <v>16722200.05331159</v>
      </c>
      <c r="AH71">
        <v>15478399.967139309</v>
      </c>
      <c r="AI71">
        <v>5804399.9795490997</v>
      </c>
      <c r="AK71">
        <v>62</v>
      </c>
      <c r="AL71">
        <v>16722200.000656106</v>
      </c>
      <c r="AM71">
        <v>15478399.998539872</v>
      </c>
      <c r="AN71">
        <v>5804400.0008040201</v>
      </c>
    </row>
    <row r="72" spans="32:40" x14ac:dyDescent="0.35">
      <c r="AF72">
        <v>63</v>
      </c>
      <c r="AG72">
        <v>16722200.035426695</v>
      </c>
      <c r="AH72">
        <v>15478399.968137322</v>
      </c>
      <c r="AI72">
        <v>5804399.9964359831</v>
      </c>
      <c r="AK72">
        <v>63</v>
      </c>
      <c r="AL72">
        <v>16722199.999640567</v>
      </c>
      <c r="AM72">
        <v>15478399.999559144</v>
      </c>
      <c r="AN72">
        <v>5804400.0008002864</v>
      </c>
    </row>
    <row r="73" spans="32:40" x14ac:dyDescent="0.35">
      <c r="AF73">
        <v>64</v>
      </c>
      <c r="AG73">
        <v>16722200.016190428</v>
      </c>
      <c r="AH73">
        <v>15478399.977778846</v>
      </c>
      <c r="AI73">
        <v>5804400.0060307253</v>
      </c>
      <c r="AK73">
        <v>64</v>
      </c>
      <c r="AL73">
        <v>16722199.999297362</v>
      </c>
      <c r="AM73">
        <v>15478400.000160862</v>
      </c>
      <c r="AN73">
        <v>5804400.0005417736</v>
      </c>
    </row>
    <row r="74" spans="32:40" x14ac:dyDescent="0.35">
      <c r="AF74">
        <v>65</v>
      </c>
      <c r="AG74">
        <v>16722200.001783051</v>
      </c>
      <c r="AH74">
        <v>15478399.989044243</v>
      </c>
      <c r="AI74">
        <v>5804400.0091727069</v>
      </c>
      <c r="AK74">
        <v>65</v>
      </c>
      <c r="AL74">
        <v>16722199.999367882</v>
      </c>
      <c r="AM74">
        <v>15478400.000380937</v>
      </c>
      <c r="AN74">
        <v>5804400.0002511796</v>
      </c>
    </row>
    <row r="75" spans="32:40" x14ac:dyDescent="0.35">
      <c r="AF75">
        <v>66</v>
      </c>
      <c r="AG75">
        <v>16722199.99395767</v>
      </c>
      <c r="AH75">
        <v>15478399.997904301</v>
      </c>
      <c r="AI75">
        <v>5804400.008138028</v>
      </c>
      <c r="AK75">
        <v>66</v>
      </c>
      <c r="AL75">
        <v>16722199.999602584</v>
      </c>
      <c r="AM75">
        <v>15478400.00035806</v>
      </c>
      <c r="AN75">
        <v>5804400.0000393568</v>
      </c>
    </row>
    <row r="76" spans="32:40" x14ac:dyDescent="0.35">
      <c r="AF76">
        <v>67</v>
      </c>
      <c r="AG76">
        <v>16722199.991717268</v>
      </c>
      <c r="AH76">
        <v>15478400.003003109</v>
      </c>
      <c r="AI76">
        <v>5804400.005279623</v>
      </c>
      <c r="AK76">
        <v>67</v>
      </c>
      <c r="AL76">
        <v>16722199.999836098</v>
      </c>
      <c r="AM76">
        <v>15478400.000232821</v>
      </c>
      <c r="AN76">
        <v>5804399.9999310812</v>
      </c>
    </row>
    <row r="77" spans="32:40" x14ac:dyDescent="0.35">
      <c r="AF77">
        <v>68</v>
      </c>
      <c r="AG77">
        <v>16722199.9929545</v>
      </c>
      <c r="AH77">
        <v>15478400.004730644</v>
      </c>
      <c r="AI77">
        <v>5804400.0023148572</v>
      </c>
      <c r="AK77">
        <v>68</v>
      </c>
      <c r="AL77">
        <v>16722199.999994138</v>
      </c>
      <c r="AM77">
        <v>15478400.000101555</v>
      </c>
      <c r="AN77">
        <v>5804399.9999043075</v>
      </c>
    </row>
    <row r="78" spans="32:40" x14ac:dyDescent="0.35">
      <c r="AF78">
        <v>69</v>
      </c>
      <c r="AG78">
        <v>16722199.995602513</v>
      </c>
      <c r="AH78">
        <v>15478400.004251409</v>
      </c>
      <c r="AI78">
        <v>5804400.0001460779</v>
      </c>
      <c r="AK78">
        <v>69</v>
      </c>
      <c r="AL78">
        <v>16722200.000067381</v>
      </c>
      <c r="AM78">
        <v>15478400.000009693</v>
      </c>
      <c r="AN78">
        <v>5804399.9999229275</v>
      </c>
    </row>
    <row r="79" spans="32:40" x14ac:dyDescent="0.35">
      <c r="AF79">
        <v>70</v>
      </c>
      <c r="AG79">
        <v>16722199.998207565</v>
      </c>
      <c r="AH79">
        <v>15478400.002789261</v>
      </c>
      <c r="AI79">
        <v>5804399.9990031747</v>
      </c>
      <c r="AK79">
        <v>70</v>
      </c>
      <c r="AL79">
        <v>16722200.000078829</v>
      </c>
      <c r="AM79">
        <v>15478399.999965103</v>
      </c>
      <c r="AN79">
        <v>5804399.9999560686</v>
      </c>
    </row>
    <row r="80" spans="32:40" x14ac:dyDescent="0.35">
      <c r="AF80">
        <v>71</v>
      </c>
      <c r="AG80">
        <v>16722200.000043953</v>
      </c>
      <c r="AH80">
        <v>15478400.001247305</v>
      </c>
      <c r="AI80">
        <v>5804399.9987087417</v>
      </c>
      <c r="AK80">
        <v>71</v>
      </c>
      <c r="AL80">
        <v>16722200.000058701</v>
      </c>
      <c r="AM80">
        <v>15478399.999956168</v>
      </c>
      <c r="AN80">
        <v>5804399.9999851324</v>
      </c>
    </row>
    <row r="81" spans="32:40" x14ac:dyDescent="0.35">
      <c r="AF81">
        <v>72</v>
      </c>
      <c r="AG81">
        <v>16722200.00096363</v>
      </c>
      <c r="AH81">
        <v>15478400.000106905</v>
      </c>
      <c r="AI81">
        <v>5804399.9989294643</v>
      </c>
      <c r="AK81">
        <v>72</v>
      </c>
      <c r="AL81">
        <v>16722200.000030775</v>
      </c>
      <c r="AM81">
        <v>15478399.9999662</v>
      </c>
      <c r="AN81">
        <v>5804400.0000030268</v>
      </c>
    </row>
    <row r="82" spans="32:40" x14ac:dyDescent="0.35">
      <c r="AF82">
        <v>73</v>
      </c>
      <c r="AG82">
        <v>16722200.001154255</v>
      </c>
      <c r="AH82">
        <v>15478399.999497309</v>
      </c>
      <c r="AI82">
        <v>5804399.9993484346</v>
      </c>
      <c r="AK82">
        <v>73</v>
      </c>
      <c r="AL82">
        <v>16722200.000008289</v>
      </c>
      <c r="AM82">
        <v>15478399.999981578</v>
      </c>
      <c r="AN82">
        <v>5804400.0000101356</v>
      </c>
    </row>
    <row r="83" spans="32:40" x14ac:dyDescent="0.35">
      <c r="AF83">
        <v>74</v>
      </c>
      <c r="AG83">
        <v>16722200.000920111</v>
      </c>
      <c r="AH83">
        <v>15478399.999331955</v>
      </c>
      <c r="AI83">
        <v>5804399.9997479338</v>
      </c>
      <c r="AK83">
        <v>74</v>
      </c>
      <c r="AL83">
        <v>16722199.999995476</v>
      </c>
      <c r="AM83">
        <v>15478399.999994434</v>
      </c>
      <c r="AN83">
        <v>5804400.0000100927</v>
      </c>
    </row>
    <row r="84" spans="32:40" x14ac:dyDescent="0.35">
      <c r="AF84">
        <v>75</v>
      </c>
      <c r="AG84">
        <v>16722200.000537451</v>
      </c>
      <c r="AH84">
        <v>15478399.999439534</v>
      </c>
      <c r="AI84">
        <v>5804400.000023013</v>
      </c>
      <c r="AK84">
        <v>75</v>
      </c>
      <c r="AL84">
        <v>16722199.999991141</v>
      </c>
      <c r="AM84">
        <v>15478400.000002027</v>
      </c>
      <c r="AN84">
        <v>5804400.000006834</v>
      </c>
    </row>
    <row r="85" spans="32:40" x14ac:dyDescent="0.35">
      <c r="AF85">
        <v>76</v>
      </c>
      <c r="AG85">
        <v>16722200.000189103</v>
      </c>
      <c r="AH85">
        <v>15478399.999654831</v>
      </c>
      <c r="AI85">
        <v>5804400.0001560645</v>
      </c>
      <c r="AK85">
        <v>76</v>
      </c>
      <c r="AL85">
        <v>16722199.999992028</v>
      </c>
      <c r="AM85">
        <v>15478400.000004804</v>
      </c>
      <c r="AN85">
        <v>5804400.0000031702</v>
      </c>
    </row>
    <row r="86" spans="32:40" x14ac:dyDescent="0.35">
      <c r="AF86">
        <v>77</v>
      </c>
      <c r="AG86">
        <v>16722199.999958042</v>
      </c>
      <c r="AH86">
        <v>15478399.99986309</v>
      </c>
      <c r="AI86">
        <v>5804400.000178868</v>
      </c>
      <c r="AK86">
        <v>77</v>
      </c>
      <c r="AL86">
        <v>16722199.999994986</v>
      </c>
      <c r="AM86">
        <v>15478400.000004517</v>
      </c>
      <c r="AN86">
        <v>5804400.0000004983</v>
      </c>
    </row>
    <row r="87" spans="32:40" x14ac:dyDescent="0.35">
      <c r="AF87">
        <v>78</v>
      </c>
      <c r="AG87">
        <v>16722199.999852769</v>
      </c>
      <c r="AH87">
        <v>15478400.000008067</v>
      </c>
      <c r="AI87">
        <v>5804400.0001391638</v>
      </c>
      <c r="AK87">
        <v>78</v>
      </c>
      <c r="AL87">
        <v>16722199.999997931</v>
      </c>
      <c r="AM87">
        <v>15478400.000002939</v>
      </c>
      <c r="AN87">
        <v>5804399.9999991311</v>
      </c>
    </row>
    <row r="88" spans="32:40" x14ac:dyDescent="0.35">
      <c r="AF88">
        <v>79</v>
      </c>
      <c r="AG88">
        <v>16722199.999841535</v>
      </c>
      <c r="AH88">
        <v>15478400.000079354</v>
      </c>
      <c r="AI88">
        <v>5804400.0000791093</v>
      </c>
      <c r="AK88">
        <v>79</v>
      </c>
      <c r="AL88">
        <v>16722199.999999925</v>
      </c>
      <c r="AM88">
        <v>15478400.000001283</v>
      </c>
      <c r="AN88">
        <v>5804399.9999987921</v>
      </c>
    </row>
    <row r="89" spans="32:40" x14ac:dyDescent="0.35">
      <c r="AF89">
        <v>80</v>
      </c>
      <c r="AG89">
        <v>16722199.999881264</v>
      </c>
      <c r="AH89">
        <v>15478400.000092795</v>
      </c>
      <c r="AI89">
        <v>5804400.0000259411</v>
      </c>
      <c r="AK89">
        <v>80</v>
      </c>
      <c r="AL89">
        <v>16722200.000000851</v>
      </c>
      <c r="AM89">
        <v>15478400.000000123</v>
      </c>
      <c r="AN89">
        <v>5804399.9999990268</v>
      </c>
    </row>
    <row r="90" spans="32:40" x14ac:dyDescent="0.35">
      <c r="AF90">
        <v>81</v>
      </c>
      <c r="AG90">
        <v>16722199.999935474</v>
      </c>
      <c r="AH90">
        <v>15478400.000073014</v>
      </c>
      <c r="AI90">
        <v>5804399.9999915119</v>
      </c>
      <c r="AK90">
        <v>81</v>
      </c>
      <c r="AL90">
        <v>16722200.000000997</v>
      </c>
      <c r="AM90">
        <v>15478399.99999956</v>
      </c>
      <c r="AN90">
        <v>5804399.9999994449</v>
      </c>
    </row>
    <row r="91" spans="32:40" x14ac:dyDescent="0.35">
      <c r="AF91">
        <v>82</v>
      </c>
      <c r="AG91">
        <v>16722199.999981495</v>
      </c>
      <c r="AH91">
        <v>15478400.00004204</v>
      </c>
      <c r="AI91">
        <v>5804399.9999764664</v>
      </c>
      <c r="AK91">
        <v>82</v>
      </c>
      <c r="AL91">
        <v>16722200.000000743</v>
      </c>
      <c r="AM91">
        <v>15478399.999999447</v>
      </c>
      <c r="AN91">
        <v>5804399.9999998119</v>
      </c>
    </row>
    <row r="92" spans="32:40" x14ac:dyDescent="0.35">
      <c r="AF92">
        <v>83</v>
      </c>
      <c r="AG92">
        <v>16722200.000010163</v>
      </c>
      <c r="AH92">
        <v>15478400.000014262</v>
      </c>
      <c r="AI92">
        <v>5804399.9999755751</v>
      </c>
      <c r="AK92">
        <v>83</v>
      </c>
      <c r="AL92">
        <v>16722200.000000389</v>
      </c>
      <c r="AM92">
        <v>15478399.999999573</v>
      </c>
      <c r="AN92">
        <v>5804400.0000000382</v>
      </c>
    </row>
    <row r="93" spans="32:40" x14ac:dyDescent="0.35">
      <c r="AF93">
        <v>84</v>
      </c>
      <c r="AG93">
        <v>16722200.000021804</v>
      </c>
      <c r="AH93">
        <v>15478399.999996072</v>
      </c>
      <c r="AI93">
        <v>5804399.9999821251</v>
      </c>
      <c r="AK93">
        <v>84</v>
      </c>
      <c r="AL93">
        <v>16722200.000000104</v>
      </c>
      <c r="AM93">
        <v>15478399.999999767</v>
      </c>
      <c r="AN93">
        <v>5804400.0000001276</v>
      </c>
    </row>
    <row r="94" spans="32:40" x14ac:dyDescent="0.35">
      <c r="AF94">
        <v>85</v>
      </c>
      <c r="AG94">
        <v>16722200.000021463</v>
      </c>
      <c r="AH94">
        <v>15478399.999987964</v>
      </c>
      <c r="AI94">
        <v>5804399.999990575</v>
      </c>
      <c r="AK94">
        <v>85</v>
      </c>
      <c r="AL94">
        <v>16722199.999999942</v>
      </c>
      <c r="AM94">
        <v>15478399.999999929</v>
      </c>
      <c r="AN94">
        <v>5804400.0000001276</v>
      </c>
    </row>
    <row r="95" spans="32:40" x14ac:dyDescent="0.35">
      <c r="AF95">
        <v>86</v>
      </c>
      <c r="AG95">
        <v>16722200.000015136</v>
      </c>
      <c r="AH95">
        <v>15478399.999987299</v>
      </c>
      <c r="AI95">
        <v>5804399.9999975665</v>
      </c>
      <c r="AK95">
        <v>86</v>
      </c>
      <c r="AL95">
        <v>16722199.999999888</v>
      </c>
      <c r="AM95">
        <v>15478400.000000024</v>
      </c>
      <c r="AN95">
        <v>5804400.0000000866</v>
      </c>
    </row>
    <row r="96" spans="32:40" x14ac:dyDescent="0.35">
      <c r="AF96">
        <v>87</v>
      </c>
      <c r="AG96">
        <v>16722200.000007585</v>
      </c>
      <c r="AH96">
        <v>15478399.999990603</v>
      </c>
      <c r="AI96">
        <v>5804400.0000018133</v>
      </c>
      <c r="AK96">
        <v>87</v>
      </c>
      <c r="AL96">
        <v>16722199.999999899</v>
      </c>
      <c r="AM96">
        <v>15478400.00000006</v>
      </c>
      <c r="AN96">
        <v>5804400.00000004</v>
      </c>
    </row>
    <row r="97" spans="32:40" x14ac:dyDescent="0.35">
      <c r="AF97">
        <v>88</v>
      </c>
      <c r="AG97">
        <v>16722200.000001578</v>
      </c>
      <c r="AH97">
        <v>15478399.999994975</v>
      </c>
      <c r="AI97">
        <v>5804400.0000034496</v>
      </c>
      <c r="AK97">
        <v>88</v>
      </c>
      <c r="AL97">
        <v>16722199.999999937</v>
      </c>
      <c r="AM97">
        <v>15478400.000000056</v>
      </c>
      <c r="AN97">
        <v>5804400.0000000056</v>
      </c>
    </row>
    <row r="98" spans="32:40" x14ac:dyDescent="0.35">
      <c r="AF98">
        <v>89</v>
      </c>
      <c r="AG98">
        <v>16722199.999998076</v>
      </c>
      <c r="AH98">
        <v>15478399.999998635</v>
      </c>
      <c r="AI98">
        <v>5804400.0000032913</v>
      </c>
      <c r="AK98">
        <v>89</v>
      </c>
      <c r="AL98">
        <v>16722199.999999976</v>
      </c>
      <c r="AM98">
        <v>15478400.000000035</v>
      </c>
      <c r="AN98">
        <v>5804399.9999999879</v>
      </c>
    </row>
    <row r="99" spans="32:40" x14ac:dyDescent="0.35">
      <c r="AF99">
        <v>90</v>
      </c>
      <c r="AG99">
        <v>16722199.999996848</v>
      </c>
      <c r="AH99">
        <v>15478400.000000885</v>
      </c>
      <c r="AI99">
        <v>5804400.0000022668</v>
      </c>
      <c r="AK99">
        <v>90</v>
      </c>
      <c r="AL99">
        <v>16722200.000000002</v>
      </c>
      <c r="AM99">
        <v>15478400.000000015</v>
      </c>
      <c r="AN99">
        <v>5804399.9999999832</v>
      </c>
    </row>
    <row r="100" spans="32:40" x14ac:dyDescent="0.35">
      <c r="AF100">
        <v>91</v>
      </c>
      <c r="AG100">
        <v>16722199.99999713</v>
      </c>
      <c r="AH100">
        <v>15478400.000001773</v>
      </c>
      <c r="AI100">
        <v>5804400.0000010971</v>
      </c>
      <c r="AK100">
        <v>91</v>
      </c>
      <c r="AL100">
        <v>16722200.000000013</v>
      </c>
      <c r="AM100">
        <v>15478400</v>
      </c>
      <c r="AN100">
        <v>5804399.999999987</v>
      </c>
    </row>
    <row r="101" spans="32:40" x14ac:dyDescent="0.35">
      <c r="AF101">
        <v>92</v>
      </c>
      <c r="AG101">
        <v>16722199.999998096</v>
      </c>
      <c r="AH101">
        <v>15478400.000001715</v>
      </c>
      <c r="AI101">
        <v>5804400.0000001881</v>
      </c>
      <c r="AK101">
        <v>92</v>
      </c>
      <c r="AL101">
        <v>16722200.000000015</v>
      </c>
      <c r="AM101">
        <v>15478399.999999994</v>
      </c>
      <c r="AN101">
        <v>5804399.9999999925</v>
      </c>
    </row>
    <row r="102" spans="32:40" x14ac:dyDescent="0.35">
      <c r="AF102">
        <v>93</v>
      </c>
      <c r="AG102">
        <v>16722199.999999132</v>
      </c>
      <c r="AH102">
        <v>15478400.000001194</v>
      </c>
      <c r="AI102">
        <v>5804399.9999996731</v>
      </c>
      <c r="AK102">
        <v>93</v>
      </c>
      <c r="AL102">
        <v>16722200.000000011</v>
      </c>
      <c r="AM102">
        <v>15478399.999999993</v>
      </c>
      <c r="AN102">
        <v>5804399.9999999972</v>
      </c>
    </row>
    <row r="103" spans="32:40" x14ac:dyDescent="0.35">
      <c r="AF103">
        <v>94</v>
      </c>
      <c r="AG103">
        <v>16722199.999999907</v>
      </c>
      <c r="AH103">
        <v>15478400.000000587</v>
      </c>
      <c r="AI103">
        <v>5804399.9999995055</v>
      </c>
      <c r="AK103">
        <v>94</v>
      </c>
      <c r="AL103">
        <v>16722200.000000006</v>
      </c>
      <c r="AM103">
        <v>15478399.999999994</v>
      </c>
      <c r="AN103">
        <v>5804400</v>
      </c>
    </row>
    <row r="104" spans="32:40" x14ac:dyDescent="0.35">
      <c r="AF104">
        <v>95</v>
      </c>
      <c r="AG104">
        <v>16722200.000000326</v>
      </c>
      <c r="AH104">
        <v>15478400.00000011</v>
      </c>
      <c r="AI104">
        <v>5804399.9999995613</v>
      </c>
      <c r="AK104">
        <v>95</v>
      </c>
      <c r="AL104">
        <v>16722200.000000002</v>
      </c>
      <c r="AM104">
        <v>15478399.999999996</v>
      </c>
      <c r="AN104">
        <v>5804400.0000000019</v>
      </c>
    </row>
    <row r="105" spans="32:40" x14ac:dyDescent="0.35">
      <c r="AF105">
        <v>96</v>
      </c>
      <c r="AG105">
        <v>16722200.000000447</v>
      </c>
      <c r="AH105">
        <v>15478399.999999836</v>
      </c>
      <c r="AI105">
        <v>5804399.999999715</v>
      </c>
      <c r="AK105">
        <v>96</v>
      </c>
      <c r="AL105">
        <v>16722200</v>
      </c>
      <c r="AM105">
        <v>15478400</v>
      </c>
      <c r="AN105">
        <v>5804400.0000000019</v>
      </c>
    </row>
    <row r="106" spans="32:40" x14ac:dyDescent="0.35">
      <c r="AF106">
        <v>97</v>
      </c>
      <c r="AG106">
        <v>16722200.00000038</v>
      </c>
      <c r="AH106">
        <v>15478399.999999743</v>
      </c>
      <c r="AI106">
        <v>5804399.9999998752</v>
      </c>
      <c r="AK106">
        <v>97</v>
      </c>
      <c r="AL106">
        <v>16722200</v>
      </c>
      <c r="AM106">
        <v>15478400.000000002</v>
      </c>
      <c r="AN106">
        <v>5804400.0000000009</v>
      </c>
    </row>
    <row r="107" spans="32:40" x14ac:dyDescent="0.35">
      <c r="AF107">
        <v>98</v>
      </c>
      <c r="AG107">
        <v>16722200.000000237</v>
      </c>
      <c r="AH107">
        <v>15478399.999999769</v>
      </c>
      <c r="AI107">
        <v>5804399.9999999916</v>
      </c>
      <c r="AK107">
        <v>98</v>
      </c>
      <c r="AL107">
        <v>16722200</v>
      </c>
      <c r="AM107">
        <v>15478400.000000002</v>
      </c>
      <c r="AN107">
        <v>5804400</v>
      </c>
    </row>
    <row r="108" spans="32:40" x14ac:dyDescent="0.35">
      <c r="AF108">
        <v>99</v>
      </c>
      <c r="AG108">
        <v>16722200.000000097</v>
      </c>
      <c r="AH108">
        <v>15478399.999999849</v>
      </c>
      <c r="AI108">
        <v>5804400.0000000531</v>
      </c>
      <c r="AK108">
        <v>99</v>
      </c>
      <c r="AL108">
        <v>16722200</v>
      </c>
      <c r="AM108">
        <v>15478400.000000002</v>
      </c>
      <c r="AN108">
        <v>5804400</v>
      </c>
    </row>
    <row r="109" spans="32:40" x14ac:dyDescent="0.35">
      <c r="AF109">
        <v>100</v>
      </c>
      <c r="AG109">
        <v>16722199.999999998</v>
      </c>
      <c r="AH109">
        <v>15478399.999999933</v>
      </c>
      <c r="AI109">
        <v>5804400.0000000689</v>
      </c>
      <c r="AK109">
        <v>100</v>
      </c>
      <c r="AL109">
        <v>16722200</v>
      </c>
      <c r="AM109">
        <v>15478400.000000002</v>
      </c>
      <c r="AN109">
        <v>5804400</v>
      </c>
    </row>
    <row r="110" spans="32:40" x14ac:dyDescent="0.35">
      <c r="AF110">
        <v>101</v>
      </c>
      <c r="AG110">
        <v>16722199.999999948</v>
      </c>
      <c r="AH110">
        <v>15478399.999999994</v>
      </c>
      <c r="AI110">
        <v>5804400.0000000568</v>
      </c>
      <c r="AK110">
        <v>101</v>
      </c>
      <c r="AL110">
        <v>16722200</v>
      </c>
      <c r="AM110">
        <v>15478400.000000002</v>
      </c>
      <c r="AN110">
        <v>5804400</v>
      </c>
    </row>
    <row r="111" spans="32:40" x14ac:dyDescent="0.35">
      <c r="AF111">
        <v>102</v>
      </c>
      <c r="AG111">
        <v>16722199.999999939</v>
      </c>
      <c r="AH111">
        <v>15478400.000000026</v>
      </c>
      <c r="AI111">
        <v>5804400.0000000345</v>
      </c>
      <c r="AK111">
        <v>102</v>
      </c>
      <c r="AL111">
        <v>16722200</v>
      </c>
      <c r="AM111">
        <v>15478400.000000002</v>
      </c>
      <c r="AN111">
        <v>5804400</v>
      </c>
    </row>
    <row r="112" spans="32:40" x14ac:dyDescent="0.35">
      <c r="AF112">
        <v>103</v>
      </c>
      <c r="AG112">
        <v>16722199.999999952</v>
      </c>
      <c r="AH112">
        <v>15478400.000000035</v>
      </c>
      <c r="AI112">
        <v>5804400.000000013</v>
      </c>
      <c r="AK112">
        <v>103</v>
      </c>
      <c r="AL112">
        <v>16722200</v>
      </c>
      <c r="AM112">
        <v>15478400.000000002</v>
      </c>
      <c r="AN112">
        <v>5804400</v>
      </c>
    </row>
    <row r="113" spans="32:40" x14ac:dyDescent="0.35">
      <c r="AF113">
        <v>104</v>
      </c>
      <c r="AG113">
        <v>16722199.999999972</v>
      </c>
      <c r="AH113">
        <v>15478400.00000003</v>
      </c>
      <c r="AI113">
        <v>5804399.9999999981</v>
      </c>
      <c r="AK113">
        <v>104</v>
      </c>
      <c r="AL113">
        <v>16722200</v>
      </c>
      <c r="AM113">
        <v>15478400.000000002</v>
      </c>
      <c r="AN113">
        <v>5804400</v>
      </c>
    </row>
    <row r="114" spans="32:40" x14ac:dyDescent="0.35">
      <c r="AF114">
        <v>105</v>
      </c>
      <c r="AG114">
        <v>16722199.999999991</v>
      </c>
      <c r="AH114">
        <v>15478400.000000019</v>
      </c>
      <c r="AI114">
        <v>5804399.9999999907</v>
      </c>
      <c r="AK114">
        <v>105</v>
      </c>
      <c r="AL114">
        <v>16722200</v>
      </c>
      <c r="AM114">
        <v>15478400.000000002</v>
      </c>
      <c r="AN114">
        <v>5804400</v>
      </c>
    </row>
    <row r="115" spans="32:40" x14ac:dyDescent="0.35">
      <c r="AF115">
        <v>106</v>
      </c>
      <c r="AG115">
        <v>16722200.000000004</v>
      </c>
      <c r="AH115">
        <v>15478400.000000007</v>
      </c>
      <c r="AI115">
        <v>5804399.9999999898</v>
      </c>
      <c r="AK115">
        <v>106</v>
      </c>
      <c r="AL115">
        <v>16722200</v>
      </c>
      <c r="AM115">
        <v>15478400.000000002</v>
      </c>
      <c r="AN115">
        <v>5804400</v>
      </c>
    </row>
    <row r="116" spans="32:40" x14ac:dyDescent="0.35">
      <c r="AF116">
        <v>107</v>
      </c>
      <c r="AG116">
        <v>16722200.000000009</v>
      </c>
      <c r="AH116">
        <v>15478400</v>
      </c>
      <c r="AI116">
        <v>5804399.9999999925</v>
      </c>
      <c r="AK116">
        <v>107</v>
      </c>
      <c r="AL116">
        <v>16722200</v>
      </c>
      <c r="AM116">
        <v>15478400.000000002</v>
      </c>
      <c r="AN116">
        <v>5804400</v>
      </c>
    </row>
    <row r="117" spans="32:40" x14ac:dyDescent="0.35">
      <c r="AF117">
        <v>108</v>
      </c>
      <c r="AG117">
        <v>16722200.000000009</v>
      </c>
      <c r="AH117">
        <v>15478399.999999996</v>
      </c>
      <c r="AI117">
        <v>5804399.9999999963</v>
      </c>
      <c r="AK117">
        <v>108</v>
      </c>
      <c r="AL117">
        <v>16722200</v>
      </c>
      <c r="AM117">
        <v>15478400.000000002</v>
      </c>
      <c r="AN117">
        <v>5804400</v>
      </c>
    </row>
    <row r="118" spans="32:40" x14ac:dyDescent="0.35">
      <c r="AF118">
        <v>109</v>
      </c>
      <c r="AG118">
        <v>16722200.000000006</v>
      </c>
      <c r="AH118">
        <v>15478399.999999996</v>
      </c>
      <c r="AI118">
        <v>5804399.9999999991</v>
      </c>
      <c r="AK118">
        <v>109</v>
      </c>
      <c r="AL118">
        <v>16722200</v>
      </c>
      <c r="AM118">
        <v>15478400.000000002</v>
      </c>
      <c r="AN118">
        <v>5804400</v>
      </c>
    </row>
    <row r="119" spans="32:40" x14ac:dyDescent="0.35">
      <c r="AF119">
        <v>110</v>
      </c>
      <c r="AG119">
        <v>16722200.000000002</v>
      </c>
      <c r="AH119">
        <v>15478399.999999998</v>
      </c>
      <c r="AI119">
        <v>5804400</v>
      </c>
      <c r="AK119">
        <v>110</v>
      </c>
      <c r="AL119">
        <v>16722200</v>
      </c>
      <c r="AM119">
        <v>15478400.000000002</v>
      </c>
      <c r="AN119">
        <v>5804400</v>
      </c>
    </row>
    <row r="120" spans="32:40" x14ac:dyDescent="0.35">
      <c r="AF120">
        <v>111</v>
      </c>
      <c r="AG120">
        <v>16722200</v>
      </c>
      <c r="AH120">
        <v>15478400</v>
      </c>
      <c r="AI120">
        <v>5804400</v>
      </c>
      <c r="AK120">
        <v>111</v>
      </c>
      <c r="AL120">
        <v>16722200</v>
      </c>
      <c r="AM120">
        <v>15478400.000000002</v>
      </c>
      <c r="AN120">
        <v>5804400</v>
      </c>
    </row>
    <row r="121" spans="32:40" x14ac:dyDescent="0.35">
      <c r="AF121">
        <v>112</v>
      </c>
      <c r="AG121">
        <v>16722200</v>
      </c>
      <c r="AH121">
        <v>15478400</v>
      </c>
      <c r="AI121">
        <v>5804400</v>
      </c>
      <c r="AK121">
        <v>112</v>
      </c>
      <c r="AL121">
        <v>16722200</v>
      </c>
      <c r="AM121">
        <v>15478400.000000002</v>
      </c>
      <c r="AN121">
        <v>5804400</v>
      </c>
    </row>
    <row r="122" spans="32:40" x14ac:dyDescent="0.35">
      <c r="AF122">
        <v>113</v>
      </c>
      <c r="AG122">
        <v>16722200</v>
      </c>
      <c r="AH122">
        <v>15478400</v>
      </c>
      <c r="AI122">
        <v>5804400</v>
      </c>
      <c r="AK122">
        <v>113</v>
      </c>
      <c r="AL122">
        <v>16722200</v>
      </c>
      <c r="AM122">
        <v>15478400.000000002</v>
      </c>
      <c r="AN122">
        <v>5804400</v>
      </c>
    </row>
    <row r="123" spans="32:40" x14ac:dyDescent="0.35">
      <c r="AF123">
        <v>114</v>
      </c>
      <c r="AG123">
        <v>16722200</v>
      </c>
      <c r="AH123">
        <v>15478400</v>
      </c>
      <c r="AI123">
        <v>5804400</v>
      </c>
      <c r="AK123">
        <v>114</v>
      </c>
      <c r="AL123">
        <v>16722200</v>
      </c>
      <c r="AM123">
        <v>15478400.000000002</v>
      </c>
      <c r="AN123">
        <v>5804400</v>
      </c>
    </row>
    <row r="124" spans="32:40" x14ac:dyDescent="0.35">
      <c r="AF124">
        <v>115</v>
      </c>
      <c r="AG124">
        <v>16722200</v>
      </c>
      <c r="AH124">
        <v>15478400</v>
      </c>
      <c r="AI124">
        <v>5804400</v>
      </c>
      <c r="AK124">
        <v>115</v>
      </c>
      <c r="AL124">
        <v>16722200</v>
      </c>
      <c r="AM124">
        <v>15478400.000000002</v>
      </c>
      <c r="AN124">
        <v>5804400</v>
      </c>
    </row>
    <row r="125" spans="32:40" x14ac:dyDescent="0.35">
      <c r="AF125">
        <v>116</v>
      </c>
      <c r="AG125">
        <v>16722200</v>
      </c>
      <c r="AH125">
        <v>15478400</v>
      </c>
      <c r="AI125">
        <v>5804400</v>
      </c>
      <c r="AK125">
        <v>116</v>
      </c>
      <c r="AL125">
        <v>16722200</v>
      </c>
      <c r="AM125">
        <v>15478400.000000002</v>
      </c>
      <c r="AN125">
        <v>5804400</v>
      </c>
    </row>
    <row r="126" spans="32:40" x14ac:dyDescent="0.35">
      <c r="AF126">
        <v>117</v>
      </c>
      <c r="AG126">
        <v>16722200</v>
      </c>
      <c r="AH126">
        <v>15478400</v>
      </c>
      <c r="AI126">
        <v>5804400</v>
      </c>
      <c r="AK126">
        <v>117</v>
      </c>
      <c r="AL126">
        <v>16722200</v>
      </c>
      <c r="AM126">
        <v>15478400.000000002</v>
      </c>
      <c r="AN126">
        <v>5804400</v>
      </c>
    </row>
    <row r="127" spans="32:40" x14ac:dyDescent="0.35">
      <c r="AF127">
        <v>118</v>
      </c>
      <c r="AG127">
        <v>16722200</v>
      </c>
      <c r="AH127">
        <v>15478400</v>
      </c>
      <c r="AI127">
        <v>5804400</v>
      </c>
      <c r="AK127">
        <v>118</v>
      </c>
      <c r="AL127">
        <v>16722200</v>
      </c>
      <c r="AM127">
        <v>15478400.000000002</v>
      </c>
      <c r="AN127">
        <v>5804400</v>
      </c>
    </row>
    <row r="128" spans="32:40" x14ac:dyDescent="0.35">
      <c r="AF128">
        <v>119</v>
      </c>
      <c r="AG128">
        <v>16722200</v>
      </c>
      <c r="AH128">
        <v>15478400</v>
      </c>
      <c r="AI128">
        <v>5804400</v>
      </c>
      <c r="AK128">
        <v>119</v>
      </c>
      <c r="AL128">
        <v>16722200</v>
      </c>
      <c r="AM128">
        <v>15478400.000000002</v>
      </c>
      <c r="AN128">
        <v>5804400</v>
      </c>
    </row>
    <row r="129" spans="32:40" x14ac:dyDescent="0.35">
      <c r="AF129">
        <v>120</v>
      </c>
      <c r="AG129">
        <v>16722200</v>
      </c>
      <c r="AH129">
        <v>15478400</v>
      </c>
      <c r="AI129">
        <v>5804400</v>
      </c>
      <c r="AK129">
        <v>120</v>
      </c>
      <c r="AL129">
        <v>16722200</v>
      </c>
      <c r="AM129">
        <v>15478400.000000002</v>
      </c>
      <c r="AN129">
        <v>5804400</v>
      </c>
    </row>
  </sheetData>
  <mergeCells count="4">
    <mergeCell ref="E6:H7"/>
    <mergeCell ref="J6:M7"/>
    <mergeCell ref="AF6:AI7"/>
    <mergeCell ref="AK6:AN7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4DBA-16D9-46A3-BC21-D96EDF15CE20}">
  <sheetPr codeName="Arkusz6"/>
  <dimension ref="A1:BY398"/>
  <sheetViews>
    <sheetView zoomScale="60" zoomScaleNormal="60" workbookViewId="0">
      <selection sqref="A1:B1"/>
    </sheetView>
  </sheetViews>
  <sheetFormatPr defaultColWidth="8.81640625" defaultRowHeight="14.5" x14ac:dyDescent="0.35"/>
  <cols>
    <col min="1" max="2" width="14" bestFit="1" customWidth="1"/>
    <col min="13" max="14" width="9.1796875" bestFit="1" customWidth="1"/>
    <col min="15" max="18" width="9" bestFit="1" customWidth="1"/>
    <col min="20" max="20" width="9" bestFit="1" customWidth="1"/>
    <col min="22" max="22" width="9" bestFit="1" customWidth="1"/>
    <col min="40" max="41" width="14" bestFit="1" customWidth="1"/>
  </cols>
  <sheetData>
    <row r="1" spans="1:77" x14ac:dyDescent="0.35">
      <c r="A1" t="s">
        <v>20</v>
      </c>
      <c r="B1" t="s">
        <v>21</v>
      </c>
      <c r="AN1" t="s">
        <v>20</v>
      </c>
      <c r="AO1" t="s">
        <v>21</v>
      </c>
    </row>
    <row r="2" spans="1:77" x14ac:dyDescent="0.35">
      <c r="A2" t="s">
        <v>0</v>
      </c>
      <c r="B2">
        <v>0</v>
      </c>
      <c r="N2" s="7" t="s">
        <v>8</v>
      </c>
      <c r="O2" s="8">
        <v>0</v>
      </c>
      <c r="P2" s="14">
        <v>0</v>
      </c>
      <c r="Q2" s="8">
        <v>0</v>
      </c>
      <c r="R2" s="11">
        <v>9471</v>
      </c>
      <c r="S2" s="12">
        <v>29931</v>
      </c>
      <c r="T2" s="11">
        <v>14302</v>
      </c>
      <c r="U2" s="11">
        <v>16578</v>
      </c>
      <c r="V2" s="11">
        <v>567</v>
      </c>
      <c r="W2" s="10">
        <v>4356</v>
      </c>
      <c r="AN2" t="s">
        <v>0</v>
      </c>
      <c r="AO2">
        <v>0</v>
      </c>
      <c r="BA2" s="7" t="s">
        <v>8</v>
      </c>
      <c r="BB2" s="8">
        <v>0</v>
      </c>
      <c r="BC2" s="14">
        <v>0</v>
      </c>
      <c r="BD2" s="8">
        <v>0</v>
      </c>
      <c r="BE2" s="11">
        <v>9471</v>
      </c>
      <c r="BF2" s="12">
        <v>29931</v>
      </c>
      <c r="BG2" s="11">
        <v>14302</v>
      </c>
      <c r="BH2" s="11">
        <v>16578</v>
      </c>
      <c r="BI2" s="11">
        <v>567</v>
      </c>
      <c r="BJ2" s="10">
        <v>4356</v>
      </c>
    </row>
    <row r="3" spans="1:77" x14ac:dyDescent="0.35">
      <c r="A3" t="s">
        <v>1</v>
      </c>
      <c r="B3">
        <v>90</v>
      </c>
      <c r="N3" s="6" t="s">
        <v>10</v>
      </c>
      <c r="O3" s="15">
        <v>5010</v>
      </c>
      <c r="P3" s="14">
        <v>38476</v>
      </c>
      <c r="Q3" s="8">
        <v>1654</v>
      </c>
      <c r="R3" s="11">
        <f>$B9-R2-R4</f>
        <v>40529</v>
      </c>
      <c r="S3" s="13">
        <f t="shared" ref="S3:V3" si="0">$B9-S2-S4</f>
        <v>20069</v>
      </c>
      <c r="T3" s="11">
        <f t="shared" si="0"/>
        <v>35698</v>
      </c>
      <c r="U3" s="11">
        <f t="shared" si="0"/>
        <v>33422</v>
      </c>
      <c r="V3" s="11">
        <f t="shared" si="0"/>
        <v>49433</v>
      </c>
      <c r="W3" s="10">
        <v>1</v>
      </c>
      <c r="AN3" t="s">
        <v>1</v>
      </c>
      <c r="AO3">
        <v>90</v>
      </c>
      <c r="BA3" s="6" t="s">
        <v>10</v>
      </c>
      <c r="BB3" s="15">
        <v>5010</v>
      </c>
      <c r="BC3" s="14">
        <v>38476</v>
      </c>
      <c r="BD3" s="8">
        <v>1654</v>
      </c>
      <c r="BE3" s="11">
        <f>$B9-BE2-BE4</f>
        <v>40529</v>
      </c>
      <c r="BF3" s="13">
        <f t="shared" ref="BF3:BI3" si="1">$B9-BF2-BF4</f>
        <v>20069</v>
      </c>
      <c r="BG3" s="11">
        <f t="shared" si="1"/>
        <v>35698</v>
      </c>
      <c r="BH3" s="11">
        <f t="shared" si="1"/>
        <v>33422</v>
      </c>
      <c r="BI3" s="11">
        <f t="shared" si="1"/>
        <v>49433</v>
      </c>
      <c r="BJ3" s="10">
        <v>1</v>
      </c>
    </row>
    <row r="4" spans="1:77" x14ac:dyDescent="0.35">
      <c r="A4" t="s">
        <v>2</v>
      </c>
      <c r="B4">
        <v>390</v>
      </c>
      <c r="N4" s="9" t="s">
        <v>9</v>
      </c>
      <c r="O4" s="8">
        <f>$B9-O3-O2</f>
        <v>44990</v>
      </c>
      <c r="P4" s="14">
        <f t="shared" ref="P4:Q4" si="2">$B9-P3-P2</f>
        <v>11524</v>
      </c>
      <c r="Q4" s="8">
        <f t="shared" si="2"/>
        <v>48346</v>
      </c>
      <c r="R4" s="11">
        <v>0</v>
      </c>
      <c r="S4" s="13">
        <v>0</v>
      </c>
      <c r="T4" s="11">
        <v>0</v>
      </c>
      <c r="U4" s="11">
        <v>0</v>
      </c>
      <c r="V4" s="11">
        <v>0</v>
      </c>
      <c r="W4" s="10">
        <f t="shared" ref="W4" si="3">$B9-W3-W2</f>
        <v>45643</v>
      </c>
      <c r="AN4" t="s">
        <v>2</v>
      </c>
      <c r="AO4">
        <v>390</v>
      </c>
      <c r="BA4" s="9" t="s">
        <v>9</v>
      </c>
      <c r="BB4" s="8">
        <f>$B9-BB3-BB2</f>
        <v>44990</v>
      </c>
      <c r="BC4" s="14">
        <f t="shared" ref="BC4:BD4" si="4">$B9-BC3-BC2</f>
        <v>11524</v>
      </c>
      <c r="BD4" s="8">
        <f t="shared" si="4"/>
        <v>48346</v>
      </c>
      <c r="BE4" s="11">
        <v>0</v>
      </c>
      <c r="BF4" s="13">
        <v>0</v>
      </c>
      <c r="BG4" s="11">
        <v>0</v>
      </c>
      <c r="BH4" s="11">
        <v>0</v>
      </c>
      <c r="BI4" s="11">
        <v>0</v>
      </c>
      <c r="BJ4" s="10">
        <f t="shared" ref="BJ4" si="5">$B9-BJ3-BJ2</f>
        <v>45643</v>
      </c>
    </row>
    <row r="5" spans="1:77" x14ac:dyDescent="0.35">
      <c r="A5" t="s">
        <v>11</v>
      </c>
      <c r="B5">
        <v>0.3</v>
      </c>
      <c r="AN5" t="s">
        <v>11</v>
      </c>
      <c r="AO5">
        <v>0.53</v>
      </c>
    </row>
    <row r="6" spans="1:77" x14ac:dyDescent="0.35">
      <c r="A6" t="s">
        <v>12</v>
      </c>
      <c r="B6">
        <f>B5</f>
        <v>0.3</v>
      </c>
      <c r="AN6" t="s">
        <v>12</v>
      </c>
      <c r="AO6">
        <f>AO5</f>
        <v>0.53</v>
      </c>
    </row>
    <row r="7" spans="1:77" x14ac:dyDescent="0.35">
      <c r="A7" t="s">
        <v>13</v>
      </c>
      <c r="B7">
        <v>2.5</v>
      </c>
      <c r="M7" s="5" t="s">
        <v>4</v>
      </c>
      <c r="N7" s="5" t="s">
        <v>6</v>
      </c>
      <c r="P7" s="5" t="s">
        <v>4</v>
      </c>
      <c r="Q7" s="5" t="s">
        <v>6</v>
      </c>
      <c r="S7" s="5" t="s">
        <v>4</v>
      </c>
      <c r="T7" s="5" t="s">
        <v>6</v>
      </c>
      <c r="V7" s="5" t="s">
        <v>4</v>
      </c>
      <c r="W7" s="5" t="s">
        <v>6</v>
      </c>
      <c r="Y7" s="5" t="s">
        <v>4</v>
      </c>
      <c r="Z7" s="5" t="s">
        <v>6</v>
      </c>
      <c r="AB7" s="5" t="s">
        <v>4</v>
      </c>
      <c r="AC7" s="5" t="s">
        <v>6</v>
      </c>
      <c r="AE7" s="5" t="s">
        <v>4</v>
      </c>
      <c r="AF7" s="5" t="s">
        <v>6</v>
      </c>
      <c r="AH7" s="5" t="s">
        <v>4</v>
      </c>
      <c r="AI7" s="5" t="s">
        <v>6</v>
      </c>
      <c r="AK7" s="5" t="s">
        <v>4</v>
      </c>
      <c r="AL7" s="5" t="s">
        <v>6</v>
      </c>
      <c r="AN7" t="s">
        <v>13</v>
      </c>
      <c r="AO7">
        <v>0.78</v>
      </c>
      <c r="AZ7" s="5" t="s">
        <v>4</v>
      </c>
      <c r="BA7" s="5" t="s">
        <v>6</v>
      </c>
      <c r="BC7" s="5" t="s">
        <v>4</v>
      </c>
      <c r="BD7" s="5" t="s">
        <v>6</v>
      </c>
      <c r="BF7" s="5" t="s">
        <v>4</v>
      </c>
      <c r="BG7" s="5" t="s">
        <v>6</v>
      </c>
      <c r="BI7" s="5" t="s">
        <v>4</v>
      </c>
      <c r="BJ7" s="5" t="s">
        <v>6</v>
      </c>
      <c r="BL7" s="5" t="s">
        <v>4</v>
      </c>
      <c r="BM7" s="5" t="s">
        <v>6</v>
      </c>
      <c r="BO7" s="5" t="s">
        <v>4</v>
      </c>
      <c r="BP7" s="5" t="s">
        <v>6</v>
      </c>
      <c r="BR7" s="5" t="s">
        <v>4</v>
      </c>
      <c r="BS7" s="5" t="s">
        <v>6</v>
      </c>
      <c r="BU7" s="5" t="s">
        <v>4</v>
      </c>
      <c r="BV7" s="5" t="s">
        <v>6</v>
      </c>
      <c r="BX7" s="5" t="s">
        <v>4</v>
      </c>
      <c r="BY7" s="5" t="s">
        <v>6</v>
      </c>
    </row>
    <row r="8" spans="1:77" x14ac:dyDescent="0.35">
      <c r="A8" t="s">
        <v>14</v>
      </c>
      <c r="B8">
        <v>0.8</v>
      </c>
      <c r="M8" cm="1">
        <f t="array" ref="M8:N398">SOLVE_SIR_RALSTON_R(B2,B3,B4,O2,O4,O3,B5,B6,B7,B8)</f>
        <v>0</v>
      </c>
      <c r="N8">
        <v>5010</v>
      </c>
      <c r="P8" cm="1">
        <f t="array" ref="P8:Q398">SOLVE_SIR_RALSTON_R(B2,B3,B4,P2,P4,P3,B5,B6,B7,B8)</f>
        <v>0</v>
      </c>
      <c r="Q8">
        <v>38476</v>
      </c>
      <c r="S8" cm="1">
        <f t="array" ref="S8:T398">SOLVE_SIR_RALSTON_R(B2,B3,B4,Q2,Q4,Q3,B5,B6,B7,B8)</f>
        <v>0</v>
      </c>
      <c r="T8">
        <v>1654</v>
      </c>
      <c r="V8" cm="1">
        <f t="array" ref="V8:W398">SOLVE_SIR_RALSTON_R(B2,B3,B4,R2,R4,R3,B5,B6,B7,B8)</f>
        <v>9471</v>
      </c>
      <c r="W8">
        <v>40529</v>
      </c>
      <c r="Y8" cm="1">
        <f t="array" ref="Y8:Z398">SOLVE_SIR_RALSTON_R(B2,B3,B4,S2,S4,S3,B5,B6,B7,B8)</f>
        <v>29931</v>
      </c>
      <c r="Z8">
        <v>20069</v>
      </c>
      <c r="AB8" cm="1">
        <f t="array" ref="AB8:AC398">SOLVE_SIR_RALSTON_R(B2,B3,B4,T2,T4,T3,B5,B6,B7,B8)</f>
        <v>14302</v>
      </c>
      <c r="AC8">
        <v>35698</v>
      </c>
      <c r="AE8" cm="1">
        <f t="array" ref="AE8:AF398">SOLVE_SIR_RALSTON_R(B2,B3,B4,U2,U4,U3,B5,B6,B7,B8)</f>
        <v>16578</v>
      </c>
      <c r="AF8">
        <v>33422</v>
      </c>
      <c r="AH8" cm="1">
        <f t="array" ref="AH8:AI398">SOLVE_SIR_RALSTON_R(B2,B3,B4,V2,V4,V3,B5,B6,B7,B8)</f>
        <v>567</v>
      </c>
      <c r="AI8">
        <v>49433</v>
      </c>
      <c r="AK8" cm="1">
        <f t="array" ref="AK8:AL398">SOLVE_SIR_RALSTON_R(B2,B3,B4,W2,W4,W3,B5,B6,B7,B8)</f>
        <v>4356</v>
      </c>
      <c r="AL8">
        <v>1</v>
      </c>
      <c r="AN8" t="s">
        <v>14</v>
      </c>
      <c r="AO8">
        <v>0.73</v>
      </c>
      <c r="AZ8" cm="1">
        <f t="array" ref="AZ8:BA398">SOLVE_SIR_RALSTON_R(AO2,AO3,AO4,BB2,BB4,BB3,AO5,AO6,AO7,AO8)</f>
        <v>0</v>
      </c>
      <c r="BA8">
        <v>5010</v>
      </c>
      <c r="BC8" cm="1">
        <f t="array" ref="BC8:BD398">SOLVE_SIR_RALSTON_R(AO2,AO3,AO4,BC2,BC4,BC3,AO5,AO6,AO7,AO8)</f>
        <v>0</v>
      </c>
      <c r="BD8">
        <v>38476</v>
      </c>
      <c r="BF8" cm="1">
        <f t="array" ref="BF8:BG398">SOLVE_SIR_RALSTON_R(AO2,AO3,AO4,BD2,BD4,BD3,AO5,AO6,AO7,AO8)</f>
        <v>0</v>
      </c>
      <c r="BG8">
        <v>1654</v>
      </c>
      <c r="BI8" cm="1">
        <f t="array" ref="BI8:BJ398">SOLVE_SIR_RALSTON_R(AO2,AO3,AO4,BE2,BE4,BE3,AO5,AO6,AO7,AO8)</f>
        <v>9471</v>
      </c>
      <c r="BJ8">
        <v>40529</v>
      </c>
      <c r="BL8" cm="1">
        <f t="array" ref="BL8:BM398">SOLVE_SIR_RALSTON_R(AO2,AO3,AO4,BF2,BF4,BF3,AO5,AO6,AO7,AO8)</f>
        <v>29931</v>
      </c>
      <c r="BM8">
        <v>20069</v>
      </c>
      <c r="BO8" cm="1">
        <f t="array" ref="BO8:BP398">SOLVE_SIR_RALSTON_R(AO2,AO3,AO4,BG2,BG4,BG3,AO5,AO6,AO7,AO8)</f>
        <v>14302</v>
      </c>
      <c r="BP8">
        <v>35698</v>
      </c>
      <c r="BR8" cm="1">
        <f t="array" ref="BR8:BS398">SOLVE_SIR_RALSTON_R(AO2,AO3,AO4,BH2,BH4,BH3,AO5,AO6,AO7,AO8)</f>
        <v>16578</v>
      </c>
      <c r="BS8">
        <v>33422</v>
      </c>
      <c r="BU8" cm="1">
        <f t="array" ref="BU8:BV398">SOLVE_SIR_RALSTON_R(AO2,AO3,AO4,BI2,BI4,BI3,AO5,AO6,AO7,AO8)</f>
        <v>567</v>
      </c>
      <c r="BV8">
        <v>49433</v>
      </c>
      <c r="BX8" cm="1">
        <f t="array" ref="BX8:BY398">SOLVE_SIR_RALSTON_R(AO2,AO3,AO4,BJ2,BJ4,BJ3,AO5,AO6,AO7,AO8)</f>
        <v>4356</v>
      </c>
      <c r="BY8">
        <v>1</v>
      </c>
    </row>
    <row r="9" spans="1:77" x14ac:dyDescent="0.35">
      <c r="A9" t="s">
        <v>15</v>
      </c>
      <c r="B9">
        <v>50000</v>
      </c>
      <c r="M9">
        <v>3260.7125199135185</v>
      </c>
      <c r="N9">
        <v>3980.6510895539368</v>
      </c>
      <c r="P9">
        <v>2719.6223657259898</v>
      </c>
      <c r="Q9">
        <v>30570.764734865726</v>
      </c>
      <c r="S9">
        <v>3314.9735178652709</v>
      </c>
      <c r="T9">
        <v>1314.1710383477468</v>
      </c>
      <c r="V9">
        <v>8562.5283057902579</v>
      </c>
      <c r="W9">
        <v>34755.035785215659</v>
      </c>
      <c r="Y9">
        <v>24949.757709508514</v>
      </c>
      <c r="Z9">
        <v>21303.920497473733</v>
      </c>
      <c r="AB9">
        <v>11919.753934391782</v>
      </c>
      <c r="AC9">
        <v>32010.665099454371</v>
      </c>
      <c r="AE9">
        <v>13589.561691487181</v>
      </c>
      <c r="AF9">
        <v>30646.816386145954</v>
      </c>
      <c r="AH9">
        <v>2878.7490545080077</v>
      </c>
      <c r="AI9">
        <v>39439.520697089625</v>
      </c>
      <c r="AK9">
        <v>7406.5268282503657</v>
      </c>
      <c r="AL9">
        <v>0.83258547744468581</v>
      </c>
      <c r="AN9" t="s">
        <v>15</v>
      </c>
      <c r="AO9">
        <v>50000</v>
      </c>
      <c r="AZ9">
        <v>5698.2834105621314</v>
      </c>
      <c r="BA9">
        <v>3808.1576663609467</v>
      </c>
      <c r="BC9">
        <v>5410.2359048875742</v>
      </c>
      <c r="BD9">
        <v>29246.04278860355</v>
      </c>
      <c r="BF9">
        <v>5727.1690685147933</v>
      </c>
      <c r="BG9">
        <v>1257.224107816568</v>
      </c>
      <c r="BI9">
        <v>12794.250757723334</v>
      </c>
      <c r="BJ9">
        <v>31671.933763589601</v>
      </c>
      <c r="BL9">
        <v>30394.042044544702</v>
      </c>
      <c r="BM9">
        <v>16741.23360392989</v>
      </c>
      <c r="BO9">
        <v>16762.146517472647</v>
      </c>
      <c r="BP9">
        <v>28311.36677315566</v>
      </c>
      <c r="BR9">
        <v>18669.487513911732</v>
      </c>
      <c r="BS9">
        <v>26695.057849311132</v>
      </c>
      <c r="BU9">
        <v>5748.6896675187727</v>
      </c>
      <c r="BV9">
        <v>37635.213266654566</v>
      </c>
      <c r="BX9">
        <v>9597.1935523138745</v>
      </c>
      <c r="BY9">
        <v>0.77072444603164347</v>
      </c>
    </row>
    <row r="10" spans="1:77" x14ac:dyDescent="0.35">
      <c r="M10">
        <v>6196.7316410812273</v>
      </c>
      <c r="N10">
        <v>3272.3752165295018</v>
      </c>
      <c r="P10">
        <v>4720.1546229211453</v>
      </c>
      <c r="Q10">
        <v>24866.318299226055</v>
      </c>
      <c r="S10">
        <v>6371.8047715477696</v>
      </c>
      <c r="T10">
        <v>1081.6056916485891</v>
      </c>
      <c r="V10">
        <v>8383.4019660068316</v>
      </c>
      <c r="W10">
        <v>29683.984618895578</v>
      </c>
      <c r="Y10">
        <v>21153.328868179105</v>
      </c>
      <c r="Z10">
        <v>21486.912454760506</v>
      </c>
      <c r="AB10">
        <v>10768.384094601744</v>
      </c>
      <c r="AC10">
        <v>28206.273121397495</v>
      </c>
      <c r="AE10">
        <v>11991.609243582541</v>
      </c>
      <c r="AF10">
        <v>27442.482257746793</v>
      </c>
      <c r="AH10">
        <v>4537.199468323236</v>
      </c>
      <c r="AI10">
        <v>32068.589305728721</v>
      </c>
      <c r="AK10">
        <v>10253.157549791084</v>
      </c>
      <c r="AL10">
        <v>0.71656810153661066</v>
      </c>
      <c r="AZ10">
        <v>10693.392826394349</v>
      </c>
      <c r="BA10">
        <v>2947.2389788652199</v>
      </c>
      <c r="BC10">
        <v>9868.0783257044313</v>
      </c>
      <c r="BD10">
        <v>22592.858457637998</v>
      </c>
      <c r="BF10">
        <v>10780.375352159394</v>
      </c>
      <c r="BG10">
        <v>973.18482333912971</v>
      </c>
      <c r="BI10">
        <v>15731.519239236117</v>
      </c>
      <c r="BJ10">
        <v>25013.711897331214</v>
      </c>
      <c r="BL10">
        <v>31076.936231411972</v>
      </c>
      <c r="BM10">
        <v>13995.233185331657</v>
      </c>
      <c r="BO10">
        <v>19072.331206076062</v>
      </c>
      <c r="BP10">
        <v>22638.663512355462</v>
      </c>
      <c r="BR10">
        <v>20701.705449041601</v>
      </c>
      <c r="BS10">
        <v>21475.726959222426</v>
      </c>
      <c r="BU10">
        <v>9953.6160041482126</v>
      </c>
      <c r="BV10">
        <v>29093.781559145798</v>
      </c>
      <c r="BX10">
        <v>14236.544187631727</v>
      </c>
      <c r="BY10">
        <v>0.60408639325162916</v>
      </c>
    </row>
    <row r="11" spans="1:77" x14ac:dyDescent="0.35">
      <c r="A11" s="5" t="s">
        <v>7</v>
      </c>
      <c r="B11" s="5">
        <f>B7/(B6+B8)</f>
        <v>2.2727272727272725</v>
      </c>
      <c r="M11">
        <v>8874.1389056499138</v>
      </c>
      <c r="N11">
        <v>2775.6842643314576</v>
      </c>
      <c r="P11">
        <v>6356.7638456776276</v>
      </c>
      <c r="Q11">
        <v>20619.891239351655</v>
      </c>
      <c r="S11">
        <v>9202.1980181411182</v>
      </c>
      <c r="T11">
        <v>920.01956617603219</v>
      </c>
      <c r="V11">
        <v>8616.9262380276396</v>
      </c>
      <c r="W11">
        <v>25388.048106584149</v>
      </c>
      <c r="Y11">
        <v>18443.579835259749</v>
      </c>
      <c r="Z11">
        <v>20878.420622873615</v>
      </c>
      <c r="AB11">
        <v>10350.020737338869</v>
      </c>
      <c r="AC11">
        <v>24671.871182665156</v>
      </c>
      <c r="AE11">
        <v>11254.059917039707</v>
      </c>
      <c r="AF11">
        <v>24287.79659213718</v>
      </c>
      <c r="AH11">
        <v>5893.4247932843573</v>
      </c>
      <c r="AI11">
        <v>26488.594951280087</v>
      </c>
      <c r="AK11">
        <v>12909.524404902122</v>
      </c>
      <c r="AL11">
        <v>0.63624518843562194</v>
      </c>
      <c r="AN11" s="5" t="s">
        <v>7</v>
      </c>
      <c r="AO11" s="5">
        <f>AO7/(AO6+AO8)</f>
        <v>0.61904761904761907</v>
      </c>
      <c r="AZ11">
        <v>15094.497607262951</v>
      </c>
      <c r="BA11">
        <v>2317.7041781625048</v>
      </c>
      <c r="BC11">
        <v>13690.24346156978</v>
      </c>
      <c r="BD11">
        <v>17697.129428448723</v>
      </c>
      <c r="BF11">
        <v>15246.428430063543</v>
      </c>
      <c r="BG11">
        <v>765.63329981210154</v>
      </c>
      <c r="BI11">
        <v>18399.370466576591</v>
      </c>
      <c r="BJ11">
        <v>19945.719202688007</v>
      </c>
      <c r="BL11">
        <v>31903.562476572195</v>
      </c>
      <c r="BM11">
        <v>11731.865198026975</v>
      </c>
      <c r="BO11">
        <v>21261.317594696462</v>
      </c>
      <c r="BP11">
        <v>18244.502074317221</v>
      </c>
      <c r="BR11">
        <v>22672.175704178291</v>
      </c>
      <c r="BS11">
        <v>17398.083593646639</v>
      </c>
      <c r="BU11">
        <v>13542.889115451952</v>
      </c>
      <c r="BV11">
        <v>22785.462591963023</v>
      </c>
      <c r="BX11">
        <v>18343.164839714682</v>
      </c>
      <c r="BY11">
        <v>0.48062667606547038</v>
      </c>
    </row>
    <row r="12" spans="1:77" x14ac:dyDescent="0.35">
      <c r="M12">
        <v>11333.524983124742</v>
      </c>
      <c r="N12">
        <v>2423.5148824221133</v>
      </c>
      <c r="P12">
        <v>7794.8491183712522</v>
      </c>
      <c r="Q12">
        <v>17389.135468133616</v>
      </c>
      <c r="S12">
        <v>11828.928153398754</v>
      </c>
      <c r="T12">
        <v>807.06412992928347</v>
      </c>
      <c r="V12">
        <v>9096.6464714202812</v>
      </c>
      <c r="W12">
        <v>21814.448745938374</v>
      </c>
      <c r="Y12">
        <v>16618.11480040778</v>
      </c>
      <c r="Z12">
        <v>19775.574498935239</v>
      </c>
      <c r="AB12">
        <v>10379.402070393115</v>
      </c>
      <c r="AC12">
        <v>21552.535959187935</v>
      </c>
      <c r="AE12">
        <v>11054.357752477696</v>
      </c>
      <c r="AF12">
        <v>21403.093044393849</v>
      </c>
      <c r="AH12">
        <v>7105.0355770421138</v>
      </c>
      <c r="AI12">
        <v>22187.954022310096</v>
      </c>
      <c r="AK12">
        <v>15388.345896900253</v>
      </c>
      <c r="AL12">
        <v>0.58169301868299217</v>
      </c>
      <c r="AZ12">
        <v>18985.056196885347</v>
      </c>
      <c r="BA12">
        <v>1848.7300455672323</v>
      </c>
      <c r="BC12">
        <v>17052.980145307669</v>
      </c>
      <c r="BD12">
        <v>14032.64382709171</v>
      </c>
      <c r="BF12">
        <v>19197.844052330162</v>
      </c>
      <c r="BG12">
        <v>611.10812627893222</v>
      </c>
      <c r="BI12">
        <v>20860.016659659555</v>
      </c>
      <c r="BJ12">
        <v>16046.002598178598</v>
      </c>
      <c r="BL12">
        <v>32819.150594797487</v>
      </c>
      <c r="BM12">
        <v>9865.4410995895578</v>
      </c>
      <c r="BO12">
        <v>23341.461962997746</v>
      </c>
      <c r="BP12">
        <v>14813.059125424481</v>
      </c>
      <c r="BR12">
        <v>24574.729933164315</v>
      </c>
      <c r="BS12">
        <v>14190.569866455424</v>
      </c>
      <c r="BU12">
        <v>16708.266585126195</v>
      </c>
      <c r="BV12">
        <v>18050.72180552184</v>
      </c>
      <c r="BX12">
        <v>21978.230263072139</v>
      </c>
      <c r="BY12">
        <v>0.38753575207653795</v>
      </c>
    </row>
    <row r="13" spans="1:77" x14ac:dyDescent="0.35">
      <c r="M13">
        <v>13601.368303492156</v>
      </c>
      <c r="N13">
        <v>2173.5474876786211</v>
      </c>
      <c r="P13">
        <v>9114.4428502653172</v>
      </c>
      <c r="Q13">
        <v>14892.020354818891</v>
      </c>
      <c r="S13">
        <v>14269.434691296601</v>
      </c>
      <c r="T13">
        <v>728.6597391994751</v>
      </c>
      <c r="V13">
        <v>9729.8217707031345</v>
      </c>
      <c r="W13">
        <v>18868.991205520946</v>
      </c>
      <c r="Y13">
        <v>15467.331675120207</v>
      </c>
      <c r="Z13">
        <v>18424.584561285868</v>
      </c>
      <c r="AB13">
        <v>10690.538454526341</v>
      </c>
      <c r="AC13">
        <v>18874.523721322534</v>
      </c>
      <c r="AE13">
        <v>11197.954557318788</v>
      </c>
      <c r="AF13">
        <v>18866.896468274528</v>
      </c>
      <c r="AH13">
        <v>8243.8658439205265</v>
      </c>
      <c r="AI13">
        <v>18830.617771785724</v>
      </c>
      <c r="AK13">
        <v>17701.488896322771</v>
      </c>
      <c r="AL13">
        <v>0.54659033988729955</v>
      </c>
      <c r="AZ13">
        <v>22431.701650204603</v>
      </c>
      <c r="BA13">
        <v>1493.4272363085533</v>
      </c>
      <c r="BC13">
        <v>20059.976301198807</v>
      </c>
      <c r="BD13">
        <v>11249.275071702254</v>
      </c>
      <c r="BF13">
        <v>22696.409528014014</v>
      </c>
      <c r="BG13">
        <v>494.08056549110131</v>
      </c>
      <c r="BI13">
        <v>23147.631528142363</v>
      </c>
      <c r="BJ13">
        <v>13015.614290302719</v>
      </c>
      <c r="BL13">
        <v>33783.820649972651</v>
      </c>
      <c r="BM13">
        <v>8323.9155366235282</v>
      </c>
      <c r="BO13">
        <v>25317.254118703728</v>
      </c>
      <c r="BP13">
        <v>12112.587975379658</v>
      </c>
      <c r="BR13">
        <v>26402.422588049023</v>
      </c>
      <c r="BS13">
        <v>11650.369505609975</v>
      </c>
      <c r="BU13">
        <v>19556.700904917827</v>
      </c>
      <c r="BV13">
        <v>14448.131324239783</v>
      </c>
      <c r="BX13">
        <v>25195.889469244656</v>
      </c>
      <c r="BY13">
        <v>0.3162057468995132</v>
      </c>
    </row>
    <row r="14" spans="1:77" x14ac:dyDescent="0.35">
      <c r="M14">
        <v>15695.932373107324</v>
      </c>
      <c r="N14">
        <v>1998.4564611293983</v>
      </c>
      <c r="P14">
        <v>10354.979102758662</v>
      </c>
      <c r="Q14">
        <v>12938.99831117581</v>
      </c>
      <c r="S14">
        <v>16537.761885156287</v>
      </c>
      <c r="T14">
        <v>675.7954055123646</v>
      </c>
      <c r="V14">
        <v>10461.020610334619</v>
      </c>
      <c r="W14">
        <v>16451.798588617497</v>
      </c>
      <c r="Y14">
        <v>14814.835965329845</v>
      </c>
      <c r="Z14">
        <v>16998.130123840299</v>
      </c>
      <c r="AB14">
        <v>11183.417067787039</v>
      </c>
      <c r="AC14">
        <v>16610.845665909939</v>
      </c>
      <c r="AE14">
        <v>11565.300699931555</v>
      </c>
      <c r="AF14">
        <v>16686.418841542079</v>
      </c>
      <c r="AH14">
        <v>9342.3290848151591</v>
      </c>
      <c r="AI14">
        <v>16184.178619946173</v>
      </c>
      <c r="AK14">
        <v>19860.026112192918</v>
      </c>
      <c r="AL14">
        <v>0.52694128361171744</v>
      </c>
      <c r="AZ14">
        <v>25489.392676766129</v>
      </c>
      <c r="BA14">
        <v>1220.0829610978719</v>
      </c>
      <c r="BC14">
        <v>22775.768315515714</v>
      </c>
      <c r="BD14">
        <v>9107.613913456009</v>
      </c>
      <c r="BF14">
        <v>25795.473957584389</v>
      </c>
      <c r="BG14">
        <v>404.05837084218177</v>
      </c>
      <c r="BI14">
        <v>25281.734559168606</v>
      </c>
      <c r="BJ14">
        <v>10639.234084521906</v>
      </c>
      <c r="BL14">
        <v>34768.35190057828</v>
      </c>
      <c r="BM14">
        <v>7047.7262851461419</v>
      </c>
      <c r="BO14">
        <v>27189.76336858256</v>
      </c>
      <c r="BP14">
        <v>9971.4357772369895</v>
      </c>
      <c r="BR14">
        <v>28148.992516631944</v>
      </c>
      <c r="BS14">
        <v>9625.1229714780984</v>
      </c>
      <c r="BU14">
        <v>22150.775807108188</v>
      </c>
      <c r="BV14">
        <v>11673.821809404435</v>
      </c>
      <c r="BX14">
        <v>28044.07298906755</v>
      </c>
      <c r="BY14">
        <v>0.26074012380104827</v>
      </c>
    </row>
    <row r="15" spans="1:77" x14ac:dyDescent="0.35">
      <c r="M15">
        <v>17630.436581139835</v>
      </c>
      <c r="N15">
        <v>1880.3196042835364</v>
      </c>
      <c r="P15">
        <v>11535.581427813919</v>
      </c>
      <c r="Q15">
        <v>11397.705921074026</v>
      </c>
      <c r="S15">
        <v>18645.633783984365</v>
      </c>
      <c r="T15">
        <v>642.67117984283038</v>
      </c>
      <c r="V15">
        <v>11254.511312843078</v>
      </c>
      <c r="W15">
        <v>14471.397751963084</v>
      </c>
      <c r="Y15">
        <v>14524.97824327807</v>
      </c>
      <c r="Z15">
        <v>15604.100581234065</v>
      </c>
      <c r="AB15">
        <v>11794.95875897525</v>
      </c>
      <c r="AC15">
        <v>14714.311058243598</v>
      </c>
      <c r="AE15">
        <v>12080.435433923207</v>
      </c>
      <c r="AF15">
        <v>14836.331975082827</v>
      </c>
      <c r="AH15">
        <v>10413.877100900241</v>
      </c>
      <c r="AI15">
        <v>14082.06466719029</v>
      </c>
      <c r="AK15">
        <v>21874.289451811237</v>
      </c>
      <c r="AL15">
        <v>0.52031625006319571</v>
      </c>
      <c r="AZ15">
        <v>28204.537155925391</v>
      </c>
      <c r="BA15">
        <v>1006.8293216518127</v>
      </c>
      <c r="BC15">
        <v>25243.022664814827</v>
      </c>
      <c r="BD15">
        <v>7440.3621668309634</v>
      </c>
      <c r="BF15">
        <v>28541.508782223435</v>
      </c>
      <c r="BG15">
        <v>333.81607199314556</v>
      </c>
      <c r="BI15">
        <v>27274.237339860232</v>
      </c>
      <c r="BJ15">
        <v>8759.7148240135393</v>
      </c>
      <c r="BL15">
        <v>35751.328224577759</v>
      </c>
      <c r="BM15">
        <v>5988.1374723716362</v>
      </c>
      <c r="BO15">
        <v>28958.958229241078</v>
      </c>
      <c r="BP15">
        <v>8261.4244860592044</v>
      </c>
      <c r="BR15">
        <v>29809.532933151822</v>
      </c>
      <c r="BS15">
        <v>7999.7325876115619</v>
      </c>
      <c r="BU15">
        <v>24529.116677315902</v>
      </c>
      <c r="BV15">
        <v>9514.0475656567687</v>
      </c>
      <c r="BX15">
        <v>30565.207217596755</v>
      </c>
      <c r="BY15">
        <v>0.21702677767670595</v>
      </c>
    </row>
    <row r="16" spans="1:77" x14ac:dyDescent="0.35">
      <c r="M16">
        <v>19414.809652742337</v>
      </c>
      <c r="N16">
        <v>1807.3056690193685</v>
      </c>
      <c r="P16">
        <v>12664.835541774333</v>
      </c>
      <c r="Q16">
        <v>10173.116202647963</v>
      </c>
      <c r="S16">
        <v>20603.060941253963</v>
      </c>
      <c r="T16">
        <v>625.59535574226572</v>
      </c>
      <c r="V16">
        <v>12085.522492527851</v>
      </c>
      <c r="W16">
        <v>12849.189886914279</v>
      </c>
      <c r="Y16">
        <v>14497.455928868594</v>
      </c>
      <c r="Z16">
        <v>14302.876881509515</v>
      </c>
      <c r="AB16">
        <v>12483.314301508703</v>
      </c>
      <c r="AC16">
        <v>13133.420459811277</v>
      </c>
      <c r="AE16">
        <v>12693.071619195081</v>
      </c>
      <c r="AF16">
        <v>13278.993923283657</v>
      </c>
      <c r="AH16">
        <v>11462.523818531976</v>
      </c>
      <c r="AI16">
        <v>12401.966622321459</v>
      </c>
      <c r="AK16">
        <v>23753.919654780526</v>
      </c>
      <c r="AL16">
        <v>0.52540036929007228</v>
      </c>
      <c r="AZ16">
        <v>30616.976993394768</v>
      </c>
      <c r="BA16">
        <v>838.31740576225184</v>
      </c>
      <c r="BC16">
        <v>27491.829522466294</v>
      </c>
      <c r="BD16">
        <v>6128.500995698776</v>
      </c>
      <c r="BF16">
        <v>30975.232391308586</v>
      </c>
      <c r="BG16">
        <v>278.2894009340219</v>
      </c>
      <c r="BI16">
        <v>29133.224929165546</v>
      </c>
      <c r="BJ16">
        <v>7261.0844389270987</v>
      </c>
      <c r="BL16">
        <v>36717.153783886417</v>
      </c>
      <c r="BM16">
        <v>5105.5157383102232</v>
      </c>
      <c r="BO16">
        <v>30624.880400214915</v>
      </c>
      <c r="BP16">
        <v>6886.1299242572732</v>
      </c>
      <c r="BR16">
        <v>31380.721235908539</v>
      </c>
      <c r="BS16">
        <v>6686.7660510079731</v>
      </c>
      <c r="BU16">
        <v>26717.133961130046</v>
      </c>
      <c r="BV16">
        <v>7815.8368488466103</v>
      </c>
      <c r="BX16">
        <v>32796.846608400956</v>
      </c>
      <c r="BY16">
        <v>0.18214984214520197</v>
      </c>
    </row>
    <row r="17" spans="13:77" x14ac:dyDescent="0.35">
      <c r="M17">
        <v>21056.678765557521</v>
      </c>
      <c r="N17">
        <v>1771.6564493429698</v>
      </c>
      <c r="P17">
        <v>13745.762506169836</v>
      </c>
      <c r="Q17">
        <v>9195.5931632688989</v>
      </c>
      <c r="S17">
        <v>22418.684410041456</v>
      </c>
      <c r="T17">
        <v>622.31922634059345</v>
      </c>
      <c r="V17">
        <v>12935.769743975648</v>
      </c>
      <c r="W17">
        <v>11519.803966960517</v>
      </c>
      <c r="Y17">
        <v>14659.02265206988</v>
      </c>
      <c r="Z17">
        <v>13123.339878913324</v>
      </c>
      <c r="AB17">
        <v>13219.287011982993</v>
      </c>
      <c r="AC17">
        <v>11819.506630168726</v>
      </c>
      <c r="AE17">
        <v>13368.440766328704</v>
      </c>
      <c r="AF17">
        <v>11974.499444213734</v>
      </c>
      <c r="AH17">
        <v>12487.537850019817</v>
      </c>
      <c r="AI17">
        <v>11052.554501045046</v>
      </c>
      <c r="AK17">
        <v>25507.912507951798</v>
      </c>
      <c r="AL17">
        <v>0.54173164271531493</v>
      </c>
      <c r="AZ17">
        <v>32761.312172127331</v>
      </c>
      <c r="BA17">
        <v>703.59670753811008</v>
      </c>
      <c r="BC17">
        <v>29544.846610965134</v>
      </c>
      <c r="BD17">
        <v>5086.0579476572957</v>
      </c>
      <c r="BF17">
        <v>33132.461870201172</v>
      </c>
      <c r="BG17">
        <v>233.87032671939494</v>
      </c>
      <c r="BI17">
        <v>30864.989166996744</v>
      </c>
      <c r="BJ17">
        <v>6056.9179889278985</v>
      </c>
      <c r="BL17">
        <v>37654.633829393671</v>
      </c>
      <c r="BM17">
        <v>4367.736617010486</v>
      </c>
      <c r="BO17">
        <v>32188.188138690821</v>
      </c>
      <c r="BP17">
        <v>5772.5083205312058</v>
      </c>
      <c r="BR17">
        <v>32860.806252428469</v>
      </c>
      <c r="BS17">
        <v>5619.4352998825689</v>
      </c>
      <c r="BU17">
        <v>28732.849164237577</v>
      </c>
      <c r="BV17">
        <v>6468.1263166365452</v>
      </c>
      <c r="BX17">
        <v>34772.233203903364</v>
      </c>
      <c r="BY17">
        <v>0.15400931493884326</v>
      </c>
    </row>
    <row r="18" spans="13:77" x14ac:dyDescent="0.35">
      <c r="M18">
        <v>22561.934093604556</v>
      </c>
      <c r="N18">
        <v>1768.4276591673747</v>
      </c>
      <c r="P18">
        <v>14778.465501742223</v>
      </c>
      <c r="Q18">
        <v>8413.2960340394548</v>
      </c>
      <c r="S18">
        <v>24099.966274630362</v>
      </c>
      <c r="T18">
        <v>631.63327219678536</v>
      </c>
      <c r="V18">
        <v>13791.084571911892</v>
      </c>
      <c r="W18">
        <v>10429.832733515799</v>
      </c>
      <c r="Y18">
        <v>14956.050220505151</v>
      </c>
      <c r="Z18">
        <v>12074.916354265792</v>
      </c>
      <c r="AB18">
        <v>13981.554355312363</v>
      </c>
      <c r="AC18">
        <v>10729.51355476551</v>
      </c>
      <c r="AE18">
        <v>14081.482126697594</v>
      </c>
      <c r="AF18">
        <v>10885.328588498918</v>
      </c>
      <c r="AH18">
        <v>13485.873689279371</v>
      </c>
      <c r="AI18">
        <v>9964.7889367355911</v>
      </c>
      <c r="AK18">
        <v>27144.661898316142</v>
      </c>
      <c r="AL18">
        <v>0.56956224999408656</v>
      </c>
      <c r="AZ18">
        <v>34667.828280913396</v>
      </c>
      <c r="BA18">
        <v>594.73591613495728</v>
      </c>
      <c r="BC18">
        <v>31420.204425368294</v>
      </c>
      <c r="BD18">
        <v>4250.0968138495455</v>
      </c>
      <c r="BF18">
        <v>35044.785307039492</v>
      </c>
      <c r="BG18">
        <v>197.94890313073549</v>
      </c>
      <c r="BI18">
        <v>32475.100992326057</v>
      </c>
      <c r="BJ18">
        <v>5082.2361990501176</v>
      </c>
      <c r="BL18">
        <v>38555.933387581055</v>
      </c>
      <c r="BM18">
        <v>3748.7966151980249</v>
      </c>
      <c r="BO18">
        <v>33650.351739312311</v>
      </c>
      <c r="BP18">
        <v>4864.8546682319447</v>
      </c>
      <c r="BR18">
        <v>34249.468161267097</v>
      </c>
      <c r="BS18">
        <v>4746.4338163421908</v>
      </c>
      <c r="BU18">
        <v>30590.112157087693</v>
      </c>
      <c r="BV18">
        <v>5389.272646094144</v>
      </c>
      <c r="BX18">
        <v>36520.791875549512</v>
      </c>
      <c r="BY18">
        <v>0.13107067052795709</v>
      </c>
    </row>
    <row r="19" spans="13:77" x14ac:dyDescent="0.35">
      <c r="M19">
        <v>23935.052691547837</v>
      </c>
      <c r="N19">
        <v>1794.6856869367753</v>
      </c>
      <c r="P19">
        <v>15761.586351821335</v>
      </c>
      <c r="Q19">
        <v>7787.1386174974677</v>
      </c>
      <c r="S19">
        <v>25653.285889297644</v>
      </c>
      <c r="T19">
        <v>653.12451798809241</v>
      </c>
      <c r="V19">
        <v>14640.106194903394</v>
      </c>
      <c r="W19">
        <v>9536.0735233801242</v>
      </c>
      <c r="Y19">
        <v>15348.837959920093</v>
      </c>
      <c r="Z19">
        <v>11155.789388447687</v>
      </c>
      <c r="AB19">
        <v>14753.93612971716</v>
      </c>
      <c r="AC19">
        <v>9826.6682508225003</v>
      </c>
      <c r="AE19">
        <v>14813.455707821166</v>
      </c>
      <c r="AF19">
        <v>9978.2011393489065</v>
      </c>
      <c r="AH19">
        <v>14453.480348573998</v>
      </c>
      <c r="AI19">
        <v>9085.9798381791425</v>
      </c>
      <c r="AK19">
        <v>28671.99992676434</v>
      </c>
      <c r="AL19">
        <v>0.60980599705371541</v>
      </c>
      <c r="AZ19">
        <v>36363.177553572183</v>
      </c>
      <c r="BA19">
        <v>505.90940545296985</v>
      </c>
      <c r="BC19">
        <v>33133.168928466097</v>
      </c>
      <c r="BD19">
        <v>3573.9904949988918</v>
      </c>
      <c r="BF19">
        <v>36740.109981352412</v>
      </c>
      <c r="BG19">
        <v>168.61019678499275</v>
      </c>
      <c r="BI19">
        <v>33968.947275373648</v>
      </c>
      <c r="BJ19">
        <v>4287.7791749113867</v>
      </c>
      <c r="BL19">
        <v>39415.796362879904</v>
      </c>
      <c r="BM19">
        <v>3227.6452326119934</v>
      </c>
      <c r="BO19">
        <v>35013.661234000319</v>
      </c>
      <c r="BP19">
        <v>4120.4079793360916</v>
      </c>
      <c r="BR19">
        <v>35547.619497579202</v>
      </c>
      <c r="BS19">
        <v>4028.1230308400945</v>
      </c>
      <c r="BU19">
        <v>32300.390203641946</v>
      </c>
      <c r="BV19">
        <v>4518.5931819382567</v>
      </c>
      <c r="BX19">
        <v>38068.568673095629</v>
      </c>
      <c r="BY19">
        <v>0.11219726891915938</v>
      </c>
    </row>
    <row r="20" spans="13:77" x14ac:dyDescent="0.35">
      <c r="M20">
        <v>25179.285702709141</v>
      </c>
      <c r="N20">
        <v>1848.9826525687392</v>
      </c>
      <c r="P20">
        <v>16693.124804624065</v>
      </c>
      <c r="Q20">
        <v>7287.3328679031301</v>
      </c>
      <c r="S20">
        <v>27083.974353612688</v>
      </c>
      <c r="T20">
        <v>687.0366149896895</v>
      </c>
      <c r="V20">
        <v>15473.524899142089</v>
      </c>
      <c r="W20">
        <v>8803.759691796573</v>
      </c>
      <c r="Y20">
        <v>15807.544272490506</v>
      </c>
      <c r="Z20">
        <v>10358.169886785581</v>
      </c>
      <c r="AB20">
        <v>15523.783977214009</v>
      </c>
      <c r="AC20">
        <v>9080.1912059705519</v>
      </c>
      <c r="AE20">
        <v>15549.919357244908</v>
      </c>
      <c r="AF20">
        <v>9224.5327490611471</v>
      </c>
      <c r="AH20">
        <v>15386.021799300248</v>
      </c>
      <c r="AI20">
        <v>8375.5936480262517</v>
      </c>
      <c r="AK20">
        <v>30097.234279932651</v>
      </c>
      <c r="AL20">
        <v>0.66405258748164631</v>
      </c>
      <c r="AZ20">
        <v>37870.900752333102</v>
      </c>
      <c r="BA20">
        <v>432.78193841916129</v>
      </c>
      <c r="BC20">
        <v>34697.100566713736</v>
      </c>
      <c r="BD20">
        <v>3022.8154277203757</v>
      </c>
      <c r="BF20">
        <v>38243.120404023211</v>
      </c>
      <c r="BG20">
        <v>144.43046097277059</v>
      </c>
      <c r="BI20">
        <v>35351.969519297425</v>
      </c>
      <c r="BJ20">
        <v>3635.9110264677633</v>
      </c>
      <c r="BL20">
        <v>40230.949498245122</v>
      </c>
      <c r="BM20">
        <v>2787.2226071452055</v>
      </c>
      <c r="BO20">
        <v>36281.138643209299</v>
      </c>
      <c r="BP20">
        <v>3506.1318823850406</v>
      </c>
      <c r="BR20">
        <v>36757.187706799792</v>
      </c>
      <c r="BS20">
        <v>3433.7027507476901</v>
      </c>
      <c r="BU20">
        <v>33873.75808253789</v>
      </c>
      <c r="BV20">
        <v>3810.529057100257</v>
      </c>
      <c r="BX20">
        <v>39438.618825447556</v>
      </c>
      <c r="BY20">
        <v>9.6536413443463101E-2</v>
      </c>
    </row>
    <row r="21" spans="13:77" x14ac:dyDescent="0.35">
      <c r="M21">
        <v>26296.771258722998</v>
      </c>
      <c r="N21">
        <v>1931.0014249077187</v>
      </c>
      <c r="P21">
        <v>17570.904485252791</v>
      </c>
      <c r="Q21">
        <v>6890.9579120924236</v>
      </c>
      <c r="S21">
        <v>28396.305422943355</v>
      </c>
      <c r="T21">
        <v>734.1976787397233</v>
      </c>
      <c r="V21">
        <v>16283.619611565937</v>
      </c>
      <c r="W21">
        <v>8204.973748274946</v>
      </c>
      <c r="Y21">
        <v>16309.363850052041</v>
      </c>
      <c r="Z21">
        <v>9671.5327536059649</v>
      </c>
      <c r="AB21">
        <v>16280.998153016333</v>
      </c>
      <c r="AC21">
        <v>8464.6201753880468</v>
      </c>
      <c r="AE21">
        <v>16279.485095100004</v>
      </c>
      <c r="AF21">
        <v>8600.230049547612</v>
      </c>
      <c r="AH21">
        <v>16279.275037490652</v>
      </c>
      <c r="AI21">
        <v>7802.2276981729492</v>
      </c>
      <c r="AK21">
        <v>31427.183036186369</v>
      </c>
      <c r="AL21">
        <v>0.73464078442877201</v>
      </c>
      <c r="AZ21">
        <v>39211.842025855251</v>
      </c>
      <c r="BA21">
        <v>372.08774170769004</v>
      </c>
      <c r="BC21">
        <v>36124.009733920313</v>
      </c>
      <c r="BD21">
        <v>2570.1483814695507</v>
      </c>
      <c r="BF21">
        <v>39575.66790811791</v>
      </c>
      <c r="BG21">
        <v>124.33792150337142</v>
      </c>
      <c r="BI21">
        <v>36629.739664339504</v>
      </c>
      <c r="BJ21">
        <v>3097.661398640254</v>
      </c>
      <c r="BL21">
        <v>40999.641221609148</v>
      </c>
      <c r="BM21">
        <v>2413.6771239437398</v>
      </c>
      <c r="BO21">
        <v>37456.408194450625</v>
      </c>
      <c r="BP21">
        <v>2996.3410420839946</v>
      </c>
      <c r="BR21">
        <v>37880.902529001178</v>
      </c>
      <c r="BS21">
        <v>2939.1023350362575</v>
      </c>
      <c r="BU21">
        <v>35319.436177661075</v>
      </c>
      <c r="BV21">
        <v>3230.5559993919701</v>
      </c>
      <c r="BX21">
        <v>40651.350180138033</v>
      </c>
      <c r="BY21">
        <v>8.344073719598491E-2</v>
      </c>
    </row>
    <row r="22" spans="13:77" x14ac:dyDescent="0.35">
      <c r="M22">
        <v>27288.614001381196</v>
      </c>
      <c r="N22">
        <v>2041.3011187229715</v>
      </c>
      <c r="P22">
        <v>18392.838371956372</v>
      </c>
      <c r="Q22">
        <v>6580.2153854497828</v>
      </c>
      <c r="S22">
        <v>29593.453523899421</v>
      </c>
      <c r="T22">
        <v>795.99410983053929</v>
      </c>
      <c r="V22">
        <v>17063.957628384873</v>
      </c>
      <c r="W22">
        <v>7717.2985946901053</v>
      </c>
      <c r="Y22">
        <v>16836.589569366959</v>
      </c>
      <c r="Z22">
        <v>9084.5194462876443</v>
      </c>
      <c r="AB22">
        <v>17017.40375805405</v>
      </c>
      <c r="AC22">
        <v>7959.0283775281732</v>
      </c>
      <c r="AE22">
        <v>16993.029380544962</v>
      </c>
      <c r="AF22">
        <v>8085.2081445875801</v>
      </c>
      <c r="AH22">
        <v>17129.345719497269</v>
      </c>
      <c r="AI22">
        <v>7341.3908629581201</v>
      </c>
      <c r="AK22">
        <v>32668.207062945618</v>
      </c>
      <c r="AL22">
        <v>0.82479066081699115</v>
      </c>
      <c r="AZ22">
        <v>40404.488689244201</v>
      </c>
      <c r="BA22">
        <v>321.33835714457155</v>
      </c>
      <c r="BC22">
        <v>37424.87953783921</v>
      </c>
      <c r="BD22">
        <v>2195.8078612361132</v>
      </c>
      <c r="BF22">
        <v>40757.106254171806</v>
      </c>
      <c r="BG22">
        <v>107.51630798060258</v>
      </c>
      <c r="BI22">
        <v>37807.950868285086</v>
      </c>
      <c r="BJ22">
        <v>2650.5693022014311</v>
      </c>
      <c r="BL22">
        <v>41721.281335344975</v>
      </c>
      <c r="BM22">
        <v>2095.734713390892</v>
      </c>
      <c r="BO22">
        <v>38543.554981005873</v>
      </c>
      <c r="BP22">
        <v>2570.9405651020379</v>
      </c>
      <c r="BR22">
        <v>38922.10078885236</v>
      </c>
      <c r="BS22">
        <v>2525.4018787581595</v>
      </c>
      <c r="BU22">
        <v>36646.072488128535</v>
      </c>
      <c r="BV22">
        <v>2752.2821900015874</v>
      </c>
      <c r="BX22">
        <v>41724.827201663902</v>
      </c>
      <c r="BY22">
        <v>7.2413210747046527E-2</v>
      </c>
    </row>
    <row r="23" spans="13:77" x14ac:dyDescent="0.35">
      <c r="M23">
        <v>28154.961755255801</v>
      </c>
      <c r="N23">
        <v>2181.1155030763853</v>
      </c>
      <c r="P23">
        <v>19157.079496406262</v>
      </c>
      <c r="Q23">
        <v>6341.1561099941428</v>
      </c>
      <c r="S23">
        <v>30677.426113191923</v>
      </c>
      <c r="T23">
        <v>874.37574786839946</v>
      </c>
      <c r="V23">
        <v>17809.187625030703</v>
      </c>
      <c r="W23">
        <v>7322.7041104863201</v>
      </c>
      <c r="Y23">
        <v>17375.2806958482</v>
      </c>
      <c r="Z23">
        <v>8585.9977067290201</v>
      </c>
      <c r="AB23">
        <v>17726.338907241796</v>
      </c>
      <c r="AC23">
        <v>7546.2675287928814</v>
      </c>
      <c r="AE23">
        <v>17683.174145841804</v>
      </c>
      <c r="AF23">
        <v>7662.8247388909331</v>
      </c>
      <c r="AH23">
        <v>17932.778979242597</v>
      </c>
      <c r="AI23">
        <v>6973.8550312514872</v>
      </c>
      <c r="AK23">
        <v>33826.240144621821</v>
      </c>
      <c r="AL23">
        <v>0.93880183699123754</v>
      </c>
      <c r="AZ23">
        <v>41465.256070698837</v>
      </c>
      <c r="BA23">
        <v>278.61711938924492</v>
      </c>
      <c r="BC23">
        <v>38609.854612090341</v>
      </c>
      <c r="BD23">
        <v>1884.2420492603023</v>
      </c>
      <c r="BF23">
        <v>41804.583325422631</v>
      </c>
      <c r="BG23">
        <v>93.337093546173605</v>
      </c>
      <c r="BI23">
        <v>38892.368076229504</v>
      </c>
      <c r="BJ23">
        <v>2277.0989756571244</v>
      </c>
      <c r="BL23">
        <v>42396.157652668109</v>
      </c>
      <c r="BM23">
        <v>1824.193079734225</v>
      </c>
      <c r="BO23">
        <v>39546.988802132946</v>
      </c>
      <c r="BP23">
        <v>2214.1124473342397</v>
      </c>
      <c r="BR23">
        <v>39884.554508423942</v>
      </c>
      <c r="BS23">
        <v>2177.6446940768969</v>
      </c>
      <c r="BU23">
        <v>37861.88108080349</v>
      </c>
      <c r="BV23">
        <v>2355.3651274895383</v>
      </c>
      <c r="BX23">
        <v>42675.040059596642</v>
      </c>
      <c r="BY23">
        <v>6.3068171613960583E-2</v>
      </c>
    </row>
    <row r="24" spans="13:77" x14ac:dyDescent="0.35">
      <c r="M24">
        <v>28895.105600556566</v>
      </c>
      <c r="N24">
        <v>2352.1690871456535</v>
      </c>
      <c r="P24">
        <v>19862.106473833126</v>
      </c>
      <c r="Q24">
        <v>6162.7370573162161</v>
      </c>
      <c r="S24">
        <v>31648.977055010844</v>
      </c>
      <c r="T24">
        <v>971.88090594897005</v>
      </c>
      <c r="V24">
        <v>18514.889523198959</v>
      </c>
      <c r="W24">
        <v>7006.6429771718576</v>
      </c>
      <c r="Y24">
        <v>17914.340576139828</v>
      </c>
      <c r="Z24">
        <v>8165.6036181377494</v>
      </c>
      <c r="AB24">
        <v>18402.372180155715</v>
      </c>
      <c r="AC24">
        <v>7212.2896791082467</v>
      </c>
      <c r="AE24">
        <v>18343.933983272447</v>
      </c>
      <c r="AF24">
        <v>7319.3246402314116</v>
      </c>
      <c r="AH24">
        <v>18686.610411942533</v>
      </c>
      <c r="AI24">
        <v>6684.4177587312115</v>
      </c>
      <c r="AK24">
        <v>34906.816962363693</v>
      </c>
      <c r="AL24">
        <v>1.0823310722963362</v>
      </c>
      <c r="AZ24">
        <v>42408.730532247049</v>
      </c>
      <c r="BA24">
        <v>242.43273873621916</v>
      </c>
      <c r="BC24">
        <v>39688.353538647651</v>
      </c>
      <c r="BD24">
        <v>1623.3654728281963</v>
      </c>
      <c r="BF24">
        <v>42733.296244410303</v>
      </c>
      <c r="BG24">
        <v>81.311290519656254</v>
      </c>
      <c r="BI24">
        <v>39888.763802120222</v>
      </c>
      <c r="BJ24">
        <v>1963.4672735920351</v>
      </c>
      <c r="BL24">
        <v>43025.212317720172</v>
      </c>
      <c r="BM24">
        <v>1591.5173121721027</v>
      </c>
      <c r="BO24">
        <v>40471.321678632245</v>
      </c>
      <c r="BP24">
        <v>1913.3299467351696</v>
      </c>
      <c r="BR24">
        <v>40772.324194235218</v>
      </c>
      <c r="BS24">
        <v>1883.9398508728368</v>
      </c>
      <c r="BU24">
        <v>38974.702139135181</v>
      </c>
      <c r="BV24">
        <v>2024.001121360694</v>
      </c>
      <c r="BX24">
        <v>43516.142816303392</v>
      </c>
      <c r="BY24">
        <v>5.5103368892978753E-2</v>
      </c>
    </row>
    <row r="25" spans="13:77" x14ac:dyDescent="0.35">
      <c r="M25">
        <v>29507.628446509465</v>
      </c>
      <c r="N25">
        <v>2556.4827958273959</v>
      </c>
      <c r="P25">
        <v>20506.77317097997</v>
      </c>
      <c r="Q25">
        <v>6036.1135658959911</v>
      </c>
      <c r="S25">
        <v>32507.509589706649</v>
      </c>
      <c r="T25">
        <v>1091.6701361210282</v>
      </c>
      <c r="V25">
        <v>19177.461642428214</v>
      </c>
      <c r="W25">
        <v>6757.3229905363632</v>
      </c>
      <c r="Y25">
        <v>18444.870214415492</v>
      </c>
      <c r="Z25">
        <v>7813.9744941498766</v>
      </c>
      <c r="AB25">
        <v>19041.102193145958</v>
      </c>
      <c r="AC25">
        <v>6945.5638867325233</v>
      </c>
      <c r="AE25">
        <v>18970.468755019512</v>
      </c>
      <c r="AF25">
        <v>7043.3355715530588</v>
      </c>
      <c r="AH25">
        <v>19388.384169165172</v>
      </c>
      <c r="AI25">
        <v>6460.9648793545912</v>
      </c>
      <c r="AK25">
        <v>35915.099027672542</v>
      </c>
      <c r="AL25">
        <v>1.262769715611636</v>
      </c>
      <c r="AZ25">
        <v>43247.879492293883</v>
      </c>
      <c r="BA25">
        <v>211.61375045303097</v>
      </c>
      <c r="BC25">
        <v>40669.13851839913</v>
      </c>
      <c r="BD25">
        <v>1403.7109701109284</v>
      </c>
      <c r="BF25">
        <v>43556.715467229165</v>
      </c>
      <c r="BG25">
        <v>71.054745822433176</v>
      </c>
      <c r="BI25">
        <v>40802.853069335841</v>
      </c>
      <c r="BJ25">
        <v>1698.7695092089366</v>
      </c>
      <c r="BL25">
        <v>43609.86500632672</v>
      </c>
      <c r="BM25">
        <v>1391.5169872335816</v>
      </c>
      <c r="BO25">
        <v>41321.262627651908</v>
      </c>
      <c r="BP25">
        <v>1658.6138480476923</v>
      </c>
      <c r="BR25">
        <v>41589.636757249988</v>
      </c>
      <c r="BS25">
        <v>1634.7806327572187</v>
      </c>
      <c r="BU25">
        <v>39992.021325148897</v>
      </c>
      <c r="BV25">
        <v>1745.8198062180745</v>
      </c>
      <c r="BX25">
        <v>44260.664263200226</v>
      </c>
      <c r="BY25">
        <v>4.8279678141675351E-2</v>
      </c>
    </row>
    <row r="26" spans="13:77" x14ac:dyDescent="0.35">
      <c r="M26">
        <v>29990.626905508048</v>
      </c>
      <c r="N26">
        <v>2796.1461094590486</v>
      </c>
      <c r="P26">
        <v>21090.339889420808</v>
      </c>
      <c r="Q26">
        <v>5954.1015534417111</v>
      </c>
      <c r="S26">
        <v>33250.981893402277</v>
      </c>
      <c r="T26">
        <v>1237.5553963335369</v>
      </c>
      <c r="V26">
        <v>19794.034332719239</v>
      </c>
      <c r="W26">
        <v>6565.1239315829853</v>
      </c>
      <c r="Y26">
        <v>18959.708730354298</v>
      </c>
      <c r="Z26">
        <v>7522.8033277802469</v>
      </c>
      <c r="AB26">
        <v>19639.011781066154</v>
      </c>
      <c r="AC26">
        <v>6736.585901384612</v>
      </c>
      <c r="AE26">
        <v>19558.905678234965</v>
      </c>
      <c r="AF26">
        <v>6825.4291433027365</v>
      </c>
      <c r="AH26">
        <v>20036.154587519311</v>
      </c>
      <c r="AI26">
        <v>6293.7541107037605</v>
      </c>
      <c r="AK26">
        <v>36855.898650747149</v>
      </c>
      <c r="AL26">
        <v>1.4897501489993692</v>
      </c>
      <c r="AZ26">
        <v>43994.234619515664</v>
      </c>
      <c r="BA26">
        <v>185.23157427403044</v>
      </c>
      <c r="BC26">
        <v>41560.361854348477</v>
      </c>
      <c r="BD26">
        <v>1217.8056763043967</v>
      </c>
      <c r="BF26">
        <v>44286.782220214023</v>
      </c>
      <c r="BG26">
        <v>62.262873058036099</v>
      </c>
      <c r="BI26">
        <v>41640.234665356387</v>
      </c>
      <c r="BJ26">
        <v>1474.3233613857656</v>
      </c>
      <c r="BL26">
        <v>44151.873293818433</v>
      </c>
      <c r="BM26">
        <v>1219.0883777901468</v>
      </c>
      <c r="BO26">
        <v>42101.530426751349</v>
      </c>
      <c r="BP26">
        <v>1441.9681274777354</v>
      </c>
      <c r="BR26">
        <v>42340.786208686775</v>
      </c>
      <c r="BS26">
        <v>1422.5244119870258</v>
      </c>
      <c r="BU26">
        <v>40920.970067026537</v>
      </c>
      <c r="BV26">
        <v>1511.0680874058085</v>
      </c>
      <c r="BX26">
        <v>44919.694546660823</v>
      </c>
      <c r="BY26">
        <v>4.2406221956591064E-2</v>
      </c>
    </row>
    <row r="27" spans="13:77" x14ac:dyDescent="0.35">
      <c r="M27">
        <v>30342.029590918555</v>
      </c>
      <c r="N27">
        <v>3073.0377738646648</v>
      </c>
      <c r="P27">
        <v>21612.496106199727</v>
      </c>
      <c r="Q27">
        <v>5910.7643465749461</v>
      </c>
      <c r="S27">
        <v>33875.835479979294</v>
      </c>
      <c r="T27">
        <v>1414.0067468615264</v>
      </c>
      <c r="V27">
        <v>20362.403791444336</v>
      </c>
      <c r="W27">
        <v>6422.130883653389</v>
      </c>
      <c r="Y27">
        <v>19453.101781961363</v>
      </c>
      <c r="Z27">
        <v>7284.7952611504443</v>
      </c>
      <c r="AB27">
        <v>20193.360241046335</v>
      </c>
      <c r="AC27">
        <v>6577.4715054152875</v>
      </c>
      <c r="AE27">
        <v>20106.209055701842</v>
      </c>
      <c r="AF27">
        <v>6657.7475725400718</v>
      </c>
      <c r="AH27">
        <v>20628.481307575359</v>
      </c>
      <c r="AI27">
        <v>6174.8628951680612</v>
      </c>
      <c r="AK27">
        <v>37733.700999979323</v>
      </c>
      <c r="AL27">
        <v>1.7758213516731558</v>
      </c>
      <c r="AZ27">
        <v>44658.052677898442</v>
      </c>
      <c r="BA27">
        <v>162.54383936136429</v>
      </c>
      <c r="BC27">
        <v>42369.60047846887</v>
      </c>
      <c r="BD27">
        <v>1059.7078031718499</v>
      </c>
      <c r="BF27">
        <v>44934.082812283021</v>
      </c>
      <c r="BG27">
        <v>54.692059368362763</v>
      </c>
      <c r="BI27">
        <v>42406.341884650392</v>
      </c>
      <c r="BJ27">
        <v>1283.1732257601868</v>
      </c>
      <c r="BL27">
        <v>44653.222680045859</v>
      </c>
      <c r="BM27">
        <v>1070.0084885092965</v>
      </c>
      <c r="BO27">
        <v>42816.783514193819</v>
      </c>
      <c r="BP27">
        <v>1256.9493819429754</v>
      </c>
      <c r="BR27">
        <v>43030.054642461277</v>
      </c>
      <c r="BS27">
        <v>1240.9937385266269</v>
      </c>
      <c r="BU27">
        <v>41768.318867948445</v>
      </c>
      <c r="BV27">
        <v>1312.0028575876333</v>
      </c>
      <c r="BX27">
        <v>45503.050363845599</v>
      </c>
      <c r="BY27">
        <v>3.7329343750807542E-2</v>
      </c>
    </row>
    <row r="28" spans="13:77" x14ac:dyDescent="0.35">
      <c r="M28">
        <v>30560.029449350553</v>
      </c>
      <c r="N28">
        <v>3388.4849532913854</v>
      </c>
      <c r="P28">
        <v>22073.380085389912</v>
      </c>
      <c r="Q28">
        <v>5901.0923852723772</v>
      </c>
      <c r="S28">
        <v>34376.977012803298</v>
      </c>
      <c r="T28">
        <v>1626.1119404491662</v>
      </c>
      <c r="V28">
        <v>20880.981995083279</v>
      </c>
      <c r="W28">
        <v>6321.7605671304018</v>
      </c>
      <c r="Y28">
        <v>19920.458861998748</v>
      </c>
      <c r="Z28">
        <v>7093.5747101349098</v>
      </c>
      <c r="AB28">
        <v>20702.103219092074</v>
      </c>
      <c r="AC28">
        <v>6461.6218738601965</v>
      </c>
      <c r="AE28">
        <v>20610.083906693595</v>
      </c>
      <c r="AF28">
        <v>6533.6908385324296</v>
      </c>
      <c r="AH28">
        <v>21164.423656443614</v>
      </c>
      <c r="AI28">
        <v>6097.7593984101604</v>
      </c>
      <c r="AK28">
        <v>38552.684279849498</v>
      </c>
      <c r="AL28">
        <v>2.1373481108587402</v>
      </c>
      <c r="AZ28">
        <v>45248.457400315703</v>
      </c>
      <c r="BA28">
        <v>142.95222298340047</v>
      </c>
      <c r="BC28">
        <v>43103.884811206924</v>
      </c>
      <c r="BD28">
        <v>924.65992117034409</v>
      </c>
      <c r="BF28">
        <v>45508.002752469329</v>
      </c>
      <c r="BG28">
        <v>48.145846366414894</v>
      </c>
      <c r="BI28">
        <v>43106.403653824025</v>
      </c>
      <c r="BJ28">
        <v>1119.7134017305909</v>
      </c>
      <c r="BL28">
        <v>45116.040377868427</v>
      </c>
      <c r="BM28">
        <v>940.77026668231554</v>
      </c>
      <c r="BO28">
        <v>43471.565370305922</v>
      </c>
      <c r="BP28">
        <v>1098.3365243038379</v>
      </c>
      <c r="BR28">
        <v>43661.650806646001</v>
      </c>
      <c r="BS28">
        <v>1085.1688667227525</v>
      </c>
      <c r="BU28">
        <v>42540.470108333087</v>
      </c>
      <c r="BV28">
        <v>1142.4356064382769</v>
      </c>
      <c r="BX28">
        <v>46019.421189362271</v>
      </c>
      <c r="BY28">
        <v>3.2924357680950422E-2</v>
      </c>
    </row>
    <row r="29" spans="13:77" x14ac:dyDescent="0.35">
      <c r="M29">
        <v>30643.635816521193</v>
      </c>
      <c r="N29">
        <v>3742.8630089078974</v>
      </c>
      <c r="P29">
        <v>22473.597480103512</v>
      </c>
      <c r="Q29">
        <v>5920.7536102043559</v>
      </c>
      <c r="S29">
        <v>34747.857213781383</v>
      </c>
      <c r="T29">
        <v>1879.4558554911491</v>
      </c>
      <c r="V29">
        <v>21348.759673217988</v>
      </c>
      <c r="W29">
        <v>6258.4618474534382</v>
      </c>
      <c r="Y29">
        <v>20358.173281489289</v>
      </c>
      <c r="Z29">
        <v>6943.5719415912608</v>
      </c>
      <c r="AB29">
        <v>21163.833218467898</v>
      </c>
      <c r="AC29">
        <v>6383.4495520923601</v>
      </c>
      <c r="AE29">
        <v>21068.904378603795</v>
      </c>
      <c r="AF29">
        <v>6447.6569167062844</v>
      </c>
      <c r="AH29">
        <v>21643.537217894162</v>
      </c>
      <c r="AI29">
        <v>6056.9668733245517</v>
      </c>
      <c r="AK29">
        <v>39316.738018614349</v>
      </c>
      <c r="AL29">
        <v>2.5957075375041438</v>
      </c>
      <c r="AZ29">
        <v>45773.565027484408</v>
      </c>
      <c r="BA29">
        <v>125.97079215662188</v>
      </c>
      <c r="BC29">
        <v>43769.725325249849</v>
      </c>
      <c r="BD29">
        <v>808.82739870265084</v>
      </c>
      <c r="BF29">
        <v>46016.86314699598</v>
      </c>
      <c r="BG29">
        <v>42.464561738484193</v>
      </c>
      <c r="BI29">
        <v>43745.415683041254</v>
      </c>
      <c r="BJ29">
        <v>979.39986120584012</v>
      </c>
      <c r="BL29">
        <v>45542.528186372321</v>
      </c>
      <c r="BM29">
        <v>828.4505042453743</v>
      </c>
      <c r="BO29">
        <v>44070.263394936519</v>
      </c>
      <c r="BP29">
        <v>961.87602967100588</v>
      </c>
      <c r="BR29">
        <v>44239.663610024283</v>
      </c>
      <c r="BS29">
        <v>950.94957707404615</v>
      </c>
      <c r="BU29">
        <v>43243.453516861518</v>
      </c>
      <c r="BV29">
        <v>997.38843569858784</v>
      </c>
      <c r="BX29">
        <v>46476.498711026165</v>
      </c>
      <c r="BY29">
        <v>2.9089319064392768E-2</v>
      </c>
    </row>
    <row r="30" spans="13:77" x14ac:dyDescent="0.35">
      <c r="M30">
        <v>30593.331497777337</v>
      </c>
      <c r="N30">
        <v>4135.1561553538204</v>
      </c>
      <c r="P30">
        <v>22814.238805465266</v>
      </c>
      <c r="Q30">
        <v>5965.8991249455521</v>
      </c>
      <c r="S30">
        <v>34980.705020159585</v>
      </c>
      <c r="T30">
        <v>2179.8782398573267</v>
      </c>
      <c r="V30">
        <v>21765.279586989418</v>
      </c>
      <c r="W30">
        <v>6227.4756577748058</v>
      </c>
      <c r="Y30">
        <v>20763.486999219378</v>
      </c>
      <c r="Z30">
        <v>6829.9057171924469</v>
      </c>
      <c r="AB30">
        <v>21577.73555119662</v>
      </c>
      <c r="AC30">
        <v>6338.1549928640425</v>
      </c>
      <c r="AE30">
        <v>21481.660444120251</v>
      </c>
      <c r="AF30">
        <v>6394.8276154531013</v>
      </c>
      <c r="AH30">
        <v>22065.8734762118</v>
      </c>
      <c r="AI30">
        <v>6047.7998401693449</v>
      </c>
      <c r="AK30">
        <v>40029.479412041568</v>
      </c>
      <c r="AL30">
        <v>3.1788821478770251</v>
      </c>
      <c r="AZ30">
        <v>46240.595635300211</v>
      </c>
      <c r="BA30">
        <v>111.20202072272593</v>
      </c>
      <c r="BC30">
        <v>44373.13848357767</v>
      </c>
      <c r="BD30">
        <v>709.09960379175288</v>
      </c>
      <c r="BF30">
        <v>46468.041495022269</v>
      </c>
      <c r="BG30">
        <v>37.517469826551576</v>
      </c>
      <c r="BI30">
        <v>44328.12065748898</v>
      </c>
      <c r="BJ30">
        <v>858.52845593855807</v>
      </c>
      <c r="BL30">
        <v>45934.910702950991</v>
      </c>
      <c r="BM30">
        <v>730.60370180469488</v>
      </c>
      <c r="BO30">
        <v>44617.079243678076</v>
      </c>
      <c r="BP30">
        <v>844.08440639201694</v>
      </c>
      <c r="BR30">
        <v>44768.028093864763</v>
      </c>
      <c r="BS30">
        <v>834.9697584121343</v>
      </c>
      <c r="BU30">
        <v>43882.925587876976</v>
      </c>
      <c r="BV30">
        <v>872.83240790911384</v>
      </c>
      <c r="BX30">
        <v>46881.091402826125</v>
      </c>
      <c r="BY30">
        <v>2.5740279439489342E-2</v>
      </c>
    </row>
    <row r="31" spans="13:77" x14ac:dyDescent="0.35">
      <c r="M31">
        <v>30411.791018579745</v>
      </c>
      <c r="N31">
        <v>4562.5224948104742</v>
      </c>
      <c r="P31">
        <v>23096.894080713191</v>
      </c>
      <c r="Q31">
        <v>6033.0135564951752</v>
      </c>
      <c r="S31">
        <v>35066.9872932859</v>
      </c>
      <c r="T31">
        <v>2533.0630397460718</v>
      </c>
      <c r="V31">
        <v>22130.617367321807</v>
      </c>
      <c r="W31">
        <v>6224.6430343461107</v>
      </c>
      <c r="Y31">
        <v>21134.387836431215</v>
      </c>
      <c r="Z31">
        <v>6748.2712537362695</v>
      </c>
      <c r="AB31">
        <v>21943.555512301562</v>
      </c>
      <c r="AC31">
        <v>6321.5453032039431</v>
      </c>
      <c r="AE31">
        <v>21847.917852166029</v>
      </c>
      <c r="AF31">
        <v>6370.9933089976976</v>
      </c>
      <c r="AH31">
        <v>22431.981908534312</v>
      </c>
      <c r="AI31">
        <v>6066.1566065318721</v>
      </c>
      <c r="AK31">
        <v>40694.267611563395</v>
      </c>
      <c r="AL31">
        <v>3.9235831621084771</v>
      </c>
      <c r="AZ31">
        <v>46655.972004446659</v>
      </c>
      <c r="BA31">
        <v>98.31846775481678</v>
      </c>
      <c r="BC31">
        <v>44919.672751428501</v>
      </c>
      <c r="BD31">
        <v>622.93772646793911</v>
      </c>
      <c r="BF31">
        <v>46868.078716600539</v>
      </c>
      <c r="BG31">
        <v>33.196778380640168</v>
      </c>
      <c r="BI31">
        <v>44858.996219611436</v>
      </c>
      <c r="BJ31">
        <v>754.06325467020838</v>
      </c>
      <c r="BL31">
        <v>46295.395857123251</v>
      </c>
      <c r="BM31">
        <v>645.17657061969817</v>
      </c>
      <c r="BO31">
        <v>45116.008687987283</v>
      </c>
      <c r="BP31">
        <v>742.09423433744576</v>
      </c>
      <c r="BR31">
        <v>45250.501651911371</v>
      </c>
      <c r="BS31">
        <v>734.45235027221861</v>
      </c>
      <c r="BU31">
        <v>44464.173166569657</v>
      </c>
      <c r="BV31">
        <v>765.48718502572376</v>
      </c>
      <c r="BX31">
        <v>47239.225941779638</v>
      </c>
      <c r="BY31">
        <v>2.2807642441571574E-2</v>
      </c>
    </row>
    <row r="32" spans="13:77" x14ac:dyDescent="0.35">
      <c r="M32">
        <v>30104.581369677013</v>
      </c>
      <c r="N32">
        <v>5019.9317525218539</v>
      </c>
      <c r="P32">
        <v>23323.66188013781</v>
      </c>
      <c r="Q32">
        <v>6118.8029232331619</v>
      </c>
      <c r="S32">
        <v>34998.16731963354</v>
      </c>
      <c r="T32">
        <v>2943.916517964296</v>
      </c>
      <c r="V32">
        <v>22445.367014147763</v>
      </c>
      <c r="W32">
        <v>6246.2527792434466</v>
      </c>
      <c r="Y32">
        <v>21469.530084266829</v>
      </c>
      <c r="Z32">
        <v>6694.8383836312769</v>
      </c>
      <c r="AB32">
        <v>22261.573029553681</v>
      </c>
      <c r="AC32">
        <v>6329.8885475249663</v>
      </c>
      <c r="AE32">
        <v>22167.787103860741</v>
      </c>
      <c r="AF32">
        <v>6372.4109481312298</v>
      </c>
      <c r="AH32">
        <v>22742.912769970302</v>
      </c>
      <c r="AI32">
        <v>6108.3571291200415</v>
      </c>
      <c r="AK32">
        <v>41314.215769941482</v>
      </c>
      <c r="AL32">
        <v>4.8780839454410456</v>
      </c>
      <c r="AZ32">
        <v>47025.40751144848</v>
      </c>
      <c r="BA32">
        <v>87.048668487861832</v>
      </c>
      <c r="BC32">
        <v>45414.434849674035</v>
      </c>
      <c r="BD32">
        <v>548.2574902665142</v>
      </c>
      <c r="BF32">
        <v>47222.774011078676</v>
      </c>
      <c r="BG32">
        <v>29.413025262875184</v>
      </c>
      <c r="BI32">
        <v>45342.249441175496</v>
      </c>
      <c r="BJ32">
        <v>663.50292542710827</v>
      </c>
      <c r="BL32">
        <v>46626.145326011654</v>
      </c>
      <c r="BM32">
        <v>570.43896504017209</v>
      </c>
      <c r="BO32">
        <v>45570.829245383458</v>
      </c>
      <c r="BP32">
        <v>653.53354183888337</v>
      </c>
      <c r="BR32">
        <v>45690.648558695939</v>
      </c>
      <c r="BS32">
        <v>647.0953050722926</v>
      </c>
      <c r="BU32">
        <v>44992.120870737461</v>
      </c>
      <c r="BV32">
        <v>672.666607954342</v>
      </c>
      <c r="BX32">
        <v>47556.236979373258</v>
      </c>
      <c r="BY32">
        <v>2.023334292070678E-2</v>
      </c>
    </row>
    <row r="33" spans="13:77" x14ac:dyDescent="0.35">
      <c r="M33">
        <v>29680.73394231878</v>
      </c>
      <c r="N33">
        <v>5499.9630836331562</v>
      </c>
      <c r="P33">
        <v>23497.149460820139</v>
      </c>
      <c r="Q33">
        <v>6220.1150779677637</v>
      </c>
      <c r="S33">
        <v>34766.818429421</v>
      </c>
      <c r="T33">
        <v>3415.7127692872023</v>
      </c>
      <c r="V33">
        <v>22710.627988435488</v>
      </c>
      <c r="W33">
        <v>6288.9224749666746</v>
      </c>
      <c r="Y33">
        <v>21768.171759599012</v>
      </c>
      <c r="Z33">
        <v>6666.1622698594192</v>
      </c>
      <c r="AB33">
        <v>22532.581279641261</v>
      </c>
      <c r="AC33">
        <v>6359.7984475740977</v>
      </c>
      <c r="AE33">
        <v>22441.897677891746</v>
      </c>
      <c r="AF33">
        <v>6395.6908340828904</v>
      </c>
      <c r="AH33">
        <v>23000.218009119835</v>
      </c>
      <c r="AI33">
        <v>6171.0184816156079</v>
      </c>
      <c r="AK33">
        <v>41892.200558630277</v>
      </c>
      <c r="AL33">
        <v>6.106005825016064</v>
      </c>
      <c r="AZ33">
        <v>47353.984308685496</v>
      </c>
      <c r="BA33">
        <v>77.166185900465564</v>
      </c>
      <c r="BC33">
        <v>45862.116145186366</v>
      </c>
      <c r="BD33">
        <v>483.33815928514076</v>
      </c>
      <c r="BF33">
        <v>47537.268946504148</v>
      </c>
      <c r="BG33">
        <v>26.091499726023734</v>
      </c>
      <c r="BI33">
        <v>45781.816548248848</v>
      </c>
      <c r="BJ33">
        <v>584.77615556564399</v>
      </c>
      <c r="BL33">
        <v>46929.252853076076</v>
      </c>
      <c r="BM33">
        <v>504.92792078845343</v>
      </c>
      <c r="BO33">
        <v>45985.094038969582</v>
      </c>
      <c r="BP33">
        <v>576.43082259352923</v>
      </c>
      <c r="BR33">
        <v>46091.831140942333</v>
      </c>
      <c r="BS33">
        <v>570.98150324497942</v>
      </c>
      <c r="BU33">
        <v>45471.341762664393</v>
      </c>
      <c r="BV33">
        <v>592.15894073018615</v>
      </c>
      <c r="BX33">
        <v>47836.846604807295</v>
      </c>
      <c r="BY33">
        <v>1.7968646742669073E-2</v>
      </c>
    </row>
    <row r="34" spans="13:77" x14ac:dyDescent="0.35">
      <c r="M34">
        <v>29153.058284926887</v>
      </c>
      <c r="N34">
        <v>5992.8533176404871</v>
      </c>
      <c r="P34">
        <v>23620.460558514744</v>
      </c>
      <c r="Q34">
        <v>6333.8891361173146</v>
      </c>
      <c r="S34">
        <v>34368.099434979646</v>
      </c>
      <c r="T34">
        <v>3949.0331853131884</v>
      </c>
      <c r="V34">
        <v>22927.99074387076</v>
      </c>
      <c r="W34">
        <v>6349.5082248028248</v>
      </c>
      <c r="Y34">
        <v>22030.123248401469</v>
      </c>
      <c r="Z34">
        <v>6659.1076000484791</v>
      </c>
      <c r="AB34">
        <v>22757.865932281609</v>
      </c>
      <c r="AC34">
        <v>6408.1455228212435</v>
      </c>
      <c r="AE34">
        <v>22671.374035845602</v>
      </c>
      <c r="AF34">
        <v>6437.7085972391706</v>
      </c>
      <c r="AH34">
        <v>23205.947266180079</v>
      </c>
      <c r="AI34">
        <v>6250.9624889535562</v>
      </c>
      <c r="AK34">
        <v>42430.868740156184</v>
      </c>
      <c r="AL34">
        <v>7.6913823960387369</v>
      </c>
      <c r="AZ34">
        <v>47646.222892571277</v>
      </c>
      <c r="BA34">
        <v>68.481052522211144</v>
      </c>
      <c r="BC34">
        <v>46267.018953649545</v>
      </c>
      <c r="BD34">
        <v>426.75149882096565</v>
      </c>
      <c r="BF34">
        <v>47816.122012010215</v>
      </c>
      <c r="BG34">
        <v>23.169445547670595</v>
      </c>
      <c r="BI34">
        <v>46181.366783698279</v>
      </c>
      <c r="BJ34">
        <v>516.15935735246001</v>
      </c>
      <c r="BL34">
        <v>47206.728863890705</v>
      </c>
      <c r="BM34">
        <v>447.40217055141937</v>
      </c>
      <c r="BO34">
        <v>46362.130563096973</v>
      </c>
      <c r="BP34">
        <v>509.13986954726761</v>
      </c>
      <c r="BR34">
        <v>46457.206184044706</v>
      </c>
      <c r="BS34">
        <v>504.5072506537756</v>
      </c>
      <c r="BU34">
        <v>45906.070600850784</v>
      </c>
      <c r="BV34">
        <v>522.13343791184332</v>
      </c>
      <c r="BX34">
        <v>48085.234683709714</v>
      </c>
      <c r="BY34">
        <v>1.5972422184533958E-2</v>
      </c>
    </row>
    <row r="35" spans="13:77" x14ac:dyDescent="0.35">
      <c r="M35">
        <v>28538.078534459521</v>
      </c>
      <c r="N35">
        <v>6486.8631585713565</v>
      </c>
      <c r="P35">
        <v>23697.167874822611</v>
      </c>
      <c r="Q35">
        <v>6457.1308864627163</v>
      </c>
      <c r="S35">
        <v>33801.506498108582</v>
      </c>
      <c r="T35">
        <v>4540.6056558689952</v>
      </c>
      <c r="V35">
        <v>23099.51762398734</v>
      </c>
      <c r="W35">
        <v>6425.0396295550963</v>
      </c>
      <c r="Y35">
        <v>22255.703097959111</v>
      </c>
      <c r="Z35">
        <v>6670.7863880167015</v>
      </c>
      <c r="AB35">
        <v>22939.181904453395</v>
      </c>
      <c r="AC35">
        <v>6471.9915904996624</v>
      </c>
      <c r="AE35">
        <v>22857.810235633835</v>
      </c>
      <c r="AF35">
        <v>6495.5395503385635</v>
      </c>
      <c r="AH35">
        <v>23362.635767455209</v>
      </c>
      <c r="AI35">
        <v>6345.1515885427234</v>
      </c>
      <c r="AK35">
        <v>42932.640204879812</v>
      </c>
      <c r="AL35">
        <v>9.7454412561633941</v>
      </c>
      <c r="AZ35">
        <v>47906.144021510161</v>
      </c>
      <c r="BA35">
        <v>60.833033464172608</v>
      </c>
      <c r="BC35">
        <v>46633.082496033407</v>
      </c>
      <c r="BD35">
        <v>377.30597588379237</v>
      </c>
      <c r="BF35">
        <v>48063.37471978354</v>
      </c>
      <c r="BG35">
        <v>20.593859538456833</v>
      </c>
      <c r="BI35">
        <v>46544.309436147632</v>
      </c>
      <c r="BJ35">
        <v>456.21156917162006</v>
      </c>
      <c r="BL35">
        <v>47460.490074453992</v>
      </c>
      <c r="BM35">
        <v>396.80505627330314</v>
      </c>
      <c r="BO35">
        <v>46705.043238648344</v>
      </c>
      <c r="BP35">
        <v>450.28000001984378</v>
      </c>
      <c r="BR35">
        <v>46789.725397873168</v>
      </c>
      <c r="BS35">
        <v>446.3252583801484</v>
      </c>
      <c r="BU35">
        <v>46300.219012311667</v>
      </c>
      <c r="BV35">
        <v>461.06702394603366</v>
      </c>
      <c r="BX35">
        <v>48305.101120064675</v>
      </c>
      <c r="BY35">
        <v>1.4209772296739167E-2</v>
      </c>
    </row>
    <row r="36" spans="13:77" x14ac:dyDescent="0.35">
      <c r="M36">
        <v>27855.520629356077</v>
      </c>
      <c r="N36">
        <v>6968.9765281830933</v>
      </c>
      <c r="P36">
        <v>23731.268202838015</v>
      </c>
      <c r="Q36">
        <v>6586.9111671591463</v>
      </c>
      <c r="S36">
        <v>33072.684973051459</v>
      </c>
      <c r="T36">
        <v>5182.2515784319976</v>
      </c>
      <c r="V36">
        <v>23227.716352264695</v>
      </c>
      <c r="W36">
        <v>6512.6771865066548</v>
      </c>
      <c r="Y36">
        <v>22445.69748342369</v>
      </c>
      <c r="Z36">
        <v>6698.5090553018081</v>
      </c>
      <c r="AB36">
        <v>23078.724859139104</v>
      </c>
      <c r="AC36">
        <v>6548.5450898902409</v>
      </c>
      <c r="AE36">
        <v>23003.240364348942</v>
      </c>
      <c r="AF36">
        <v>6566.413052718367</v>
      </c>
      <c r="AH36">
        <v>23473.281168785627</v>
      </c>
      <c r="AI36">
        <v>6450.6498113323723</v>
      </c>
      <c r="AK36">
        <v>43399.706649744279</v>
      </c>
      <c r="AL36">
        <v>12.415693607536205</v>
      </c>
      <c r="AZ36">
        <v>48137.323830169596</v>
      </c>
      <c r="BA36">
        <v>54.086287100162949</v>
      </c>
      <c r="BC36">
        <v>46963.908261824683</v>
      </c>
      <c r="BD36">
        <v>334.00267224036827</v>
      </c>
      <c r="BF36">
        <v>48282.610216788722</v>
      </c>
      <c r="BG36">
        <v>18.319746717130148</v>
      </c>
      <c r="BI36">
        <v>46873.803211434453</v>
      </c>
      <c r="BJ36">
        <v>403.72269465068268</v>
      </c>
      <c r="BL36">
        <v>47692.353033007355</v>
      </c>
      <c r="BM36">
        <v>352.23418862453315</v>
      </c>
      <c r="BO36">
        <v>47016.718829282836</v>
      </c>
      <c r="BP36">
        <v>398.68829212143089</v>
      </c>
      <c r="BR36">
        <v>47092.138970677886</v>
      </c>
      <c r="BS36">
        <v>395.29896104154255</v>
      </c>
      <c r="BU36">
        <v>46657.391985695074</v>
      </c>
      <c r="BV36">
        <v>407.68643005479635</v>
      </c>
      <c r="BX36">
        <v>48499.72096878993</v>
      </c>
      <c r="BY36">
        <v>1.2650945507465301E-2</v>
      </c>
    </row>
    <row r="37" spans="13:77" x14ac:dyDescent="0.35">
      <c r="M37">
        <v>27127.359251869642</v>
      </c>
      <c r="N37">
        <v>7425.8744389712501</v>
      </c>
      <c r="P37">
        <v>23727.119483751267</v>
      </c>
      <c r="Q37">
        <v>6720.3837435624455</v>
      </c>
      <c r="S37">
        <v>32194.943904806358</v>
      </c>
      <c r="T37">
        <v>5860.2436233421222</v>
      </c>
      <c r="V37">
        <v>23315.503899140273</v>
      </c>
      <c r="W37">
        <v>6609.6895714168541</v>
      </c>
      <c r="Y37">
        <v>22601.320516247652</v>
      </c>
      <c r="Z37">
        <v>6739.7481694970784</v>
      </c>
      <c r="AB37">
        <v>23179.095214930891</v>
      </c>
      <c r="AC37">
        <v>6635.1349335652067</v>
      </c>
      <c r="AE37">
        <v>23110.102528000505</v>
      </c>
      <c r="AF37">
        <v>6647.6847304521389</v>
      </c>
      <c r="AH37">
        <v>23541.307027232157</v>
      </c>
      <c r="AI37">
        <v>6564.6060564444952</v>
      </c>
      <c r="AK37">
        <v>43834.024767670344</v>
      </c>
      <c r="AL37">
        <v>15.898125055393901</v>
      </c>
      <c r="AZ37">
        <v>48342.94288859373</v>
      </c>
      <c r="BA37">
        <v>48.125105712439947</v>
      </c>
      <c r="BC37">
        <v>47262.784566400354</v>
      </c>
      <c r="BD37">
        <v>296.00025320533143</v>
      </c>
      <c r="BF37">
        <v>48477.00525582111</v>
      </c>
      <c r="BG37">
        <v>16.308728196213075</v>
      </c>
      <c r="BI37">
        <v>47172.767261517256</v>
      </c>
      <c r="BJ37">
        <v>357.67214039863086</v>
      </c>
      <c r="BL37">
        <v>47904.030736580069</v>
      </c>
      <c r="BM37">
        <v>312.91654336945129</v>
      </c>
      <c r="BO37">
        <v>47299.833955851282</v>
      </c>
      <c r="BP37">
        <v>353.3812389313473</v>
      </c>
      <c r="BR37">
        <v>47367.001416635663</v>
      </c>
      <c r="BS37">
        <v>350.46575220407698</v>
      </c>
      <c r="BU37">
        <v>46980.905166129211</v>
      </c>
      <c r="BV37">
        <v>360.9222794524016</v>
      </c>
      <c r="BX37">
        <v>48671.993219902055</v>
      </c>
      <c r="BY37">
        <v>1.1270462156887047E-2</v>
      </c>
    </row>
    <row r="38" spans="13:77" x14ac:dyDescent="0.35">
      <c r="M38">
        <v>26376.528773701146</v>
      </c>
      <c r="N38">
        <v>7845.0502702682643</v>
      </c>
      <c r="P38">
        <v>23689.360715984967</v>
      </c>
      <c r="Q38">
        <v>6854.8185448498598</v>
      </c>
      <c r="S38">
        <v>31190.025528738774</v>
      </c>
      <c r="T38">
        <v>6555.4107865870637</v>
      </c>
      <c r="V38">
        <v>23366.159317604783</v>
      </c>
      <c r="W38">
        <v>6713.4482170138035</v>
      </c>
      <c r="Y38">
        <v>22724.1731686977</v>
      </c>
      <c r="Z38">
        <v>6792.1139758429026</v>
      </c>
      <c r="AB38">
        <v>23243.253157320731</v>
      </c>
      <c r="AC38">
        <v>6729.2005664454664</v>
      </c>
      <c r="AE38">
        <v>23181.194825823393</v>
      </c>
      <c r="AF38">
        <v>6736.8243778489332</v>
      </c>
      <c r="AH38">
        <v>23570.511567746365</v>
      </c>
      <c r="AI38">
        <v>6684.2566879984415</v>
      </c>
      <c r="AK38">
        <v>44237.302405011709</v>
      </c>
      <c r="AL38">
        <v>20.453551559439681</v>
      </c>
      <c r="AZ38">
        <v>48525.829870038557</v>
      </c>
      <c r="BA38">
        <v>42.850496127130057</v>
      </c>
      <c r="BC38">
        <v>47532.710132817723</v>
      </c>
      <c r="BD38">
        <v>262.58697858735468</v>
      </c>
      <c r="BF38">
        <v>48649.376278272721</v>
      </c>
      <c r="BG38">
        <v>14.527923304405945</v>
      </c>
      <c r="BI38">
        <v>47443.893311119653</v>
      </c>
      <c r="BJ38">
        <v>317.19560123767582</v>
      </c>
      <c r="BL38">
        <v>48097.131627056668</v>
      </c>
      <c r="BM38">
        <v>278.18795156188907</v>
      </c>
      <c r="BO38">
        <v>47556.864089588642</v>
      </c>
      <c r="BP38">
        <v>313.52382106023651</v>
      </c>
      <c r="BR38">
        <v>47616.679073213272</v>
      </c>
      <c r="BS38">
        <v>311.0072636483111</v>
      </c>
      <c r="BU38">
        <v>47273.802518667668</v>
      </c>
      <c r="BV38">
        <v>319.87245954918171</v>
      </c>
      <c r="BX38">
        <v>48824.483980941935</v>
      </c>
      <c r="BY38">
        <v>1.0046409696599534E-2</v>
      </c>
    </row>
    <row r="39" spans="13:77" x14ac:dyDescent="0.35">
      <c r="M39">
        <v>25625.48216134265</v>
      </c>
      <c r="N39">
        <v>8215.8851351407975</v>
      </c>
      <c r="P39">
        <v>23622.817353639519</v>
      </c>
      <c r="Q39">
        <v>6987.6454200255757</v>
      </c>
      <c r="S39">
        <v>30087.718524772354</v>
      </c>
      <c r="T39">
        <v>7244.2404726835039</v>
      </c>
      <c r="V39">
        <v>23383.265153344619</v>
      </c>
      <c r="W39">
        <v>6821.4363305623674</v>
      </c>
      <c r="Y39">
        <v>22816.199208451118</v>
      </c>
      <c r="Z39">
        <v>6853.3406209653294</v>
      </c>
      <c r="AB39">
        <v>23274.464034303932</v>
      </c>
      <c r="AC39">
        <v>6828.2957022175169</v>
      </c>
      <c r="AE39">
        <v>23219.622575611807</v>
      </c>
      <c r="AF39">
        <v>6831.4171751382937</v>
      </c>
      <c r="AH39">
        <v>23565.001680900492</v>
      </c>
      <c r="AI39">
        <v>6806.9440580857199</v>
      </c>
      <c r="AK39">
        <v>44610.975598928737</v>
      </c>
      <c r="AL39">
        <v>26.429563391093229</v>
      </c>
      <c r="AZ39">
        <v>48688.50041754423</v>
      </c>
      <c r="BA39">
        <v>38.177417832058353</v>
      </c>
      <c r="BC39">
        <v>47776.416572028582</v>
      </c>
      <c r="BD39">
        <v>233.1582205200171</v>
      </c>
      <c r="BF39">
        <v>48802.220275334483</v>
      </c>
      <c r="BG39">
        <v>12.949046301020381</v>
      </c>
      <c r="BI39">
        <v>47689.658432093369</v>
      </c>
      <c r="BJ39">
        <v>281.55826019634702</v>
      </c>
      <c r="BL39">
        <v>48273.160405288298</v>
      </c>
      <c r="BM39">
        <v>247.47615123893499</v>
      </c>
      <c r="BO39">
        <v>47790.093526715842</v>
      </c>
      <c r="BP39">
        <v>278.40444918434139</v>
      </c>
      <c r="BR39">
        <v>47843.358731424072</v>
      </c>
      <c r="BS39">
        <v>276.22523303236267</v>
      </c>
      <c r="BU39">
        <v>47538.874009769403</v>
      </c>
      <c r="BV39">
        <v>283.77275131091716</v>
      </c>
      <c r="BX39">
        <v>48959.464700891302</v>
      </c>
      <c r="BY39">
        <v>8.9598704651730216E-3</v>
      </c>
    </row>
    <row r="40" spans="13:77" x14ac:dyDescent="0.35">
      <c r="M40">
        <v>24894.817267986222</v>
      </c>
      <c r="N40">
        <v>8530.501022676528</v>
      </c>
      <c r="P40">
        <v>23532.396399402012</v>
      </c>
      <c r="Q40">
        <v>7116.503071988036</v>
      </c>
      <c r="S40">
        <v>28924.115989841481</v>
      </c>
      <c r="T40">
        <v>7900.9963334730728</v>
      </c>
      <c r="V40">
        <v>23370.638170332611</v>
      </c>
      <c r="W40">
        <v>6931.2691155377097</v>
      </c>
      <c r="Y40">
        <v>22879.637186852164</v>
      </c>
      <c r="Z40">
        <v>6921.2817177657716</v>
      </c>
      <c r="AB40">
        <v>23276.234515959215</v>
      </c>
      <c r="AC40">
        <v>6930.102895789134</v>
      </c>
      <c r="AE40">
        <v>23228.736992849765</v>
      </c>
      <c r="AF40">
        <v>6929.1755720439614</v>
      </c>
      <c r="AH40">
        <v>23529.113508137027</v>
      </c>
      <c r="AI40">
        <v>6930.1470216652979</v>
      </c>
      <c r="AK40">
        <v>44956.173687072624</v>
      </c>
      <c r="AL40">
        <v>34.289951956860094</v>
      </c>
      <c r="AZ40">
        <v>48833.191734318105</v>
      </c>
      <c r="BA40">
        <v>34.032538873794927</v>
      </c>
      <c r="BC40">
        <v>47996.389676018342</v>
      </c>
      <c r="BD40">
        <v>207.19831085397084</v>
      </c>
      <c r="BF40">
        <v>48937.751018688163</v>
      </c>
      <c r="BG40">
        <v>11.547672052276234</v>
      </c>
      <c r="BI40">
        <v>47912.338109408825</v>
      </c>
      <c r="BJ40">
        <v>250.13306300743199</v>
      </c>
      <c r="BL40">
        <v>48433.520211103052</v>
      </c>
      <c r="BM40">
        <v>220.28673476989223</v>
      </c>
      <c r="BO40">
        <v>48001.625949623623</v>
      </c>
      <c r="BP40">
        <v>247.41457199550857</v>
      </c>
      <c r="BR40">
        <v>48049.056987962744</v>
      </c>
      <c r="BS40">
        <v>245.52182425899846</v>
      </c>
      <c r="BU40">
        <v>47778.67303105312</v>
      </c>
      <c r="BV40">
        <v>251.97315909005474</v>
      </c>
      <c r="BX40">
        <v>49078.946004950674</v>
      </c>
      <c r="BY40">
        <v>7.994454309117955E-3</v>
      </c>
    </row>
    <row r="41" spans="13:77" x14ac:dyDescent="0.35">
      <c r="M41">
        <v>24202.168299653418</v>
      </c>
      <c r="N41">
        <v>8784.2587223953906</v>
      </c>
      <c r="P41">
        <v>23422.976589920829</v>
      </c>
      <c r="Q41">
        <v>7239.2876937726342</v>
      </c>
      <c r="S41">
        <v>27738.676199785274</v>
      </c>
      <c r="T41">
        <v>8500.5486207793547</v>
      </c>
      <c r="V41">
        <v>23332.251269670778</v>
      </c>
      <c r="W41">
        <v>7040.721603671439</v>
      </c>
      <c r="Y41">
        <v>22916.968193725301</v>
      </c>
      <c r="Z41">
        <v>6993.9136494305194</v>
      </c>
      <c r="AB41">
        <v>23252.24090767694</v>
      </c>
      <c r="AC41">
        <v>7032.4558007606256</v>
      </c>
      <c r="AE41">
        <v>23212.066480146783</v>
      </c>
      <c r="AF41">
        <v>7027.9588963777314</v>
      </c>
      <c r="AH41">
        <v>23467.322371663326</v>
      </c>
      <c r="AI41">
        <v>7051.5190301328867</v>
      </c>
      <c r="AK41">
        <v>45273.668741809146</v>
      </c>
      <c r="AL41">
        <v>44.654127678977268</v>
      </c>
      <c r="AZ41">
        <v>48961.893365599295</v>
      </c>
      <c r="BA41">
        <v>30.352401932079946</v>
      </c>
      <c r="BC41">
        <v>48194.88947373697</v>
      </c>
      <c r="BD41">
        <v>184.26581027032228</v>
      </c>
      <c r="BF41">
        <v>49057.931184795685</v>
      </c>
      <c r="BG41">
        <v>10.302635542521188</v>
      </c>
      <c r="BI41">
        <v>48114.019321764274</v>
      </c>
      <c r="BJ41">
        <v>222.38302548567043</v>
      </c>
      <c r="BL41">
        <v>48579.515806428448</v>
      </c>
      <c r="BM41">
        <v>196.19145779823484</v>
      </c>
      <c r="BO41">
        <v>48193.395265086321</v>
      </c>
      <c r="BP41">
        <v>220.03200837514515</v>
      </c>
      <c r="BR41">
        <v>48235.629995877745</v>
      </c>
      <c r="BS41">
        <v>218.38351062896689</v>
      </c>
      <c r="BU41">
        <v>47995.533354804473</v>
      </c>
      <c r="BV41">
        <v>223.91874076047355</v>
      </c>
      <c r="BX41">
        <v>49184.707644170099</v>
      </c>
      <c r="BY41">
        <v>7.1359146115471637E-3</v>
      </c>
    </row>
    <row r="42" spans="13:77" x14ac:dyDescent="0.35">
      <c r="M42">
        <v>23561.490901239318</v>
      </c>
      <c r="N42">
        <v>8975.8499620545517</v>
      </c>
      <c r="P42">
        <v>23299.299708919869</v>
      </c>
      <c r="Q42">
        <v>7354.1961661012956</v>
      </c>
      <c r="S42">
        <v>26570.617704286935</v>
      </c>
      <c r="T42">
        <v>9021.3330920405042</v>
      </c>
      <c r="V42">
        <v>23272.149483843466</v>
      </c>
      <c r="W42">
        <v>7147.7602820416832</v>
      </c>
      <c r="Y42">
        <v>22930.859749819487</v>
      </c>
      <c r="Z42">
        <v>7069.3447863232777</v>
      </c>
      <c r="AB42">
        <v>23206.251920559986</v>
      </c>
      <c r="AC42">
        <v>7133.3657510075318</v>
      </c>
      <c r="AE42">
        <v>23173.242557086916</v>
      </c>
      <c r="AF42">
        <v>7125.7975401528147</v>
      </c>
      <c r="AH42">
        <v>23384.146001480483</v>
      </c>
      <c r="AI42">
        <v>7168.9291274531661</v>
      </c>
      <c r="AK42">
        <v>45563.804369463913</v>
      </c>
      <c r="AL42">
        <v>58.349820117941256</v>
      </c>
      <c r="AZ42">
        <v>49076.374588750019</v>
      </c>
      <c r="BA42">
        <v>27.081917201832667</v>
      </c>
      <c r="BC42">
        <v>48373.969029316831</v>
      </c>
      <c r="BD42">
        <v>163.98149533499731</v>
      </c>
      <c r="BF42">
        <v>49164.500837603257</v>
      </c>
      <c r="BG42">
        <v>9.1955380168784604</v>
      </c>
      <c r="BI42">
        <v>48296.613425482799</v>
      </c>
      <c r="BJ42">
        <v>197.84676049109993</v>
      </c>
      <c r="BL42">
        <v>48712.357471715739</v>
      </c>
      <c r="BM42">
        <v>174.81848024816088</v>
      </c>
      <c r="BO42">
        <v>48367.176480235335</v>
      </c>
      <c r="BP42">
        <v>195.80726520878045</v>
      </c>
      <c r="BR42">
        <v>48404.783362498929</v>
      </c>
      <c r="BS42">
        <v>194.36782056236336</v>
      </c>
      <c r="BU42">
        <v>48191.585466073499</v>
      </c>
      <c r="BV42">
        <v>199.13400809923093</v>
      </c>
      <c r="BX42">
        <v>49278.325006052248</v>
      </c>
      <c r="BY42">
        <v>6.3718310589134606E-3</v>
      </c>
    </row>
    <row r="43" spans="13:77" x14ac:dyDescent="0.35">
      <c r="M43">
        <v>22982.778631778645</v>
      </c>
      <c r="N43">
        <v>9107.0196672762777</v>
      </c>
      <c r="P43">
        <v>23165.869050986254</v>
      </c>
      <c r="Q43">
        <v>7459.7594907794864</v>
      </c>
      <c r="S43">
        <v>25455.398655452344</v>
      </c>
      <c r="T43">
        <v>9447.7616756017615</v>
      </c>
      <c r="V43">
        <v>23194.363672723885</v>
      </c>
      <c r="W43">
        <v>7250.5747084252507</v>
      </c>
      <c r="Y43">
        <v>22924.106810611433</v>
      </c>
      <c r="Z43">
        <v>7145.8286277014922</v>
      </c>
      <c r="AB43">
        <v>23142.048912365284</v>
      </c>
      <c r="AC43">
        <v>7231.0492768034183</v>
      </c>
      <c r="AE43">
        <v>23115.92315527251</v>
      </c>
      <c r="AF43">
        <v>7220.9185288628514</v>
      </c>
      <c r="AH43">
        <v>23284.045834505956</v>
      </c>
      <c r="AI43">
        <v>7280.5012416123463</v>
      </c>
      <c r="AK43">
        <v>45826.397385385753</v>
      </c>
      <c r="AL43">
        <v>76.483324742815228</v>
      </c>
      <c r="AZ43">
        <v>49178.208783027396</v>
      </c>
      <c r="BA43">
        <v>24.173117118545999</v>
      </c>
      <c r="BC43">
        <v>48535.491986064873</v>
      </c>
      <c r="BD43">
        <v>146.01851509539318</v>
      </c>
      <c r="BF43">
        <v>49259.002681929756</v>
      </c>
      <c r="BG43">
        <v>8.2103385665206421</v>
      </c>
      <c r="BI43">
        <v>48461.868684274858</v>
      </c>
      <c r="BJ43">
        <v>176.12658659106097</v>
      </c>
      <c r="BL43">
        <v>48833.165385386033</v>
      </c>
      <c r="BM43">
        <v>155.8441929786371</v>
      </c>
      <c r="BO43">
        <v>48524.596434477869</v>
      </c>
      <c r="BP43">
        <v>174.35225880285032</v>
      </c>
      <c r="BR43">
        <v>48558.082002164694</v>
      </c>
      <c r="BS43">
        <v>173.0923926919431</v>
      </c>
      <c r="BU43">
        <v>48368.772162175606</v>
      </c>
      <c r="BV43">
        <v>177.21017309572179</v>
      </c>
      <c r="BX43">
        <v>49361.192581021009</v>
      </c>
      <c r="BY43">
        <v>5.6913461107072029E-3</v>
      </c>
    </row>
    <row r="44" spans="13:77" x14ac:dyDescent="0.35">
      <c r="M44">
        <v>22472.166419236488</v>
      </c>
      <c r="N44">
        <v>9182.0180493731077</v>
      </c>
      <c r="P44">
        <v>23026.86040835637</v>
      </c>
      <c r="Q44">
        <v>7554.8633480201361</v>
      </c>
      <c r="S44">
        <v>24421.984548813558</v>
      </c>
      <c r="T44">
        <v>9771.5662050408755</v>
      </c>
      <c r="V44">
        <v>23102.825934660901</v>
      </c>
      <c r="W44">
        <v>7347.6055980875926</v>
      </c>
      <c r="Y44">
        <v>22899.571353324114</v>
      </c>
      <c r="Z44">
        <v>7221.7788149028293</v>
      </c>
      <c r="AB44">
        <v>23063.347031210444</v>
      </c>
      <c r="AC44">
        <v>7323.9533685079068</v>
      </c>
      <c r="AE44">
        <v>23043.716436891547</v>
      </c>
      <c r="AF44">
        <v>7311.769441648411</v>
      </c>
      <c r="AH44">
        <v>23171.331493325339</v>
      </c>
      <c r="AI44">
        <v>7384.6476174985655</v>
      </c>
      <c r="AK44">
        <v>46060.604005679663</v>
      </c>
      <c r="AL44">
        <v>100.53272019968747</v>
      </c>
      <c r="AZ44">
        <v>49268.795110143816</v>
      </c>
      <c r="BA44">
        <v>21.584122025821046</v>
      </c>
      <c r="BC44">
        <v>48681.148878543434</v>
      </c>
      <c r="BD44">
        <v>130.09428777100118</v>
      </c>
      <c r="BF44">
        <v>49342.804453214441</v>
      </c>
      <c r="BG44">
        <v>7.3330145607136883</v>
      </c>
      <c r="BI44">
        <v>48611.382331220637</v>
      </c>
      <c r="BJ44">
        <v>156.87871590552831</v>
      </c>
      <c r="BL44">
        <v>48942.97430450761</v>
      </c>
      <c r="BM44">
        <v>138.98634990658974</v>
      </c>
      <c r="BO44">
        <v>48667.144252157494</v>
      </c>
      <c r="BP44">
        <v>155.33097933367401</v>
      </c>
      <c r="BR44">
        <v>48696.959799008589</v>
      </c>
      <c r="BS44">
        <v>154.2259015406872</v>
      </c>
      <c r="BU44">
        <v>48528.863347900842</v>
      </c>
      <c r="BV44">
        <v>157.79467337886251</v>
      </c>
      <c r="BX44">
        <v>49434.544734304327</v>
      </c>
      <c r="BY44">
        <v>5.0849449233636226E-3</v>
      </c>
    </row>
    <row r="45" spans="13:77" x14ac:dyDescent="0.35">
      <c r="M45">
        <v>22032.323358132438</v>
      </c>
      <c r="N45">
        <v>9206.9097700917355</v>
      </c>
      <c r="P45">
        <v>22886.049776508647</v>
      </c>
      <c r="Q45">
        <v>7638.7541213950071</v>
      </c>
      <c r="S45">
        <v>23491.327246603025</v>
      </c>
      <c r="T45">
        <v>9991.8938345499064</v>
      </c>
      <c r="V45">
        <v>23001.290728200736</v>
      </c>
      <c r="W45">
        <v>7437.5664366257815</v>
      </c>
      <c r="Y45">
        <v>22860.122368464454</v>
      </c>
      <c r="Z45">
        <v>7295.7840185995092</v>
      </c>
      <c r="AB45">
        <v>22973.720772653767</v>
      </c>
      <c r="AC45">
        <v>7410.775744182456</v>
      </c>
      <c r="AE45">
        <v>22960.108417527637</v>
      </c>
      <c r="AF45">
        <v>7397.0380344361038</v>
      </c>
      <c r="AH45">
        <v>23050.073352031271</v>
      </c>
      <c r="AI45">
        <v>7480.0930549247023</v>
      </c>
      <c r="AK45">
        <v>46264.740027770924</v>
      </c>
      <c r="AL45">
        <v>132.47076387243567</v>
      </c>
      <c r="AZ45">
        <v>49349.377800748378</v>
      </c>
      <c r="BA45">
        <v>19.27827668950825</v>
      </c>
      <c r="BC45">
        <v>48812.472249349135</v>
      </c>
      <c r="BD45">
        <v>115.96379962100116</v>
      </c>
      <c r="BF45">
        <v>49417.118767971588</v>
      </c>
      <c r="BG45">
        <v>6.5512778569676371</v>
      </c>
      <c r="BI45">
        <v>48746.612084512257</v>
      </c>
      <c r="BJ45">
        <v>139.80512356310831</v>
      </c>
      <c r="BL45">
        <v>49042.73840433803</v>
      </c>
      <c r="BM45">
        <v>123.99827834455272</v>
      </c>
      <c r="BO45">
        <v>48796.181418279557</v>
      </c>
      <c r="BP45">
        <v>138.45173240172005</v>
      </c>
      <c r="BR45">
        <v>48822.728973517558</v>
      </c>
      <c r="BS45">
        <v>137.48050437972901</v>
      </c>
      <c r="BU45">
        <v>48673.469984799936</v>
      </c>
      <c r="BV45">
        <v>140.58253114045365</v>
      </c>
      <c r="BX45">
        <v>49499.474092642471</v>
      </c>
      <c r="BY45">
        <v>4.5442706275174083E-3</v>
      </c>
    </row>
    <row r="46" spans="13:77" x14ac:dyDescent="0.35">
      <c r="M46">
        <v>21663.018590438034</v>
      </c>
      <c r="N46">
        <v>9188.8605251117169</v>
      </c>
      <c r="P46">
        <v>22746.760458750396</v>
      </c>
      <c r="Q46">
        <v>7711.0302373070381</v>
      </c>
      <c r="S46">
        <v>22676.105314674489</v>
      </c>
      <c r="T46">
        <v>10114.32856267975</v>
      </c>
      <c r="V46">
        <v>22893.265288546438</v>
      </c>
      <c r="W46">
        <v>7519.4564757813187</v>
      </c>
      <c r="Y46">
        <v>22808.578247221918</v>
      </c>
      <c r="Z46">
        <v>7366.6208892652203</v>
      </c>
      <c r="AB46">
        <v>22876.537196227575</v>
      </c>
      <c r="AC46">
        <v>7490.4780288720394</v>
      </c>
      <c r="AE46">
        <v>22868.397476958122</v>
      </c>
      <c r="AF46">
        <v>7475.6654998645527</v>
      </c>
      <c r="AH46">
        <v>22924.027403405074</v>
      </c>
      <c r="AI46">
        <v>7565.8877092864968</v>
      </c>
      <c r="AK46">
        <v>46436.042186125218</v>
      </c>
      <c r="AL46">
        <v>174.92540045396311</v>
      </c>
      <c r="AZ46">
        <v>49421.0633098654</v>
      </c>
      <c r="BA46">
        <v>17.223425910765126</v>
      </c>
      <c r="BC46">
        <v>48930.850617637938</v>
      </c>
      <c r="BD46">
        <v>103.414038854707</v>
      </c>
      <c r="BF46">
        <v>49483.020722636815</v>
      </c>
      <c r="BG46">
        <v>5.8543364440818104</v>
      </c>
      <c r="BI46">
        <v>48868.887066483119</v>
      </c>
      <c r="BJ46">
        <v>124.64678290340999</v>
      </c>
      <c r="BL46">
        <v>49133.336166347275</v>
      </c>
      <c r="BM46">
        <v>110.66398269160014</v>
      </c>
      <c r="BO46">
        <v>48912.951409600872</v>
      </c>
      <c r="BP46">
        <v>123.46066580580695</v>
      </c>
      <c r="BR46">
        <v>48936.589077350836</v>
      </c>
      <c r="BS46">
        <v>122.60552996805569</v>
      </c>
      <c r="BU46">
        <v>48804.057176624672</v>
      </c>
      <c r="BV46">
        <v>125.3091936219754</v>
      </c>
      <c r="BX46">
        <v>49556.947819704219</v>
      </c>
      <c r="BY46">
        <v>4.0619685221782312E-3</v>
      </c>
    </row>
    <row r="47" spans="13:77" x14ac:dyDescent="0.35">
      <c r="M47">
        <v>21361.753455609673</v>
      </c>
      <c r="N47">
        <v>9135.4920025700467</v>
      </c>
      <c r="P47">
        <v>22611.830615765215</v>
      </c>
      <c r="Q47">
        <v>7771.6200252295102</v>
      </c>
      <c r="S47">
        <v>21981.472753966522</v>
      </c>
      <c r="T47">
        <v>10149.242601578029</v>
      </c>
      <c r="V47">
        <v>22781.95218448187</v>
      </c>
      <c r="W47">
        <v>7592.5639119100624</v>
      </c>
      <c r="Y47">
        <v>22747.653535502079</v>
      </c>
      <c r="Z47">
        <v>7433.263568295848</v>
      </c>
      <c r="AB47">
        <v>22774.899484780857</v>
      </c>
      <c r="AC47">
        <v>7562.290544656651</v>
      </c>
      <c r="AE47">
        <v>22771.63836034586</v>
      </c>
      <c r="AF47">
        <v>7546.8520187863296</v>
      </c>
      <c r="AH47">
        <v>22796.575567411248</v>
      </c>
      <c r="AI47">
        <v>7641.4074460793508</v>
      </c>
      <c r="AK47">
        <v>46570.355927036529</v>
      </c>
      <c r="AL47">
        <v>231.38657578069331</v>
      </c>
      <c r="AZ47">
        <v>49484.835575683246</v>
      </c>
      <c r="BA47">
        <v>15.391303972855612</v>
      </c>
      <c r="BC47">
        <v>49037.541353679757</v>
      </c>
      <c r="BD47">
        <v>92.259352450787148</v>
      </c>
      <c r="BF47">
        <v>49541.4634959627</v>
      </c>
      <c r="BG47">
        <v>5.2326932866864002</v>
      </c>
      <c r="BI47">
        <v>48979.418097465772</v>
      </c>
      <c r="BJ47">
        <v>111.17801444935756</v>
      </c>
      <c r="BL47">
        <v>49215.575230215843</v>
      </c>
      <c r="BM47">
        <v>98.793990663462196</v>
      </c>
      <c r="BO47">
        <v>49018.588837126052</v>
      </c>
      <c r="BP47">
        <v>110.13634780606225</v>
      </c>
      <c r="BR47">
        <v>49039.635565361379</v>
      </c>
      <c r="BS47">
        <v>109.38218507026615</v>
      </c>
      <c r="BU47">
        <v>48921.956391368098</v>
      </c>
      <c r="BV47">
        <v>111.74457599885352</v>
      </c>
      <c r="BX47">
        <v>49607.822022644359</v>
      </c>
      <c r="BY47">
        <v>3.6315540457394629E-3</v>
      </c>
    </row>
    <row r="48" spans="13:77" x14ac:dyDescent="0.35">
      <c r="M48">
        <v>21124.378516690787</v>
      </c>
      <c r="N48">
        <v>9054.3587684049126</v>
      </c>
      <c r="P48">
        <v>22483.60076408034</v>
      </c>
      <c r="Q48">
        <v>7820.748368856729</v>
      </c>
      <c r="S48">
        <v>21406.41884625141</v>
      </c>
      <c r="T48">
        <v>10109.931004276845</v>
      </c>
      <c r="V48">
        <v>22670.205904504641</v>
      </c>
      <c r="W48">
        <v>7656.4590186086498</v>
      </c>
      <c r="Y48">
        <v>22679.911824977025</v>
      </c>
      <c r="Z48">
        <v>7494.8886610329919</v>
      </c>
      <c r="AB48">
        <v>22671.602751716622</v>
      </c>
      <c r="AC48">
        <v>7625.7082523008721</v>
      </c>
      <c r="AE48">
        <v>22672.597577610559</v>
      </c>
      <c r="AF48">
        <v>7610.054038614524</v>
      </c>
      <c r="AH48">
        <v>22670.683285555537</v>
      </c>
      <c r="AI48">
        <v>7706.3419590695048</v>
      </c>
      <c r="AK48">
        <v>46661.73422779754</v>
      </c>
      <c r="AL48">
        <v>306.46750385935434</v>
      </c>
      <c r="AZ48">
        <v>49541.569590524639</v>
      </c>
      <c r="BA48">
        <v>13.757017715651575</v>
      </c>
      <c r="BC48">
        <v>49133.682518352391</v>
      </c>
      <c r="BD48">
        <v>82.337556685111579</v>
      </c>
      <c r="BF48">
        <v>49593.292181262157</v>
      </c>
      <c r="BG48">
        <v>4.6779757887542122</v>
      </c>
      <c r="BI48">
        <v>49079.307353119482</v>
      </c>
      <c r="BJ48">
        <v>99.201746832899971</v>
      </c>
      <c r="BL48">
        <v>49290.197146174542</v>
      </c>
      <c r="BM48">
        <v>88.221818663702933</v>
      </c>
      <c r="BO48">
        <v>49114.128074680564</v>
      </c>
      <c r="BP48">
        <v>98.285208997112576</v>
      </c>
      <c r="BR48">
        <v>49132.867913029222</v>
      </c>
      <c r="BS48">
        <v>97.61909826677244</v>
      </c>
      <c r="BU48">
        <v>49028.376834292016</v>
      </c>
      <c r="BV48">
        <v>99.688084266997521</v>
      </c>
      <c r="BX48">
        <v>49652.854504398019</v>
      </c>
      <c r="BY48">
        <v>3.2473003983244965E-3</v>
      </c>
    </row>
    <row r="49" spans="13:77" x14ac:dyDescent="0.35">
      <c r="M49">
        <v>20945.64390973865</v>
      </c>
      <c r="N49">
        <v>8952.5664561287958</v>
      </c>
      <c r="P49">
        <v>22363.919443550756</v>
      </c>
      <c r="Q49">
        <v>7858.8950982258166</v>
      </c>
      <c r="S49">
        <v>20945.350563439883</v>
      </c>
      <c r="T49">
        <v>10010.892175853081</v>
      </c>
      <c r="V49">
        <v>22560.504313853326</v>
      </c>
      <c r="W49">
        <v>7710.9778952091165</v>
      </c>
      <c r="Y49">
        <v>22607.726202439608</v>
      </c>
      <c r="Z49">
        <v>7550.8750328204051</v>
      </c>
      <c r="AB49">
        <v>22569.103111959204</v>
      </c>
      <c r="AC49">
        <v>7680.4781835022795</v>
      </c>
      <c r="AE49">
        <v>22573.72129439878</v>
      </c>
      <c r="AF49">
        <v>7664.9734676696999</v>
      </c>
      <c r="AH49">
        <v>22548.874904539876</v>
      </c>
      <c r="AI49">
        <v>7760.6719223380451</v>
      </c>
      <c r="AK49">
        <v>46701.934684823173</v>
      </c>
      <c r="AL49">
        <v>406.2251332322877</v>
      </c>
      <c r="AZ49">
        <v>49592.043470019344</v>
      </c>
      <c r="BA49">
        <v>12.298606999130586</v>
      </c>
      <c r="BC49">
        <v>49220.303729025123</v>
      </c>
      <c r="BD49">
        <v>73.506665831578729</v>
      </c>
      <c r="BF49">
        <v>49639.256049193384</v>
      </c>
      <c r="BG49">
        <v>4.1827905859889931</v>
      </c>
      <c r="BI49">
        <v>49169.557386955683</v>
      </c>
      <c r="BJ49">
        <v>88.545527397178176</v>
      </c>
      <c r="BL49">
        <v>49357.881980826489</v>
      </c>
      <c r="BM49">
        <v>78.800955032883223</v>
      </c>
      <c r="BO49">
        <v>49200.51136268401</v>
      </c>
      <c r="BP49">
        <v>87.737696202935368</v>
      </c>
      <c r="BR49">
        <v>49217.197262552727</v>
      </c>
      <c r="BS49">
        <v>87.148555166413686</v>
      </c>
      <c r="BU49">
        <v>49124.415996647847</v>
      </c>
      <c r="BV49">
        <v>88.964440220171667</v>
      </c>
      <c r="BX49">
        <v>49692.716051666051</v>
      </c>
      <c r="BY49">
        <v>2.9041424878316286E-3</v>
      </c>
    </row>
    <row r="50" spans="13:77" x14ac:dyDescent="0.35">
      <c r="M50">
        <v>20819.657940097641</v>
      </c>
      <c r="N50">
        <v>8836.5256032425605</v>
      </c>
      <c r="P50">
        <v>22254.164349197905</v>
      </c>
      <c r="Q50">
        <v>7886.7483496229261</v>
      </c>
      <c r="S50">
        <v>20589.609073866352</v>
      </c>
      <c r="T50">
        <v>9866.4656337442575</v>
      </c>
      <c r="V50">
        <v>22454.934812641874</v>
      </c>
      <c r="W50">
        <v>7756.1982111990801</v>
      </c>
      <c r="Y50">
        <v>22533.248227205389</v>
      </c>
      <c r="Z50">
        <v>7600.7982591173759</v>
      </c>
      <c r="AB50">
        <v>22469.500140049044</v>
      </c>
      <c r="AC50">
        <v>7726.5793758519203</v>
      </c>
      <c r="AE50">
        <v>22477.115973260399</v>
      </c>
      <c r="AF50">
        <v>7711.5396248218813</v>
      </c>
      <c r="AH50">
        <v>22433.226125033605</v>
      </c>
      <c r="AI50">
        <v>7804.6372429016837</v>
      </c>
      <c r="AK50">
        <v>46679.811312154656</v>
      </c>
      <c r="AL50">
        <v>538.53557947824766</v>
      </c>
      <c r="AZ50">
        <v>49636.949186148711</v>
      </c>
      <c r="BA50">
        <v>10.996669442865928</v>
      </c>
      <c r="BC50">
        <v>49298.336114186008</v>
      </c>
      <c r="BD50">
        <v>65.642130010556741</v>
      </c>
      <c r="BF50">
        <v>49680.019419064301</v>
      </c>
      <c r="BG50">
        <v>3.7405993948135747</v>
      </c>
      <c r="BI50">
        <v>49251.079529623043</v>
      </c>
      <c r="BJ50">
        <v>79.058151487774325</v>
      </c>
      <c r="BL50">
        <v>49419.252743012155</v>
      </c>
      <c r="BM50">
        <v>70.402277831717328</v>
      </c>
      <c r="BO50">
        <v>49278.596387312085</v>
      </c>
      <c r="BP50">
        <v>78.345015632454945</v>
      </c>
      <c r="BR50">
        <v>49293.453592443286</v>
      </c>
      <c r="BS50">
        <v>77.823306669111943</v>
      </c>
      <c r="BU50">
        <v>49211.069412183322</v>
      </c>
      <c r="BV50">
        <v>79.420165609729821</v>
      </c>
      <c r="BX50">
        <v>49728.00042673375</v>
      </c>
      <c r="BY50">
        <v>2.5975945023696541E-3</v>
      </c>
    </row>
    <row r="51" spans="13:77" x14ac:dyDescent="0.35">
      <c r="M51">
        <v>20740.248411851338</v>
      </c>
      <c r="N51">
        <v>8711.820799052357</v>
      </c>
      <c r="P51">
        <v>22155.275689658571</v>
      </c>
      <c r="Q51">
        <v>7905.1560347781997</v>
      </c>
      <c r="S51">
        <v>20328.755907511208</v>
      </c>
      <c r="T51">
        <v>9689.8956908548607</v>
      </c>
      <c r="V51">
        <v>22355.19415275006</v>
      </c>
      <c r="W51">
        <v>7792.4088163571396</v>
      </c>
      <c r="Y51">
        <v>22458.385906201736</v>
      </c>
      <c r="Z51">
        <v>7644.4199953689877</v>
      </c>
      <c r="AB51">
        <v>22374.532037131772</v>
      </c>
      <c r="AC51">
        <v>7764.1968139727869</v>
      </c>
      <c r="AE51">
        <v>22384.541257647499</v>
      </c>
      <c r="AF51">
        <v>7749.8852738549458</v>
      </c>
      <c r="AH51">
        <v>22325.371796425705</v>
      </c>
      <c r="AI51">
        <v>7838.6989585389674</v>
      </c>
      <c r="AK51">
        <v>46580.619000721628</v>
      </c>
      <c r="AL51">
        <v>713.50131125191479</v>
      </c>
      <c r="AZ51">
        <v>49676.902111678661</v>
      </c>
      <c r="BA51">
        <v>9.8340388023373855</v>
      </c>
      <c r="BC51">
        <v>49368.621418809606</v>
      </c>
      <c r="BD51">
        <v>58.634494123320017</v>
      </c>
      <c r="BF51">
        <v>49716.171296481778</v>
      </c>
      <c r="BG51">
        <v>3.345612450916903</v>
      </c>
      <c r="BI51">
        <v>49324.701683728461</v>
      </c>
      <c r="BJ51">
        <v>70.606804300736428</v>
      </c>
      <c r="BL51">
        <v>49474.879606959432</v>
      </c>
      <c r="BM51">
        <v>62.911838359260216</v>
      </c>
      <c r="BO51">
        <v>49349.16334356524</v>
      </c>
      <c r="BP51">
        <v>69.976365517481881</v>
      </c>
      <c r="BR51">
        <v>49362.392414290218</v>
      </c>
      <c r="BS51">
        <v>69.513853922767254</v>
      </c>
      <c r="BU51">
        <v>49289.239658564707</v>
      </c>
      <c r="BV51">
        <v>70.920610233683917</v>
      </c>
      <c r="BX51">
        <v>49759.233211957966</v>
      </c>
      <c r="BY51">
        <v>2.3236789120243007E-3</v>
      </c>
    </row>
    <row r="52" spans="13:77" x14ac:dyDescent="0.35">
      <c r="M52">
        <v>20701.233418241576</v>
      </c>
      <c r="N52">
        <v>8583.1688530827978</v>
      </c>
      <c r="P52">
        <v>22067.798367503594</v>
      </c>
      <c r="Q52">
        <v>7915.0781957795598</v>
      </c>
      <c r="S52">
        <v>20151.568580231884</v>
      </c>
      <c r="T52">
        <v>9492.790855739735</v>
      </c>
      <c r="V52">
        <v>22262.600206198706</v>
      </c>
      <c r="W52">
        <v>7820.0753289837821</v>
      </c>
      <c r="Y52">
        <v>22384.790641127089</v>
      </c>
      <c r="Z52">
        <v>7681.6728941216907</v>
      </c>
      <c r="AB52">
        <v>22285.582185977437</v>
      </c>
      <c r="AC52">
        <v>7793.6911639970431</v>
      </c>
      <c r="AE52">
        <v>22297.41396163774</v>
      </c>
      <c r="AF52">
        <v>7780.3183732067137</v>
      </c>
      <c r="AH52">
        <v>22226.526643297708</v>
      </c>
      <c r="AI52">
        <v>7863.4974827341821</v>
      </c>
      <c r="AK52">
        <v>46385.291037825402</v>
      </c>
      <c r="AL52">
        <v>943.83138587263261</v>
      </c>
      <c r="AZ52">
        <v>49712.449507309677</v>
      </c>
      <c r="BA52">
        <v>8.7955083095288469</v>
      </c>
      <c r="BC52">
        <v>49431.920321156744</v>
      </c>
      <c r="BD52">
        <v>52.387406455846836</v>
      </c>
      <c r="BF52">
        <v>49748.233917294107</v>
      </c>
      <c r="BG52">
        <v>2.9926967102458848</v>
      </c>
      <c r="BI52">
        <v>49391.175538091607</v>
      </c>
      <c r="BJ52">
        <v>63.074628972133411</v>
      </c>
      <c r="BL52">
        <v>49525.283918407265</v>
      </c>
      <c r="BM52">
        <v>56.228953445217421</v>
      </c>
      <c r="BO52">
        <v>49412.921496895055</v>
      </c>
      <c r="BP52">
        <v>62.516576841934402</v>
      </c>
      <c r="BR52">
        <v>49424.701006947878</v>
      </c>
      <c r="BS52">
        <v>62.106131249534386</v>
      </c>
      <c r="BU52">
        <v>49359.744644021368</v>
      </c>
      <c r="BV52">
        <v>63.347430639132725</v>
      </c>
      <c r="BX52">
        <v>49786.879638667378</v>
      </c>
      <c r="BY52">
        <v>2.0788651016877889E-3</v>
      </c>
    </row>
    <row r="53" spans="13:77" x14ac:dyDescent="0.35">
      <c r="M53">
        <v>20696.61451946725</v>
      </c>
      <c r="N53">
        <v>8454.4397424340023</v>
      </c>
      <c r="P53">
        <v>21991.929710235574</v>
      </c>
      <c r="Q53">
        <v>7917.5424783279086</v>
      </c>
      <c r="S53">
        <v>20046.753858735425</v>
      </c>
      <c r="T53">
        <v>9284.8985873784823</v>
      </c>
      <c r="V53">
        <v>22178.11355082121</v>
      </c>
      <c r="W53">
        <v>7839.8038264336055</v>
      </c>
      <c r="Y53">
        <v>22313.852677499064</v>
      </c>
      <c r="Z53">
        <v>7712.6419603982677</v>
      </c>
      <c r="AB53">
        <v>22203.695326526311</v>
      </c>
      <c r="AC53">
        <v>7815.5661688194514</v>
      </c>
      <c r="AE53">
        <v>22216.82157449166</v>
      </c>
      <c r="AF53">
        <v>7803.2912829629331</v>
      </c>
      <c r="AH53">
        <v>22137.51612936574</v>
      </c>
      <c r="AI53">
        <v>7879.8097766213823</v>
      </c>
      <c r="AK53">
        <v>46069.824907610353</v>
      </c>
      <c r="AL53">
        <v>1245.0759322742058</v>
      </c>
      <c r="AZ53">
        <v>49744.078068440562</v>
      </c>
      <c r="BA53">
        <v>7.8675918755560774</v>
      </c>
      <c r="BC53">
        <v>49488.920019698635</v>
      </c>
      <c r="BD53">
        <v>46.815918803515054</v>
      </c>
      <c r="BF53">
        <v>49776.670321917612</v>
      </c>
      <c r="BG53">
        <v>2.6772964961422301</v>
      </c>
      <c r="BI53">
        <v>49451.183228791786</v>
      </c>
      <c r="BJ53">
        <v>56.358650451459667</v>
      </c>
      <c r="BL53">
        <v>49570.941976019058</v>
      </c>
      <c r="BM53">
        <v>50.264559216347898</v>
      </c>
      <c r="BO53">
        <v>49470.515262419904</v>
      </c>
      <c r="BP53">
        <v>55.864095533241937</v>
      </c>
      <c r="BR53">
        <v>49481.004203193537</v>
      </c>
      <c r="BS53">
        <v>55.499522496205472</v>
      </c>
      <c r="BU53">
        <v>49423.325221239917</v>
      </c>
      <c r="BV53">
        <v>56.59644359047001</v>
      </c>
      <c r="BX53">
        <v>49811.351517092822</v>
      </c>
      <c r="BY53">
        <v>1.8600161560098705E-3</v>
      </c>
    </row>
    <row r="54" spans="13:77" x14ac:dyDescent="0.35">
      <c r="M54">
        <v>20720.707203082027</v>
      </c>
      <c r="N54">
        <v>8328.7175203035586</v>
      </c>
      <c r="P54">
        <v>21927.56982962144</v>
      </c>
      <c r="Q54">
        <v>7913.6043330136581</v>
      </c>
      <c r="S54">
        <v>20003.421654160178</v>
      </c>
      <c r="T54">
        <v>9074.1021812443396</v>
      </c>
      <c r="V54">
        <v>22102.366545748966</v>
      </c>
      <c r="W54">
        <v>7852.3045854598058</v>
      </c>
      <c r="Y54">
        <v>22246.704224925823</v>
      </c>
      <c r="Z54">
        <v>7737.5433905950495</v>
      </c>
      <c r="AB54">
        <v>22129.601340560614</v>
      </c>
      <c r="AC54">
        <v>7830.4354768604944</v>
      </c>
      <c r="AE54">
        <v>22143.543422922172</v>
      </c>
      <c r="AF54">
        <v>7819.369114353799</v>
      </c>
      <c r="AH54">
        <v>22058.814572601397</v>
      </c>
      <c r="AI54">
        <v>7888.5076958160671</v>
      </c>
      <c r="AK54">
        <v>45605.029939554908</v>
      </c>
      <c r="AL54">
        <v>1635.5048126955153</v>
      </c>
      <c r="AZ54">
        <v>49772.220635580568</v>
      </c>
      <c r="BA54">
        <v>7.0383173122882852</v>
      </c>
      <c r="BC54">
        <v>49540.241146370397</v>
      </c>
      <c r="BD54">
        <v>41.845030585451823</v>
      </c>
      <c r="BF54">
        <v>49801.891070073296</v>
      </c>
      <c r="BG54">
        <v>2.3953646858696378</v>
      </c>
      <c r="BI54">
        <v>49505.343476521761</v>
      </c>
      <c r="BJ54">
        <v>50.367997435504336</v>
      </c>
      <c r="BL54">
        <v>49612.288585552349</v>
      </c>
      <c r="BM54">
        <v>44.939786942391002</v>
      </c>
      <c r="BO54">
        <v>49522.5298237522</v>
      </c>
      <c r="BP54">
        <v>49.929251378620066</v>
      </c>
      <c r="BR54">
        <v>49531.869747277095</v>
      </c>
      <c r="BS54">
        <v>49.6051577052583</v>
      </c>
      <c r="BU54">
        <v>49480.652171130641</v>
      </c>
      <c r="BV54">
        <v>50.575792418304474</v>
      </c>
      <c r="BX54">
        <v>49833.013370553788</v>
      </c>
      <c r="BY54">
        <v>1.6643425743541542E-3</v>
      </c>
    </row>
    <row r="55" spans="13:77" x14ac:dyDescent="0.35">
      <c r="M55">
        <v>20768.222939258885</v>
      </c>
      <c r="N55">
        <v>8208.3831589045058</v>
      </c>
      <c r="P55">
        <v>21874.372163853066</v>
      </c>
      <c r="Q55">
        <v>7904.3129360038793</v>
      </c>
      <c r="S55">
        <v>20011.373528686276</v>
      </c>
      <c r="T55">
        <v>8866.5556241511931</v>
      </c>
      <c r="V55">
        <v>22035.697579033946</v>
      </c>
      <c r="W55">
        <v>7858.3575111426553</v>
      </c>
      <c r="Y55">
        <v>22184.229160297033</v>
      </c>
      <c r="Z55">
        <v>7756.7019878976143</v>
      </c>
      <c r="AB55">
        <v>22063.744575158762</v>
      </c>
      <c r="AC55">
        <v>7838.9904511137947</v>
      </c>
      <c r="AE55">
        <v>22078.077543323456</v>
      </c>
      <c r="AF55">
        <v>7829.1987202586297</v>
      </c>
      <c r="AH55">
        <v>21990.587765867316</v>
      </c>
      <c r="AI55">
        <v>7890.5192985424437</v>
      </c>
      <c r="AK55">
        <v>44957.05338125382</v>
      </c>
      <c r="AL55">
        <v>2135.3017840282537</v>
      </c>
      <c r="AZ55">
        <v>49797.262160983504</v>
      </c>
      <c r="BA55">
        <v>6.2970467440318103</v>
      </c>
      <c r="BC55">
        <v>49586.444059547553</v>
      </c>
      <c r="BD55">
        <v>37.408437945291929</v>
      </c>
      <c r="BF55">
        <v>49824.260193485039</v>
      </c>
      <c r="BG55">
        <v>2.1433028595646233</v>
      </c>
      <c r="BI55">
        <v>49554.217230902832</v>
      </c>
      <c r="BJ55">
        <v>45.022374901181728</v>
      </c>
      <c r="BL55">
        <v>49649.72038820423</v>
      </c>
      <c r="BM55">
        <v>40.184728053536361</v>
      </c>
      <c r="BO55">
        <v>49569.496315357108</v>
      </c>
      <c r="BP55">
        <v>44.632768540737359</v>
      </c>
      <c r="BR55">
        <v>49577.813244031218</v>
      </c>
      <c r="BS55">
        <v>44.344446266161391</v>
      </c>
      <c r="BU55">
        <v>49532.332598828798</v>
      </c>
      <c r="BV55">
        <v>45.204375565486494</v>
      </c>
      <c r="BX55">
        <v>49852.187865274114</v>
      </c>
      <c r="BY55">
        <v>1.4893619011128187E-3</v>
      </c>
    </row>
    <row r="56" spans="13:77" x14ac:dyDescent="0.35">
      <c r="M56">
        <v>20834.315280857914</v>
      </c>
      <c r="N56">
        <v>8095.2061725102394</v>
      </c>
      <c r="P56">
        <v>21831.792285010797</v>
      </c>
      <c r="Q56">
        <v>7890.6832673677291</v>
      </c>
      <c r="S56">
        <v>20061.257156435793</v>
      </c>
      <c r="T56">
        <v>8666.8905935585281</v>
      </c>
      <c r="V56">
        <v>21978.188336601179</v>
      </c>
      <c r="W56">
        <v>7858.7805117999114</v>
      </c>
      <c r="Y56">
        <v>22127.078075364119</v>
      </c>
      <c r="Z56">
        <v>7770.5282023024956</v>
      </c>
      <c r="AB56">
        <v>22006.316726482528</v>
      </c>
      <c r="AC56">
        <v>7841.9701975996595</v>
      </c>
      <c r="AE56">
        <v>22020.671372679022</v>
      </c>
      <c r="AF56">
        <v>7833.4795531530162</v>
      </c>
      <c r="AH56">
        <v>21932.737662470056</v>
      </c>
      <c r="AI56">
        <v>7886.7943875616293</v>
      </c>
      <c r="AK56">
        <v>44089.278718478366</v>
      </c>
      <c r="AL56">
        <v>2764.632162814496</v>
      </c>
      <c r="AZ56">
        <v>49819.545013868577</v>
      </c>
      <c r="BA56">
        <v>5.6343202005228727</v>
      </c>
      <c r="BC56">
        <v>49628.034567132294</v>
      </c>
      <c r="BD56">
        <v>33.447455710374378</v>
      </c>
      <c r="BF56">
        <v>49844.100473027836</v>
      </c>
      <c r="BG56">
        <v>1.9179091013645635</v>
      </c>
      <c r="BI56">
        <v>49598.31285277343</v>
      </c>
      <c r="BJ56">
        <v>40.250748073735679</v>
      </c>
      <c r="BL56">
        <v>49683.598967538186</v>
      </c>
      <c r="BM56">
        <v>35.937360758352348</v>
      </c>
      <c r="BO56">
        <v>49611.896593407888</v>
      </c>
      <c r="BP56">
        <v>39.904480342043556</v>
      </c>
      <c r="BR56">
        <v>49619.302721575506</v>
      </c>
      <c r="BS56">
        <v>39.647810230021435</v>
      </c>
      <c r="BU56">
        <v>49578.915783395692</v>
      </c>
      <c r="BV56">
        <v>40.410495665574317</v>
      </c>
      <c r="BX56">
        <v>49869.160616707675</v>
      </c>
      <c r="BY56">
        <v>1.3328634250708137E-3</v>
      </c>
    </row>
    <row r="57" spans="13:77" x14ac:dyDescent="0.35">
      <c r="M57">
        <v>20914.600154271706</v>
      </c>
      <c r="N57">
        <v>7990.4361377487921</v>
      </c>
      <c r="P57">
        <v>21799.133573855535</v>
      </c>
      <c r="Q57">
        <v>7873.674333003155</v>
      </c>
      <c r="S57">
        <v>20144.629398462501</v>
      </c>
      <c r="T57">
        <v>8478.4493779601617</v>
      </c>
      <c r="V57">
        <v>21929.702214255467</v>
      </c>
      <c r="W57">
        <v>7854.4016767221974</v>
      </c>
      <c r="Y57">
        <v>22075.687380117015</v>
      </c>
      <c r="Z57">
        <v>7779.4957269109764</v>
      </c>
      <c r="AB57">
        <v>21957.291506288966</v>
      </c>
      <c r="AC57">
        <v>7840.1347103153639</v>
      </c>
      <c r="AE57">
        <v>21971.354533182985</v>
      </c>
      <c r="AF57">
        <v>7832.9373037272753</v>
      </c>
      <c r="AH57">
        <v>21884.947087233912</v>
      </c>
      <c r="AI57">
        <v>7878.2750557104273</v>
      </c>
      <c r="AK57">
        <v>42966.284587972521</v>
      </c>
      <c r="AL57">
        <v>3540.1232423150068</v>
      </c>
      <c r="AZ57">
        <v>49839.373697500407</v>
      </c>
      <c r="BA57">
        <v>5.0417190486260246</v>
      </c>
      <c r="BC57">
        <v>49665.469127034841</v>
      </c>
      <c r="BD57">
        <v>29.910085644480301</v>
      </c>
      <c r="BF57">
        <v>49861.698117003973</v>
      </c>
      <c r="BG57">
        <v>1.7163323591192456</v>
      </c>
      <c r="BI57">
        <v>49638.090865228762</v>
      </c>
      <c r="BJ57">
        <v>35.990205399311201</v>
      </c>
      <c r="BL57">
        <v>49714.253741605913</v>
      </c>
      <c r="BM57">
        <v>32.142615094105359</v>
      </c>
      <c r="BO57">
        <v>49650.167620490509</v>
      </c>
      <c r="BP57">
        <v>35.68221732893813</v>
      </c>
      <c r="BR57">
        <v>49656.762830327614</v>
      </c>
      <c r="BS57">
        <v>35.453587600965754</v>
      </c>
      <c r="BU57">
        <v>49620.898521323754</v>
      </c>
      <c r="BV57">
        <v>36.130694776589465</v>
      </c>
      <c r="BX57">
        <v>49884.184443967686</v>
      </c>
      <c r="BY57">
        <v>1.1928772387019384E-3</v>
      </c>
    </row>
    <row r="58" spans="13:77" x14ac:dyDescent="0.35">
      <c r="M58">
        <v>21005.158224590159</v>
      </c>
      <c r="N58">
        <v>7894.8886347667485</v>
      </c>
      <c r="P58">
        <v>21775.588834700251</v>
      </c>
      <c r="Q58">
        <v>7854.1731787281269</v>
      </c>
      <c r="S58">
        <v>20253.960559736573</v>
      </c>
      <c r="T58">
        <v>8303.5143692671227</v>
      </c>
      <c r="V58">
        <v>21889.922323904408</v>
      </c>
      <c r="W58">
        <v>7846.03573581204</v>
      </c>
      <c r="Y58">
        <v>22030.301207909641</v>
      </c>
      <c r="Z58">
        <v>7784.1204184942308</v>
      </c>
      <c r="AB58">
        <v>21916.459581008054</v>
      </c>
      <c r="AC58">
        <v>7834.2416928191742</v>
      </c>
      <c r="AE58">
        <v>21929.97222266817</v>
      </c>
      <c r="AF58">
        <v>7828.3009170825862</v>
      </c>
      <c r="AH58">
        <v>21846.722871572252</v>
      </c>
      <c r="AI58">
        <v>7865.8715586273365</v>
      </c>
      <c r="AK58">
        <v>41560.369076765055</v>
      </c>
      <c r="AL58">
        <v>4469.5383384390234</v>
      </c>
      <c r="AZ58">
        <v>49857.019043305307</v>
      </c>
      <c r="BA58">
        <v>4.511746463472468</v>
      </c>
      <c r="BC58">
        <v>49699.159569216019</v>
      </c>
      <c r="BD58">
        <v>26.750208946745659</v>
      </c>
      <c r="BF58">
        <v>49877.306908525541</v>
      </c>
      <c r="BG58">
        <v>1.5360324458424541</v>
      </c>
      <c r="BI58">
        <v>49673.968303513691</v>
      </c>
      <c r="BJ58">
        <v>32.184973571747278</v>
      </c>
      <c r="BL58">
        <v>49741.984648461672</v>
      </c>
      <c r="BM58">
        <v>28.751556883961676</v>
      </c>
      <c r="BO58">
        <v>49684.705489397449</v>
      </c>
      <c r="BP58">
        <v>31.910842803595727</v>
      </c>
      <c r="BR58">
        <v>49690.578701187042</v>
      </c>
      <c r="BS58">
        <v>31.707080428728116</v>
      </c>
      <c r="BU58">
        <v>49658.730002265103</v>
      </c>
      <c r="BV58">
        <v>32.308747302070344</v>
      </c>
      <c r="BX58">
        <v>49897.483135732313</v>
      </c>
      <c r="BY58">
        <v>1.0676470605821564E-3</v>
      </c>
    </row>
    <row r="59" spans="13:77" x14ac:dyDescent="0.35">
      <c r="M59">
        <v>21102.525233035733</v>
      </c>
      <c r="N59">
        <v>7809.0226603394158</v>
      </c>
      <c r="P59">
        <v>21760.277322267488</v>
      </c>
      <c r="Q59">
        <v>7832.9841199361936</v>
      </c>
      <c r="S59">
        <v>20382.603213078291</v>
      </c>
      <c r="T59">
        <v>8143.5176053884434</v>
      </c>
      <c r="V59">
        <v>21858.387890571823</v>
      </c>
      <c r="W59">
        <v>7834.4649535310691</v>
      </c>
      <c r="Y59">
        <v>21990.994967348044</v>
      </c>
      <c r="Z59">
        <v>7784.9411231949234</v>
      </c>
      <c r="AB59">
        <v>21883.462569715259</v>
      </c>
      <c r="AC59">
        <v>7825.0273134281715</v>
      </c>
      <c r="AE59">
        <v>21896.217994991879</v>
      </c>
      <c r="AF59">
        <v>7820.2832926666815</v>
      </c>
      <c r="AH59">
        <v>21817.436239696133</v>
      </c>
      <c r="AI59">
        <v>7850.4434747753849</v>
      </c>
      <c r="AK59">
        <v>39860.418619588949</v>
      </c>
      <c r="AL59">
        <v>5545.1281653252772</v>
      </c>
      <c r="AZ59">
        <v>49872.721939994342</v>
      </c>
      <c r="BA59">
        <v>4.0377225848133085</v>
      </c>
      <c r="BC59">
        <v>49729.477380377743</v>
      </c>
      <c r="BD59">
        <v>23.926884630951875</v>
      </c>
      <c r="BF59">
        <v>49891.151882267739</v>
      </c>
      <c r="BG59">
        <v>1.3747449108858925</v>
      </c>
      <c r="BI59">
        <v>49706.322692875925</v>
      </c>
      <c r="BJ59">
        <v>28.785562140145924</v>
      </c>
      <c r="BL59">
        <v>49767.064634353621</v>
      </c>
      <c r="BM59">
        <v>25.720674097351949</v>
      </c>
      <c r="BO59">
        <v>49715.869110763524</v>
      </c>
      <c r="BP59">
        <v>28.541414250390602</v>
      </c>
      <c r="BR59">
        <v>49721.099485511382</v>
      </c>
      <c r="BS59">
        <v>28.35972663611733</v>
      </c>
      <c r="BU59">
        <v>49692.816253503901</v>
      </c>
      <c r="BV59">
        <v>28.894786939564472</v>
      </c>
      <c r="BX59">
        <v>49909.254783722288</v>
      </c>
      <c r="BY59">
        <v>9.5560631644325529E-4</v>
      </c>
    </row>
    <row r="60" spans="13:77" x14ac:dyDescent="0.35">
      <c r="M60">
        <v>21203.674577512407</v>
      </c>
      <c r="N60">
        <v>7733.0083227119703</v>
      </c>
      <c r="P60">
        <v>21752.276971509415</v>
      </c>
      <c r="Q60">
        <v>7810.8224838590422</v>
      </c>
      <c r="S60">
        <v>20524.741563493782</v>
      </c>
      <c r="T60">
        <v>7999.2227398177674</v>
      </c>
      <c r="V60">
        <v>21834.528167485325</v>
      </c>
      <c r="W60">
        <v>7820.424349073176</v>
      </c>
      <c r="Y60">
        <v>21957.699528292906</v>
      </c>
      <c r="Z60">
        <v>7782.5027982471456</v>
      </c>
      <c r="AB60">
        <v>21857.825183010566</v>
      </c>
      <c r="AC60">
        <v>7813.1908991443497</v>
      </c>
      <c r="AE60">
        <v>21869.664992337111</v>
      </c>
      <c r="AF60">
        <v>7809.5657274110836</v>
      </c>
      <c r="AH60">
        <v>21796.359661452392</v>
      </c>
      <c r="AI60">
        <v>7832.7858419620552</v>
      </c>
      <c r="AK60">
        <v>37881.49340425658</v>
      </c>
      <c r="AL60">
        <v>6737.3562970188277</v>
      </c>
      <c r="AZ60">
        <v>49886.696649249388</v>
      </c>
      <c r="BA60">
        <v>3.6136923704300639</v>
      </c>
      <c r="BC60">
        <v>49756.757589391542</v>
      </c>
      <c r="BD60">
        <v>21.403738430309101</v>
      </c>
      <c r="BF60">
        <v>49903.43258401785</v>
      </c>
      <c r="BG60">
        <v>1.2304501280029141</v>
      </c>
      <c r="BI60">
        <v>49735.495682267931</v>
      </c>
      <c r="BJ60">
        <v>25.748018892371608</v>
      </c>
      <c r="BL60">
        <v>49789.741954568846</v>
      </c>
      <c r="BM60">
        <v>23.011251623564881</v>
      </c>
      <c r="BO60">
        <v>49743.983588536088</v>
      </c>
      <c r="BP60">
        <v>25.530452566423463</v>
      </c>
      <c r="BR60">
        <v>49748.641598962902</v>
      </c>
      <c r="BS60">
        <v>25.368377895381101</v>
      </c>
      <c r="BU60">
        <v>49723.524187665062</v>
      </c>
      <c r="BV60">
        <v>25.844547922405699</v>
      </c>
      <c r="BX60">
        <v>49919.674733405081</v>
      </c>
      <c r="BY60">
        <v>8.5535705064896067E-4</v>
      </c>
    </row>
    <row r="61" spans="13:77" x14ac:dyDescent="0.35">
      <c r="M61">
        <v>21305.995135662961</v>
      </c>
      <c r="N61">
        <v>7666.7847726290156</v>
      </c>
      <c r="P61">
        <v>21750.651862012422</v>
      </c>
      <c r="Q61">
        <v>7788.3121149294411</v>
      </c>
      <c r="S61">
        <v>20675.331771172005</v>
      </c>
      <c r="T61">
        <v>7870.8775026757503</v>
      </c>
      <c r="V61">
        <v>21817.693292350916</v>
      </c>
      <c r="W61">
        <v>7804.5909444563604</v>
      </c>
      <c r="Y61">
        <v>21930.225195151394</v>
      </c>
      <c r="Z61">
        <v>7777.3421436704493</v>
      </c>
      <c r="AB61">
        <v>21838.984858543783</v>
      </c>
      <c r="AC61">
        <v>7799.3833803409934</v>
      </c>
      <c r="AE61">
        <v>21849.794953488836</v>
      </c>
      <c r="AF61">
        <v>7796.7859678950317</v>
      </c>
      <c r="AH61">
        <v>21782.699717745367</v>
      </c>
      <c r="AI61">
        <v>7813.6197784971864</v>
      </c>
      <c r="AK61">
        <v>35671.788327201561</v>
      </c>
      <c r="AL61">
        <v>7991.9788334295026</v>
      </c>
      <c r="AZ61">
        <v>49899.133753820694</v>
      </c>
      <c r="BA61">
        <v>3.2343444608218377</v>
      </c>
      <c r="BC61">
        <v>49781.302288671344</v>
      </c>
      <c r="BD61">
        <v>19.14842934392567</v>
      </c>
      <c r="BF61">
        <v>49914.325960380651</v>
      </c>
      <c r="BG61">
        <v>1.1013460459811906</v>
      </c>
      <c r="BI61">
        <v>49761.796360419787</v>
      </c>
      <c r="BJ61">
        <v>23.033280225890049</v>
      </c>
      <c r="BL61">
        <v>49810.242297291414</v>
      </c>
      <c r="BM61">
        <v>20.58882256566913</v>
      </c>
      <c r="BO61">
        <v>49769.343306317875</v>
      </c>
      <c r="BP61">
        <v>22.839303875843925</v>
      </c>
      <c r="BR61">
        <v>49773.491690547067</v>
      </c>
      <c r="BS61">
        <v>22.69466865700366</v>
      </c>
      <c r="BU61">
        <v>49751.18528606178</v>
      </c>
      <c r="BV61">
        <v>23.118704036795993</v>
      </c>
      <c r="BX61">
        <v>49928.898195878362</v>
      </c>
      <c r="BY61">
        <v>7.6565130313457051E-4</v>
      </c>
    </row>
    <row r="62" spans="13:77" x14ac:dyDescent="0.35">
      <c r="M62">
        <v>21407.266371787384</v>
      </c>
      <c r="N62">
        <v>7610.1090101788031</v>
      </c>
      <c r="P62">
        <v>21754.475118846422</v>
      </c>
      <c r="Q62">
        <v>7765.9859065041574</v>
      </c>
      <c r="S62">
        <v>20830.039698034383</v>
      </c>
      <c r="T62">
        <v>7758.3380380396356</v>
      </c>
      <c r="V62">
        <v>21807.181757990322</v>
      </c>
      <c r="W62">
        <v>7787.576618275948</v>
      </c>
      <c r="Y62">
        <v>21908.284793266863</v>
      </c>
      <c r="Z62">
        <v>7769.9758047035621</v>
      </c>
      <c r="AB62">
        <v>21826.318487782981</v>
      </c>
      <c r="AC62">
        <v>7784.1991636060084</v>
      </c>
      <c r="AE62">
        <v>21836.024554755048</v>
      </c>
      <c r="AF62">
        <v>7782.5295981541531</v>
      </c>
      <c r="AH62">
        <v>21775.625790399488</v>
      </c>
      <c r="AI62">
        <v>7793.586995089212</v>
      </c>
      <c r="AK62">
        <v>33312.798936870182</v>
      </c>
      <c r="AL62">
        <v>9233.7002458382376</v>
      </c>
      <c r="AZ62">
        <v>49910.202778805826</v>
      </c>
      <c r="BA62">
        <v>2.8949396202058999</v>
      </c>
      <c r="BC62">
        <v>49803.383823946613</v>
      </c>
      <c r="BD62">
        <v>17.132182976281502</v>
      </c>
      <c r="BF62">
        <v>49923.988920624586</v>
      </c>
      <c r="BG62">
        <v>0.98582412930129892</v>
      </c>
      <c r="BI62">
        <v>49785.504279350083</v>
      </c>
      <c r="BJ62">
        <v>20.606603205388723</v>
      </c>
      <c r="BL62">
        <v>49828.770740973363</v>
      </c>
      <c r="BM62">
        <v>18.422685916141663</v>
      </c>
      <c r="BO62">
        <v>49792.214746536796</v>
      </c>
      <c r="BP62">
        <v>20.433581080718842</v>
      </c>
      <c r="BR62">
        <v>49795.909357259145</v>
      </c>
      <c r="BS62">
        <v>20.304463743714585</v>
      </c>
      <c r="BU62">
        <v>49776.098947982362</v>
      </c>
      <c r="BV62">
        <v>20.68229154003938</v>
      </c>
      <c r="BX62">
        <v>49937.06255983856</v>
      </c>
      <c r="BY62">
        <v>6.8537463955737135E-4</v>
      </c>
    </row>
    <row r="63" spans="13:77" x14ac:dyDescent="0.35">
      <c r="M63">
        <v>21505.632069071351</v>
      </c>
      <c r="N63">
        <v>7562.5965663182205</v>
      </c>
      <c r="P63">
        <v>21762.847562788949</v>
      </c>
      <c r="Q63">
        <v>7744.2886750632424</v>
      </c>
      <c r="S63">
        <v>20985.17984016539</v>
      </c>
      <c r="T63">
        <v>7661.168205481189</v>
      </c>
      <c r="V63">
        <v>21802.264371274559</v>
      </c>
      <c r="W63">
        <v>7769.9240761606452</v>
      </c>
      <c r="Y63">
        <v>21891.515360893009</v>
      </c>
      <c r="Z63">
        <v>7760.8910820298188</v>
      </c>
      <c r="AB63">
        <v>21819.166026596289</v>
      </c>
      <c r="AC63">
        <v>7768.1710282633048</v>
      </c>
      <c r="AE63">
        <v>21827.728836174872</v>
      </c>
      <c r="AF63">
        <v>7767.3244008915217</v>
      </c>
      <c r="AH63">
        <v>21774.294590853198</v>
      </c>
      <c r="AI63">
        <v>7773.2475655335702</v>
      </c>
      <c r="AK63">
        <v>30910.069467336623</v>
      </c>
      <c r="AL63">
        <v>10377.646409740148</v>
      </c>
      <c r="AZ63">
        <v>49920.054522361708</v>
      </c>
      <c r="BA63">
        <v>2.5912475277864715</v>
      </c>
      <c r="BC63">
        <v>49823.247682288173</v>
      </c>
      <c r="BD63">
        <v>15.329382502940863</v>
      </c>
      <c r="BF63">
        <v>49932.560607886677</v>
      </c>
      <c r="BG63">
        <v>0.88244808445786094</v>
      </c>
      <c r="BI63">
        <v>49806.872208884066</v>
      </c>
      <c r="BJ63">
        <v>18.437068065641366</v>
      </c>
      <c r="BL63">
        <v>49845.513555673264</v>
      </c>
      <c r="BM63">
        <v>16.485481947255792</v>
      </c>
      <c r="BO63">
        <v>49812.83906323203</v>
      </c>
      <c r="BP63">
        <v>18.2826742694857</v>
      </c>
      <c r="BR63">
        <v>49816.129623751309</v>
      </c>
      <c r="BS63">
        <v>18.167373840150372</v>
      </c>
      <c r="BU63">
        <v>49798.535534141469</v>
      </c>
      <c r="BV63">
        <v>18.504204286459707</v>
      </c>
      <c r="BX63">
        <v>49944.289438072876</v>
      </c>
      <c r="BY63">
        <v>6.1353156651051889E-4</v>
      </c>
    </row>
    <row r="64" spans="13:77" x14ac:dyDescent="0.35">
      <c r="M64">
        <v>21599.57353232344</v>
      </c>
      <c r="N64">
        <v>7523.7551972958281</v>
      </c>
      <c r="P64">
        <v>21774.912486919937</v>
      </c>
      <c r="Q64">
        <v>7723.5817695632049</v>
      </c>
      <c r="S64">
        <v>21137.657424065572</v>
      </c>
      <c r="T64">
        <v>7578.7176032675989</v>
      </c>
      <c r="V64">
        <v>21802.204727412747</v>
      </c>
      <c r="W64">
        <v>7752.1054280714707</v>
      </c>
      <c r="Y64">
        <v>21879.498091195772</v>
      </c>
      <c r="Z64">
        <v>7750.538994216532</v>
      </c>
      <c r="AB64">
        <v>21816.850938513453</v>
      </c>
      <c r="AC64">
        <v>7751.7676042516532</v>
      </c>
      <c r="AE64">
        <v>21824.261623025592</v>
      </c>
      <c r="AF64">
        <v>7751.6372839524302</v>
      </c>
      <c r="AH64">
        <v>21777.870687397623</v>
      </c>
      <c r="AI64">
        <v>7753.0803340408183</v>
      </c>
      <c r="AK64">
        <v>28576.01264597823</v>
      </c>
      <c r="AL64">
        <v>11345.944297558666</v>
      </c>
      <c r="AZ64">
        <v>49928.823128082768</v>
      </c>
      <c r="BA64">
        <v>2.3194908679846877</v>
      </c>
      <c r="BC64">
        <v>49841.115105789489</v>
      </c>
      <c r="BD64">
        <v>13.717209490571284</v>
      </c>
      <c r="BF64">
        <v>49940.1644127283</v>
      </c>
      <c r="BG64">
        <v>0.78993502466540444</v>
      </c>
      <c r="BI64">
        <v>49826.12864424273</v>
      </c>
      <c r="BJ64">
        <v>16.497141627610901</v>
      </c>
      <c r="BL64">
        <v>49860.63985863018</v>
      </c>
      <c r="BM64">
        <v>14.752817887353821</v>
      </c>
      <c r="BO64">
        <v>49831.434428038978</v>
      </c>
      <c r="BP64">
        <v>16.359320741787588</v>
      </c>
      <c r="BR64">
        <v>49834.365205370799</v>
      </c>
      <c r="BS64">
        <v>16.256329806104628</v>
      </c>
      <c r="BU64">
        <v>49818.739130499482</v>
      </c>
      <c r="BV64">
        <v>16.556751172266129</v>
      </c>
      <c r="BX64">
        <v>49950.686478958705</v>
      </c>
      <c r="BY64">
        <v>5.4923260072002524E-4</v>
      </c>
    </row>
    <row r="65" spans="13:77" x14ac:dyDescent="0.35">
      <c r="M65">
        <v>21687.882766192408</v>
      </c>
      <c r="N65">
        <v>7493.012729021636</v>
      </c>
      <c r="P65">
        <v>21789.866965235033</v>
      </c>
      <c r="Q65">
        <v>7704.1488959820945</v>
      </c>
      <c r="S65">
        <v>21284.914506651774</v>
      </c>
      <c r="T65">
        <v>7510.1821242950209</v>
      </c>
      <c r="V65">
        <v>21806.27633707261</v>
      </c>
      <c r="W65">
        <v>7734.5228756034539</v>
      </c>
      <c r="Y65">
        <v>21871.776300810154</v>
      </c>
      <c r="Z65">
        <v>7739.3294737632013</v>
      </c>
      <c r="AB65">
        <v>21818.697536893033</v>
      </c>
      <c r="AC65">
        <v>7735.3929853542795</v>
      </c>
      <c r="AE65">
        <v>21824.972973081738</v>
      </c>
      <c r="AF65">
        <v>7735.8733521268605</v>
      </c>
      <c r="AH65">
        <v>21785.543287532324</v>
      </c>
      <c r="AI65">
        <v>7733.4853794947021</v>
      </c>
      <c r="AK65">
        <v>26410.618539725663</v>
      </c>
      <c r="AL65">
        <v>12083.300894389033</v>
      </c>
      <c r="AZ65">
        <v>49936.627927703434</v>
      </c>
      <c r="BA65">
        <v>2.0762958150701052</v>
      </c>
      <c r="BC65">
        <v>49857.185456012739</v>
      </c>
      <c r="BD65">
        <v>12.27532796007594</v>
      </c>
      <c r="BF65">
        <v>49946.909758288159</v>
      </c>
      <c r="BG65">
        <v>0.70713877366915201</v>
      </c>
      <c r="BI65">
        <v>49843.480087279109</v>
      </c>
      <c r="BJ65">
        <v>14.762293519759744</v>
      </c>
      <c r="BL65">
        <v>49874.303134049507</v>
      </c>
      <c r="BM65">
        <v>13.202937498605655</v>
      </c>
      <c r="BO65">
        <v>49848.198167736329</v>
      </c>
      <c r="BP65">
        <v>14.639226775544437</v>
      </c>
      <c r="BR65">
        <v>49850.80857183077</v>
      </c>
      <c r="BS65">
        <v>14.547208076255245</v>
      </c>
      <c r="BU65">
        <v>49836.930056706828</v>
      </c>
      <c r="BV65">
        <v>14.815267509238222</v>
      </c>
      <c r="BX65">
        <v>49956.34896995395</v>
      </c>
      <c r="BY65">
        <v>4.9168279242774041E-4</v>
      </c>
    </row>
    <row r="66" spans="13:77" x14ac:dyDescent="0.35">
      <c r="M66">
        <v>21769.635910599784</v>
      </c>
      <c r="N66">
        <v>7469.7401035283547</v>
      </c>
      <c r="P66">
        <v>21806.97010233219</v>
      </c>
      <c r="Q66">
        <v>7686.2027258338985</v>
      </c>
      <c r="S66">
        <v>21424.880222689229</v>
      </c>
      <c r="T66">
        <v>7454.6505738303322</v>
      </c>
      <c r="V66">
        <v>21813.776618094209</v>
      </c>
      <c r="W66">
        <v>7717.5110484167089</v>
      </c>
      <c r="Y66">
        <v>21867.87131150061</v>
      </c>
      <c r="Z66">
        <v>7727.6284412279738</v>
      </c>
      <c r="AB66">
        <v>21824.045375452777</v>
      </c>
      <c r="AC66">
        <v>7719.388052573162</v>
      </c>
      <c r="AE66">
        <v>21829.223767519492</v>
      </c>
      <c r="AF66">
        <v>7720.3767176602714</v>
      </c>
      <c r="AH66">
        <v>21796.539589969689</v>
      </c>
      <c r="AI66">
        <v>7714.7880190018468</v>
      </c>
      <c r="AK66">
        <v>24487.023169934349</v>
      </c>
      <c r="AL66">
        <v>12565.589089520106</v>
      </c>
      <c r="AZ66">
        <v>49943.575079604481</v>
      </c>
      <c r="BA66">
        <v>1.8586481313695511</v>
      </c>
      <c r="BC66">
        <v>49871.638352171838</v>
      </c>
      <c r="BD66">
        <v>10.98560605089955</v>
      </c>
      <c r="BF66">
        <v>49952.893682957736</v>
      </c>
      <c r="BG66">
        <v>0.63303504990496884</v>
      </c>
      <c r="BI66">
        <v>49859.113120488866</v>
      </c>
      <c r="BJ66">
        <v>13.210658286490292</v>
      </c>
      <c r="BL66">
        <v>49886.642626709501</v>
      </c>
      <c r="BM66">
        <v>11.816429055476174</v>
      </c>
      <c r="BO66">
        <v>49863.308710508834</v>
      </c>
      <c r="BP66">
        <v>13.100734406826568</v>
      </c>
      <c r="BR66">
        <v>49865.633827683181</v>
      </c>
      <c r="BS66">
        <v>13.018500528300905</v>
      </c>
      <c r="BU66">
        <v>49853.307141570811</v>
      </c>
      <c r="BV66">
        <v>13.25777318567296</v>
      </c>
      <c r="BX66">
        <v>49961.361256963268</v>
      </c>
      <c r="BY66">
        <v>4.401715296740254E-4</v>
      </c>
    </row>
    <row r="67" spans="13:77" x14ac:dyDescent="0.35">
      <c r="M67">
        <v>21844.167078044695</v>
      </c>
      <c r="N67">
        <v>7453.2705501663404</v>
      </c>
      <c r="P67">
        <v>21825.548619772417</v>
      </c>
      <c r="Q67">
        <v>7669.8919412360319</v>
      </c>
      <c r="S67">
        <v>21555.92492280855</v>
      </c>
      <c r="T67">
        <v>7411.1404383593735</v>
      </c>
      <c r="V67">
        <v>21824.038008760566</v>
      </c>
      <c r="W67">
        <v>7701.3405785182058</v>
      </c>
      <c r="Y67">
        <v>21867.296219460302</v>
      </c>
      <c r="Z67">
        <v>7715.7564865058639</v>
      </c>
      <c r="AB67">
        <v>21832.260891452977</v>
      </c>
      <c r="AC67">
        <v>7704.0331191275036</v>
      </c>
      <c r="AE67">
        <v>21836.397622852313</v>
      </c>
      <c r="AF67">
        <v>7705.4326730778521</v>
      </c>
      <c r="AH67">
        <v>21810.135049085155</v>
      </c>
      <c r="AI67">
        <v>7697.2439044567163</v>
      </c>
      <c r="AK67">
        <v>22845.921201034034</v>
      </c>
      <c r="AL67">
        <v>12799.235656854769</v>
      </c>
      <c r="AZ67">
        <v>49949.759025775624</v>
      </c>
      <c r="BA67">
        <v>1.6638542029714496</v>
      </c>
      <c r="BC67">
        <v>49884.635604039679</v>
      </c>
      <c r="BD67">
        <v>9.8318704566816617</v>
      </c>
      <c r="BF67">
        <v>49958.202243560816</v>
      </c>
      <c r="BG67">
        <v>0.56670830660460658</v>
      </c>
      <c r="BI67">
        <v>49873.196291524793</v>
      </c>
      <c r="BJ67">
        <v>11.822737463232784</v>
      </c>
      <c r="BL67">
        <v>49897.784618577258</v>
      </c>
      <c r="BM67">
        <v>10.575966972743736</v>
      </c>
      <c r="BO67">
        <v>49876.927356896667</v>
      </c>
      <c r="BP67">
        <v>11.724527454641748</v>
      </c>
      <c r="BR67">
        <v>49878.99842468532</v>
      </c>
      <c r="BS67">
        <v>11.651023142410983</v>
      </c>
      <c r="BU67">
        <v>49868.049786180141</v>
      </c>
      <c r="BV67">
        <v>11.864671516747006</v>
      </c>
      <c r="BX67">
        <v>49965.798000722796</v>
      </c>
      <c r="BY67">
        <v>3.9406347275013911E-4</v>
      </c>
    </row>
    <row r="68" spans="13:77" x14ac:dyDescent="0.35">
      <c r="M68">
        <v>21911.042662603486</v>
      </c>
      <c r="N68">
        <v>7442.9156561719174</v>
      </c>
      <c r="P68">
        <v>21845.000150956046</v>
      </c>
      <c r="Q68">
        <v>7655.3084442283935</v>
      </c>
      <c r="S68">
        <v>21676.817739879811</v>
      </c>
      <c r="T68">
        <v>7378.6254037699327</v>
      </c>
      <c r="V68">
        <v>21836.436482447047</v>
      </c>
      <c r="W68">
        <v>7686.2225569733318</v>
      </c>
      <c r="Y68">
        <v>21869.567594265027</v>
      </c>
      <c r="Z68">
        <v>7703.9888875741726</v>
      </c>
      <c r="AB68">
        <v>21842.746538085379</v>
      </c>
      <c r="AC68">
        <v>7689.5515540273163</v>
      </c>
      <c r="AE68">
        <v>21845.910338183443</v>
      </c>
      <c r="AF68">
        <v>7691.2708901299902</v>
      </c>
      <c r="AH68">
        <v>21825.660901347361</v>
      </c>
      <c r="AI68">
        <v>7681.0448388691029</v>
      </c>
      <c r="AK68">
        <v>21498.237521331204</v>
      </c>
      <c r="AL68">
        <v>12813.641758106894</v>
      </c>
      <c r="AZ68">
        <v>49955.263787373035</v>
      </c>
      <c r="BA68">
        <v>1.4895064258479835</v>
      </c>
      <c r="BC68">
        <v>49896.322958729834</v>
      </c>
      <c r="BD68">
        <v>8.7996894851812257</v>
      </c>
      <c r="BF68">
        <v>49962.911759408977</v>
      </c>
      <c r="BG68">
        <v>0.50734003267634942</v>
      </c>
      <c r="BI68">
        <v>49885.881824608921</v>
      </c>
      <c r="BJ68">
        <v>10.581136536702392</v>
      </c>
      <c r="BL68">
        <v>49907.84359716878</v>
      </c>
      <c r="BM68">
        <v>9.4660829696051145</v>
      </c>
      <c r="BO68">
        <v>49889.199890258125</v>
      </c>
      <c r="BP68">
        <v>10.493371832958463</v>
      </c>
      <c r="BR68">
        <v>49891.044720101789</v>
      </c>
      <c r="BS68">
        <v>10.427658568570378</v>
      </c>
      <c r="BU68">
        <v>49881.319833661335</v>
      </c>
      <c r="BV68">
        <v>10.6184835617965</v>
      </c>
      <c r="BX68">
        <v>49969.725288917936</v>
      </c>
      <c r="BY68">
        <v>3.527904873562031E-4</v>
      </c>
    </row>
    <row r="69" spans="13:77" x14ac:dyDescent="0.35">
      <c r="M69">
        <v>21970.03615940248</v>
      </c>
      <c r="N69">
        <v>7437.9789616107746</v>
      </c>
      <c r="P69">
        <v>21864.794587164815</v>
      </c>
      <c r="Q69">
        <v>7642.4945226635036</v>
      </c>
      <c r="S69">
        <v>21786.687043721162</v>
      </c>
      <c r="T69">
        <v>7356.0567382785712</v>
      </c>
      <c r="V69">
        <v>21850.39774995824</v>
      </c>
      <c r="W69">
        <v>7672.3135743223183</v>
      </c>
      <c r="Y69">
        <v>21874.215198885719</v>
      </c>
      <c r="Z69">
        <v>7692.5567102237619</v>
      </c>
      <c r="AB69">
        <v>21854.947657721565</v>
      </c>
      <c r="AC69">
        <v>7676.114089957543</v>
      </c>
      <c r="AE69">
        <v>21857.217111470112</v>
      </c>
      <c r="AF69">
        <v>7678.0693533815256</v>
      </c>
      <c r="AH69">
        <v>21842.509295279266</v>
      </c>
      <c r="AI69">
        <v>7666.3250086982798</v>
      </c>
      <c r="AK69">
        <v>20432.56698036442</v>
      </c>
      <c r="AL69">
        <v>12650.955651863294</v>
      </c>
      <c r="AZ69">
        <v>49960.164116775493</v>
      </c>
      <c r="BA69">
        <v>1.3334524312291411</v>
      </c>
      <c r="BC69">
        <v>49906.831678807219</v>
      </c>
      <c r="BD69">
        <v>7.8761811713067189</v>
      </c>
      <c r="BF69">
        <v>49967.089915291865</v>
      </c>
      <c r="BG69">
        <v>0.45419834416386262</v>
      </c>
      <c r="BI69">
        <v>49897.307173967725</v>
      </c>
      <c r="BJ69">
        <v>9.4703324167098621</v>
      </c>
      <c r="BL69">
        <v>49916.923323913907</v>
      </c>
      <c r="BM69">
        <v>8.4729632003578885</v>
      </c>
      <c r="BO69">
        <v>49900.258040475499</v>
      </c>
      <c r="BP69">
        <v>9.3918858770970548</v>
      </c>
      <c r="BR69">
        <v>49901.901393971246</v>
      </c>
      <c r="BS69">
        <v>9.333128389886598</v>
      </c>
      <c r="BU69">
        <v>49893.263262983688</v>
      </c>
      <c r="BV69">
        <v>9.5036134225683107</v>
      </c>
      <c r="BX69">
        <v>49973.201620600033</v>
      </c>
      <c r="BY69">
        <v>3.1584446151698014E-4</v>
      </c>
    </row>
    <row r="70" spans="13:77" x14ac:dyDescent="0.35">
      <c r="M70">
        <v>22021.103531779223</v>
      </c>
      <c r="N70">
        <v>7437.7675629577843</v>
      </c>
      <c r="P70">
        <v>21884.473786230912</v>
      </c>
      <c r="Q70">
        <v>7631.4498187141471</v>
      </c>
      <c r="S70">
        <v>21884.983249060304</v>
      </c>
      <c r="T70">
        <v>7342.3802111823506</v>
      </c>
      <c r="V70">
        <v>21865.401430972575</v>
      </c>
      <c r="W70">
        <v>7659.7210998224036</v>
      </c>
      <c r="Y70">
        <v>21880.789856272357</v>
      </c>
      <c r="Z70">
        <v>7681.648753331342</v>
      </c>
      <c r="AB70">
        <v>21868.357350312959</v>
      </c>
      <c r="AC70">
        <v>7663.8435693752917</v>
      </c>
      <c r="AE70">
        <v>21869.817764941647</v>
      </c>
      <c r="AF70">
        <v>7665.9587821665527</v>
      </c>
      <c r="AH70">
        <v>21860.136349190081</v>
      </c>
      <c r="AI70">
        <v>7653.1673912470178</v>
      </c>
      <c r="AK70">
        <v>19623.667941244192</v>
      </c>
      <c r="AL70">
        <v>12356.861449836937</v>
      </c>
      <c r="AZ70">
        <v>49964.526522055545</v>
      </c>
      <c r="BA70">
        <v>1.1937677040395678</v>
      </c>
      <c r="BC70">
        <v>49916.279967620583</v>
      </c>
      <c r="BD70">
        <v>7.0498433594751821</v>
      </c>
      <c r="BF70">
        <v>49970.796739410325</v>
      </c>
      <c r="BG70">
        <v>0.40662871749616497</v>
      </c>
      <c r="BI70">
        <v>49907.59643321886</v>
      </c>
      <c r="BJ70">
        <v>8.476467644999639</v>
      </c>
      <c r="BL70">
        <v>49925.117810305113</v>
      </c>
      <c r="BM70">
        <v>7.5842682473924814</v>
      </c>
      <c r="BO70">
        <v>49910.220813589964</v>
      </c>
      <c r="BP70">
        <v>8.4063369922063558</v>
      </c>
      <c r="BR70">
        <v>49911.684737398871</v>
      </c>
      <c r="BS70">
        <v>8.3537914397474946</v>
      </c>
      <c r="BU70">
        <v>49904.011722775293</v>
      </c>
      <c r="BV70">
        <v>8.5061406582693593</v>
      </c>
      <c r="BX70">
        <v>49976.278777565436</v>
      </c>
      <c r="BY70">
        <v>2.8277090551708444E-4</v>
      </c>
    </row>
    <row r="71" spans="13:77" x14ac:dyDescent="0.35">
      <c r="M71">
        <v>22064.359180064846</v>
      </c>
      <c r="N71">
        <v>7441.6020840160263</v>
      </c>
      <c r="P71">
        <v>21903.649924372661</v>
      </c>
      <c r="Q71">
        <v>7622.1379894069432</v>
      </c>
      <c r="S71">
        <v>21971.443499456873</v>
      </c>
      <c r="T71">
        <v>7336.5498256652872</v>
      </c>
      <c r="V71">
        <v>21880.983463728775</v>
      </c>
      <c r="W71">
        <v>7648.509003384982</v>
      </c>
      <c r="Y71">
        <v>21888.869609714558</v>
      </c>
      <c r="Z71">
        <v>7671.4141296852185</v>
      </c>
      <c r="AB71">
        <v>21882.519585283051</v>
      </c>
      <c r="AC71">
        <v>7652.8199276827399</v>
      </c>
      <c r="AE71">
        <v>21883.260217101819</v>
      </c>
      <c r="AF71">
        <v>7655.0273375698089</v>
      </c>
      <c r="AH71">
        <v>21878.063438344929</v>
      </c>
      <c r="AI71">
        <v>7641.6101507021731</v>
      </c>
      <c r="AK71">
        <v>19039.656736633755</v>
      </c>
      <c r="AL71">
        <v>11974.16717953757</v>
      </c>
      <c r="AZ71">
        <v>49968.410178015343</v>
      </c>
      <c r="BA71">
        <v>1.068731204017388</v>
      </c>
      <c r="BC71">
        <v>49924.774256314959</v>
      </c>
      <c r="BD71">
        <v>6.3104030853326263</v>
      </c>
      <c r="BF71">
        <v>49974.085470442908</v>
      </c>
      <c r="BG71">
        <v>0.36404573416117281</v>
      </c>
      <c r="BI71">
        <v>49916.86161351372</v>
      </c>
      <c r="BJ71">
        <v>7.5871680751858506</v>
      </c>
      <c r="BL71">
        <v>49932.512209127955</v>
      </c>
      <c r="BM71">
        <v>6.7889732711895441</v>
      </c>
      <c r="BO71">
        <v>49919.195699063785</v>
      </c>
      <c r="BP71">
        <v>7.5244614252508653</v>
      </c>
      <c r="BR71">
        <v>49920.499823015489</v>
      </c>
      <c r="BS71">
        <v>7.4774650157033831</v>
      </c>
      <c r="BU71">
        <v>49913.683919759555</v>
      </c>
      <c r="BV71">
        <v>7.6136364798001823</v>
      </c>
      <c r="BX71">
        <v>49979.002595676728</v>
      </c>
      <c r="BY71">
        <v>2.5316324638292756E-4</v>
      </c>
    </row>
    <row r="72" spans="13:77" x14ac:dyDescent="0.35">
      <c r="M72">
        <v>22100.052592082619</v>
      </c>
      <c r="N72">
        <v>7448.8252659515965</v>
      </c>
      <c r="P72">
        <v>21922.00274244426</v>
      </c>
      <c r="Q72">
        <v>7614.4929826716279</v>
      </c>
      <c r="S72">
        <v>22046.057840109912</v>
      </c>
      <c r="T72">
        <v>7337.5393060639735</v>
      </c>
      <c r="V72">
        <v>21896.73700542899</v>
      </c>
      <c r="W72">
        <v>7638.7030666010642</v>
      </c>
      <c r="Y72">
        <v>21898.064336139945</v>
      </c>
      <c r="Z72">
        <v>7661.9652996011937</v>
      </c>
      <c r="AB72">
        <v>21897.030793759903</v>
      </c>
      <c r="AC72">
        <v>7643.0852525895662</v>
      </c>
      <c r="AE72">
        <v>21897.14242992254</v>
      </c>
      <c r="AF72">
        <v>7645.3254500963394</v>
      </c>
      <c r="AH72">
        <v>21895.876988319746</v>
      </c>
      <c r="AI72">
        <v>7631.6528822224745</v>
      </c>
      <c r="AK72">
        <v>18647.064254740144</v>
      </c>
      <c r="AL72">
        <v>11539.348534479461</v>
      </c>
      <c r="AZ72">
        <v>49971.867736366214</v>
      </c>
      <c r="BA72">
        <v>0.95680364722470557</v>
      </c>
      <c r="BC72">
        <v>49932.41036566611</v>
      </c>
      <c r="BD72">
        <v>5.6486829393189062</v>
      </c>
      <c r="BF72">
        <v>49977.003326325088</v>
      </c>
      <c r="BG72">
        <v>0.32592572233422179</v>
      </c>
      <c r="BI72">
        <v>49925.203802188655</v>
      </c>
      <c r="BJ72">
        <v>6.7913811909386759</v>
      </c>
      <c r="BL72">
        <v>49939.183627597267</v>
      </c>
      <c r="BM72">
        <v>6.0772259550249537</v>
      </c>
      <c r="BO72">
        <v>49927.27976543823</v>
      </c>
      <c r="BP72">
        <v>6.7353043830041095</v>
      </c>
      <c r="BR72">
        <v>49928.441567874928</v>
      </c>
      <c r="BS72">
        <v>6.6932662469308779</v>
      </c>
      <c r="BU72">
        <v>49922.386875166936</v>
      </c>
      <c r="BV72">
        <v>6.8150008328885612</v>
      </c>
      <c r="BX72">
        <v>49981.413647615525</v>
      </c>
      <c r="BY72">
        <v>2.2665773906013274E-4</v>
      </c>
    </row>
    <row r="73" spans="13:77" x14ac:dyDescent="0.35">
      <c r="M73">
        <v>22128.54578411048</v>
      </c>
      <c r="N73">
        <v>7458.8093414586019</v>
      </c>
      <c r="P73">
        <v>21939.275910877626</v>
      </c>
      <c r="Q73">
        <v>7608.4248785542695</v>
      </c>
      <c r="S73">
        <v>22109.036600463689</v>
      </c>
      <c r="T73">
        <v>7344.351996107418</v>
      </c>
      <c r="V73">
        <v>21912.312056991621</v>
      </c>
      <c r="W73">
        <v>7630.2963652395565</v>
      </c>
      <c r="Y73">
        <v>21908.018976095365</v>
      </c>
      <c r="Z73">
        <v>7653.3814016208489</v>
      </c>
      <c r="AB73">
        <v>21911.540163258072</v>
      </c>
      <c r="AC73">
        <v>7634.6487936499079</v>
      </c>
      <c r="AE73">
        <v>21911.113047237111</v>
      </c>
      <c r="AF73">
        <v>7636.8706379058503</v>
      </c>
      <c r="AH73">
        <v>21913.227025990833</v>
      </c>
      <c r="AI73">
        <v>7623.2626008974212</v>
      </c>
      <c r="AK73">
        <v>18413.878690305566</v>
      </c>
      <c r="AL73">
        <v>11081.372055359789</v>
      </c>
      <c r="AZ73">
        <v>49974.946046234625</v>
      </c>
      <c r="BA73">
        <v>0.8566081472286593</v>
      </c>
      <c r="BC73">
        <v>49939.274554673997</v>
      </c>
      <c r="BD73">
        <v>5.0564823956786444</v>
      </c>
      <c r="BF73">
        <v>49979.592185892143</v>
      </c>
      <c r="BG73">
        <v>0.29180019475908353</v>
      </c>
      <c r="BI73">
        <v>49932.714212697763</v>
      </c>
      <c r="BJ73">
        <v>6.0792325994483107</v>
      </c>
      <c r="BL73">
        <v>49945.201868761906</v>
      </c>
      <c r="BM73">
        <v>5.440220177720164</v>
      </c>
      <c r="BO73">
        <v>49934.560654284505</v>
      </c>
      <c r="BP73">
        <v>6.0290780787028018</v>
      </c>
      <c r="BR73">
        <v>49935.595698243895</v>
      </c>
      <c r="BS73">
        <v>5.9914712265195424</v>
      </c>
      <c r="BU73">
        <v>49930.217061316122</v>
      </c>
      <c r="BV73">
        <v>6.1003178610325532</v>
      </c>
      <c r="BX73">
        <v>49983.547847236841</v>
      </c>
      <c r="BY73">
        <v>2.029289256601231E-4</v>
      </c>
    </row>
    <row r="74" spans="13:77" x14ac:dyDescent="0.35">
      <c r="M74">
        <v>22150.291666836827</v>
      </c>
      <c r="N74">
        <v>7470.9622916482622</v>
      </c>
      <c r="P74">
        <v>21955.272713172311</v>
      </c>
      <c r="Q74">
        <v>7603.8252649103842</v>
      </c>
      <c r="S74">
        <v>22160.778822084245</v>
      </c>
      <c r="T74">
        <v>7356.029591691632</v>
      </c>
      <c r="V74">
        <v>21927.414026264029</v>
      </c>
      <c r="W74">
        <v>7623.2544353079165</v>
      </c>
      <c r="Y74">
        <v>21918.415543357802</v>
      </c>
      <c r="Z74">
        <v>7645.7117501646435</v>
      </c>
      <c r="AB74">
        <v>21925.748840579556</v>
      </c>
      <c r="AC74">
        <v>7627.49182537248</v>
      </c>
      <c r="AE74">
        <v>21924.87092567853</v>
      </c>
      <c r="AF74">
        <v>7629.6522146793577</v>
      </c>
      <c r="AH74">
        <v>21929.824715157371</v>
      </c>
      <c r="AI74">
        <v>7616.3794022363445</v>
      </c>
      <c r="AK74">
        <v>18311.080223789708</v>
      </c>
      <c r="AL74">
        <v>10621.941306044766</v>
      </c>
      <c r="AZ74">
        <v>49977.686794935908</v>
      </c>
      <c r="BA74">
        <v>0.76691295126981984</v>
      </c>
      <c r="BC74">
        <v>49945.444466750349</v>
      </c>
      <c r="BD74">
        <v>4.526472348555429</v>
      </c>
      <c r="BF74">
        <v>49981.889193270865</v>
      </c>
      <c r="BG74">
        <v>0.26124999413334649</v>
      </c>
      <c r="BI74">
        <v>49939.47513568982</v>
      </c>
      <c r="BJ74">
        <v>5.4418985540010949</v>
      </c>
      <c r="BL74">
        <v>49950.630107095858</v>
      </c>
      <c r="BM74">
        <v>4.8700836032002224</v>
      </c>
      <c r="BO74">
        <v>49941.117481531073</v>
      </c>
      <c r="BP74">
        <v>5.3970355989434378</v>
      </c>
      <c r="BR74">
        <v>49942.039624973215</v>
      </c>
      <c r="BS74">
        <v>5.3633898240291735</v>
      </c>
      <c r="BU74">
        <v>49937.26142948788</v>
      </c>
      <c r="BV74">
        <v>5.4607275649761169</v>
      </c>
      <c r="BX74">
        <v>49985.436984527274</v>
      </c>
      <c r="BY74">
        <v>1.8168558218399194E-4</v>
      </c>
    </row>
    <row r="75" spans="13:77" x14ac:dyDescent="0.35">
      <c r="M75">
        <v>22165.813489820433</v>
      </c>
      <c r="N75">
        <v>7484.7330373441901</v>
      </c>
      <c r="P75">
        <v>21969.851225832015</v>
      </c>
      <c r="Q75">
        <v>7600.5721314442017</v>
      </c>
      <c r="S75">
        <v>22201.841679340356</v>
      </c>
      <c r="T75">
        <v>7371.6599461841297</v>
      </c>
      <c r="V75">
        <v>21941.801424558416</v>
      </c>
      <c r="W75">
        <v>7617.5201587732381</v>
      </c>
      <c r="Y75">
        <v>21928.974072547739</v>
      </c>
      <c r="Z75">
        <v>7638.9793933278752</v>
      </c>
      <c r="AB75">
        <v>21939.408231879846</v>
      </c>
      <c r="AC75">
        <v>7621.5722915746928</v>
      </c>
      <c r="AE75">
        <v>21938.163743973517</v>
      </c>
      <c r="AF75">
        <v>7623.635810532337</v>
      </c>
      <c r="AH75">
        <v>21945.43908085944</v>
      </c>
      <c r="AI75">
        <v>7610.9217441413948</v>
      </c>
      <c r="AK75">
        <v>18313.200856912528</v>
      </c>
      <c r="AL75">
        <v>10176.457819458405</v>
      </c>
      <c r="AZ75">
        <v>49980.1270778537</v>
      </c>
      <c r="BA75">
        <v>0.68661603806386284</v>
      </c>
      <c r="BC75">
        <v>49950.989983329506</v>
      </c>
      <c r="BD75">
        <v>4.0521013185667512</v>
      </c>
      <c r="BF75">
        <v>49983.927293782835</v>
      </c>
      <c r="BG75">
        <v>0.23390006765956356</v>
      </c>
      <c r="BI75">
        <v>49945.560800248328</v>
      </c>
      <c r="BJ75">
        <v>4.8714926316197502</v>
      </c>
      <c r="BL75">
        <v>49955.525503767094</v>
      </c>
      <c r="BM75">
        <v>4.3597775968217443</v>
      </c>
      <c r="BO75">
        <v>49947.021654493627</v>
      </c>
      <c r="BP75">
        <v>4.831358748110743</v>
      </c>
      <c r="BR75">
        <v>49947.843237424917</v>
      </c>
      <c r="BS75">
        <v>4.8012543556033664</v>
      </c>
      <c r="BU75">
        <v>49943.598339228927</v>
      </c>
      <c r="BV75">
        <v>4.8883117547363675</v>
      </c>
      <c r="BX75">
        <v>49987.109199135601</v>
      </c>
      <c r="BY75">
        <v>1.6266709914735278E-4</v>
      </c>
    </row>
    <row r="76" spans="13:77" x14ac:dyDescent="0.35">
      <c r="M76">
        <v>22175.68552756033</v>
      </c>
      <c r="N76">
        <v>7499.6155874381102</v>
      </c>
      <c r="P76">
        <v>21982.919152888528</v>
      </c>
      <c r="Q76">
        <v>7598.5342766264966</v>
      </c>
      <c r="S76">
        <v>22232.910942444745</v>
      </c>
      <c r="T76">
        <v>7390.384044502719</v>
      </c>
      <c r="V76">
        <v>21955.282872949298</v>
      </c>
      <c r="W76">
        <v>7613.0183241214927</v>
      </c>
      <c r="Y76">
        <v>21939.452656016656</v>
      </c>
      <c r="Z76">
        <v>7633.1846446708805</v>
      </c>
      <c r="AB76">
        <v>21952.317572239976</v>
      </c>
      <c r="AC76">
        <v>7616.829178331318</v>
      </c>
      <c r="AE76">
        <v>21950.785860774533</v>
      </c>
      <c r="AF76">
        <v>7618.7676493281979</v>
      </c>
      <c r="AH76">
        <v>21959.893105306357</v>
      </c>
      <c r="AI76">
        <v>7606.7913182005896</v>
      </c>
      <c r="AK76">
        <v>18398.327207823404</v>
      </c>
      <c r="AL76">
        <v>9755.2233963737035</v>
      </c>
      <c r="AZ76">
        <v>49982.299905282081</v>
      </c>
      <c r="BA76">
        <v>0.61473137118871113</v>
      </c>
      <c r="BC76">
        <v>49955.973993813808</v>
      </c>
      <c r="BD76">
        <v>3.6275119843762513</v>
      </c>
      <c r="BF76">
        <v>49985.735709127475</v>
      </c>
      <c r="BG76">
        <v>0.20941480151109762</v>
      </c>
      <c r="BI76">
        <v>49951.038153533977</v>
      </c>
      <c r="BJ76">
        <v>4.3609649260880223</v>
      </c>
      <c r="BL76">
        <v>49959.93976666969</v>
      </c>
      <c r="BM76">
        <v>3.9030080704262686</v>
      </c>
      <c r="BO76">
        <v>49952.337612230753</v>
      </c>
      <c r="BP76">
        <v>4.3250582567671678</v>
      </c>
      <c r="BR76">
        <v>49953.069623265081</v>
      </c>
      <c r="BS76">
        <v>4.2981205148819921</v>
      </c>
      <c r="BU76">
        <v>49949.298398316794</v>
      </c>
      <c r="BV76">
        <v>4.3759926303010799</v>
      </c>
      <c r="BX76">
        <v>49988.589399529345</v>
      </c>
      <c r="BY76">
        <v>1.4564024867051104E-4</v>
      </c>
    </row>
    <row r="77" spans="13:77" x14ac:dyDescent="0.35">
      <c r="M77">
        <v>22180.515169163697</v>
      </c>
      <c r="N77">
        <v>7515.1521535665815</v>
      </c>
      <c r="P77">
        <v>21994.428455245536</v>
      </c>
      <c r="Q77">
        <v>7597.575229855539</v>
      </c>
      <c r="S77">
        <v>22254.772618228068</v>
      </c>
      <c r="T77">
        <v>7411.4021407057644</v>
      </c>
      <c r="V77">
        <v>21967.713577420367</v>
      </c>
      <c r="W77">
        <v>7609.6598319103123</v>
      </c>
      <c r="Y77">
        <v>21949.646712586487</v>
      </c>
      <c r="Z77">
        <v>7628.3085207720187</v>
      </c>
      <c r="AB77">
        <v>21964.320921093582</v>
      </c>
      <c r="AC77">
        <v>7613.1865786151575</v>
      </c>
      <c r="AE77">
        <v>21962.575575955503</v>
      </c>
      <c r="AF77">
        <v>7614.9785418522679</v>
      </c>
      <c r="AH77">
        <v>21973.059358977775</v>
      </c>
      <c r="AI77">
        <v>7603.8774917030842</v>
      </c>
      <c r="AK77">
        <v>18547.826556703294</v>
      </c>
      <c r="AL77">
        <v>9364.6154043619572</v>
      </c>
      <c r="AZ77">
        <v>49984.234653215441</v>
      </c>
      <c r="BA77">
        <v>0.55037662586682212</v>
      </c>
      <c r="BC77">
        <v>49960.453089928793</v>
      </c>
      <c r="BD77">
        <v>3.2474668589353257</v>
      </c>
      <c r="BF77">
        <v>49987.340358731111</v>
      </c>
      <c r="BG77">
        <v>0.18749385391383586</v>
      </c>
      <c r="BI77">
        <v>49955.967566349551</v>
      </c>
      <c r="BJ77">
        <v>3.904012319066255</v>
      </c>
      <c r="BL77">
        <v>49963.919659920262</v>
      </c>
      <c r="BM77">
        <v>3.4941460250773497</v>
      </c>
      <c r="BO77">
        <v>49957.123496197521</v>
      </c>
      <c r="BP77">
        <v>3.8718849385408163</v>
      </c>
      <c r="BR77">
        <v>49957.775720815574</v>
      </c>
      <c r="BS77">
        <v>3.8477791634373517</v>
      </c>
      <c r="BU77">
        <v>49954.425221785234</v>
      </c>
      <c r="BV77">
        <v>3.9174425340850996</v>
      </c>
      <c r="BX77">
        <v>49989.899634020847</v>
      </c>
      <c r="BY77">
        <v>1.3039629598498551E-4</v>
      </c>
    </row>
    <row r="78" spans="13:77" x14ac:dyDescent="0.35">
      <c r="M78">
        <v>22180.926561603028</v>
      </c>
      <c r="N78">
        <v>7530.9352398912924</v>
      </c>
      <c r="P78">
        <v>22004.369898647452</v>
      </c>
      <c r="Q78">
        <v>7597.5566970749833</v>
      </c>
      <c r="S78">
        <v>22268.285968944518</v>
      </c>
      <c r="T78">
        <v>7433.9789888101532</v>
      </c>
      <c r="V78">
        <v>21978.99141572677</v>
      </c>
      <c r="W78">
        <v>7607.3455271495586</v>
      </c>
      <c r="Y78">
        <v>21959.387621104393</v>
      </c>
      <c r="Z78">
        <v>7624.3160315891355</v>
      </c>
      <c r="AB78">
        <v>21975.30372465718</v>
      </c>
      <c r="AC78">
        <v>7610.5574242239927</v>
      </c>
      <c r="AE78">
        <v>21973.411935651497</v>
      </c>
      <c r="AF78">
        <v>7612.1875671992211</v>
      </c>
      <c r="AH78">
        <v>21984.855312750668</v>
      </c>
      <c r="AI78">
        <v>7602.0613120222688</v>
      </c>
      <c r="AK78">
        <v>18745.96477807844</v>
      </c>
      <c r="AL78">
        <v>9008.1093833382802</v>
      </c>
      <c r="AZ78">
        <v>49985.957464296043</v>
      </c>
      <c r="BA78">
        <v>0.49276222784339063</v>
      </c>
      <c r="BC78">
        <v>49964.478191802351</v>
      </c>
      <c r="BD78">
        <v>2.9072820731528148</v>
      </c>
      <c r="BF78">
        <v>49988.76423336687</v>
      </c>
      <c r="BG78">
        <v>0.16786843251896863</v>
      </c>
      <c r="BI78">
        <v>49960.403471485035</v>
      </c>
      <c r="BJ78">
        <v>3.4949985672137562</v>
      </c>
      <c r="BL78">
        <v>49967.507467157397</v>
      </c>
      <c r="BM78">
        <v>3.1281567060052007</v>
      </c>
      <c r="BO78">
        <v>49961.43175756764</v>
      </c>
      <c r="BP78">
        <v>3.4662505517474358</v>
      </c>
      <c r="BR78">
        <v>49962.012910086945</v>
      </c>
      <c r="BS78">
        <v>3.444677748983124</v>
      </c>
      <c r="BU78">
        <v>49959.036117647673</v>
      </c>
      <c r="BV78">
        <v>3.5070035971165425</v>
      </c>
      <c r="BX78">
        <v>49991.059419189609</v>
      </c>
      <c r="BY78">
        <v>1.167484180422963E-4</v>
      </c>
    </row>
    <row r="79" spans="13:77" x14ac:dyDescent="0.35">
      <c r="M79">
        <v>22177.545934522728</v>
      </c>
      <c r="N79">
        <v>7546.6087261860675</v>
      </c>
      <c r="P79">
        <v>22012.76762879435</v>
      </c>
      <c r="Q79">
        <v>7598.3415425844432</v>
      </c>
      <c r="S79">
        <v>22274.358150438282</v>
      </c>
      <c r="T79">
        <v>7457.448063843588</v>
      </c>
      <c r="V79">
        <v>21989.052763680149</v>
      </c>
      <c r="W79">
        <v>7605.9696494517766</v>
      </c>
      <c r="Y79">
        <v>21968.54084170458</v>
      </c>
      <c r="Z79">
        <v>7621.159283541796</v>
      </c>
      <c r="AB79">
        <v>21985.189072137429</v>
      </c>
      <c r="AC79">
        <v>7608.8468704813731</v>
      </c>
      <c r="AE79">
        <v>21983.211207375021</v>
      </c>
      <c r="AF79">
        <v>7610.3054250092882</v>
      </c>
      <c r="AH79">
        <v>21995.238460605793</v>
      </c>
      <c r="AI79">
        <v>7601.2190727852658</v>
      </c>
      <c r="AK79">
        <v>18979.508174010258</v>
      </c>
      <c r="AL79">
        <v>8687.1089735578462</v>
      </c>
      <c r="AZ79">
        <v>49987.491604440147</v>
      </c>
      <c r="BA79">
        <v>0.44118156139277093</v>
      </c>
      <c r="BC79">
        <v>49968.095112389659</v>
      </c>
      <c r="BD79">
        <v>2.6027683540226541</v>
      </c>
      <c r="BF79">
        <v>49990.027726457243</v>
      </c>
      <c r="BG79">
        <v>0.15029796787051136</v>
      </c>
      <c r="BI79">
        <v>49964.394941091887</v>
      </c>
      <c r="BJ79">
        <v>3.1288830952817972</v>
      </c>
      <c r="BL79">
        <v>49970.741412642092</v>
      </c>
      <c r="BM79">
        <v>2.8005364114119589</v>
      </c>
      <c r="BO79">
        <v>49965.309707040287</v>
      </c>
      <c r="BP79">
        <v>3.1031572711391289</v>
      </c>
      <c r="BR79">
        <v>49965.827548087305</v>
      </c>
      <c r="BS79">
        <v>3.0838502669566408</v>
      </c>
      <c r="BU79">
        <v>49963.182706259162</v>
      </c>
      <c r="BV79">
        <v>3.1396161559202769</v>
      </c>
      <c r="BX79">
        <v>49992.086030592909</v>
      </c>
      <c r="BY79">
        <v>1.0452939608062289E-4</v>
      </c>
    </row>
    <row r="80" spans="13:77" x14ac:dyDescent="0.35">
      <c r="M80">
        <v>22170.988704150674</v>
      </c>
      <c r="N80">
        <v>7561.8679786219791</v>
      </c>
      <c r="P80">
        <v>22019.673867704943</v>
      </c>
      <c r="Q80">
        <v>7599.7963234481986</v>
      </c>
      <c r="S80">
        <v>22273.920726971704</v>
      </c>
      <c r="T80">
        <v>7481.214664992508</v>
      </c>
      <c r="V80">
        <v>21997.868174341729</v>
      </c>
      <c r="W80">
        <v>7605.4228990545898</v>
      </c>
      <c r="Y80">
        <v>21977.003637443719</v>
      </c>
      <c r="Z80">
        <v>7618.780365975419</v>
      </c>
      <c r="AB80">
        <v>21993.933758893716</v>
      </c>
      <c r="AC80">
        <v>7607.9553270623792</v>
      </c>
      <c r="AE80">
        <v>21991.923138284914</v>
      </c>
      <c r="AF80">
        <v>7609.2374494074811</v>
      </c>
      <c r="AH80">
        <v>22004.201367322374</v>
      </c>
      <c r="AI80">
        <v>7601.2254472449367</v>
      </c>
      <c r="AK80">
        <v>19237.353859386658</v>
      </c>
      <c r="AL80">
        <v>8401.5882499030831</v>
      </c>
      <c r="AZ80">
        <v>49988.857780051076</v>
      </c>
      <c r="BA80">
        <v>0.39500221960180665</v>
      </c>
      <c r="BC80">
        <v>49971.345066236747</v>
      </c>
      <c r="BD80">
        <v>2.330178392420553</v>
      </c>
      <c r="BF80">
        <v>49991.148927857037</v>
      </c>
      <c r="BG80">
        <v>0.13456714016665977</v>
      </c>
      <c r="BI80">
        <v>49967.986208776776</v>
      </c>
      <c r="BJ80">
        <v>2.801157517392991</v>
      </c>
      <c r="BL80">
        <v>49973.656043838666</v>
      </c>
      <c r="BM80">
        <v>2.5072561080256155</v>
      </c>
      <c r="BO80">
        <v>49968.800012436928</v>
      </c>
      <c r="BP80">
        <v>2.7781348050362675</v>
      </c>
      <c r="BR80">
        <v>49969.261453515588</v>
      </c>
      <c r="BS80">
        <v>2.7608548094340342</v>
      </c>
      <c r="BU80">
        <v>49966.911479620016</v>
      </c>
      <c r="BV80">
        <v>2.8107549516901118</v>
      </c>
      <c r="BX80">
        <v>49992.99476009504</v>
      </c>
      <c r="BY80">
        <v>9.3589552683108414E-5</v>
      </c>
    </row>
    <row r="81" spans="13:77" x14ac:dyDescent="0.35">
      <c r="M81">
        <v>22161.848417332254</v>
      </c>
      <c r="N81">
        <v>7576.4590425457063</v>
      </c>
      <c r="P81">
        <v>22025.163811671726</v>
      </c>
      <c r="Q81">
        <v>7601.7933960430973</v>
      </c>
      <c r="S81">
        <v>22267.908311650233</v>
      </c>
      <c r="T81">
        <v>7504.7578097900159</v>
      </c>
      <c r="V81">
        <v>22005.438010179132</v>
      </c>
      <c r="W81">
        <v>7605.5951225360423</v>
      </c>
      <c r="Y81">
        <v>21984.702498787265</v>
      </c>
      <c r="Z81">
        <v>7617.1140006117394</v>
      </c>
      <c r="AB81">
        <v>22001.524256832068</v>
      </c>
      <c r="AC81">
        <v>7607.781134611887</v>
      </c>
      <c r="AE81">
        <v>21999.527097062321</v>
      </c>
      <c r="AF81">
        <v>7608.886282123658</v>
      </c>
      <c r="AH81">
        <v>22011.76674134253</v>
      </c>
      <c r="AI81">
        <v>7601.9561990307438</v>
      </c>
      <c r="AK81">
        <v>19510.206360091328</v>
      </c>
      <c r="AL81">
        <v>8150.5713796844648</v>
      </c>
      <c r="AZ81">
        <v>49990.074420183213</v>
      </c>
      <c r="BA81">
        <v>0.35365818427259826</v>
      </c>
      <c r="BC81">
        <v>49974.265128004023</v>
      </c>
      <c r="BD81">
        <v>2.086159890162715</v>
      </c>
      <c r="BF81">
        <v>49992.143884370023</v>
      </c>
      <c r="BG81">
        <v>0.12048322127213262</v>
      </c>
      <c r="BI81">
        <v>49971.217141592839</v>
      </c>
      <c r="BJ81">
        <v>2.5077890240073346</v>
      </c>
      <c r="BL81">
        <v>49976.282578857892</v>
      </c>
      <c r="BM81">
        <v>2.2447111037900811</v>
      </c>
      <c r="BO81">
        <v>49971.941148924212</v>
      </c>
      <c r="BP81">
        <v>2.4871843064042558</v>
      </c>
      <c r="BR81">
        <v>49972.352345499821</v>
      </c>
      <c r="BS81">
        <v>2.4717178573844989</v>
      </c>
      <c r="BU81">
        <v>49970.264306342549</v>
      </c>
      <c r="BV81">
        <v>2.5163722405378945</v>
      </c>
      <c r="BX81">
        <v>49993.799143648233</v>
      </c>
      <c r="BY81">
        <v>8.3794907111181964E-5</v>
      </c>
    </row>
    <row r="82" spans="13:77" x14ac:dyDescent="0.35">
      <c r="M82">
        <v>22150.687556595152</v>
      </c>
      <c r="N82">
        <v>7590.1769923733327</v>
      </c>
      <c r="P82">
        <v>22029.330797931561</v>
      </c>
      <c r="Q82">
        <v>7604.2126170762403</v>
      </c>
      <c r="S82">
        <v>22257.239551157309</v>
      </c>
      <c r="T82">
        <v>7527.6308618125686</v>
      </c>
      <c r="V82">
        <v>22011.788115473042</v>
      </c>
      <c r="W82">
        <v>7606.3776267127323</v>
      </c>
      <c r="Y82">
        <v>21991.59036338087</v>
      </c>
      <c r="Z82">
        <v>7616.0899410286784</v>
      </c>
      <c r="AB82">
        <v>22007.972680004739</v>
      </c>
      <c r="AC82">
        <v>7608.2228919771078</v>
      </c>
      <c r="AE82">
        <v>22006.028187791137</v>
      </c>
      <c r="AF82">
        <v>7609.1542076798787</v>
      </c>
      <c r="AH82">
        <v>22017.982619483839</v>
      </c>
      <c r="AI82">
        <v>7603.2904843702954</v>
      </c>
      <c r="AK82">
        <v>19790.303881433385</v>
      </c>
      <c r="AL82">
        <v>7932.4803010289934</v>
      </c>
      <c r="AZ82">
        <v>49991.157927536864</v>
      </c>
      <c r="BA82">
        <v>0.31664283530803167</v>
      </c>
      <c r="BC82">
        <v>49976.888645652645</v>
      </c>
      <c r="BD82">
        <v>1.8677136584333041</v>
      </c>
      <c r="BF82">
        <v>49993.026830770039</v>
      </c>
      <c r="BG82">
        <v>0.10787369814112355</v>
      </c>
      <c r="BI82">
        <v>49974.123666637563</v>
      </c>
      <c r="BJ82">
        <v>2.2451698727769047</v>
      </c>
      <c r="BL82">
        <v>49978.649221867243</v>
      </c>
      <c r="BM82">
        <v>2.0096761136807508</v>
      </c>
      <c r="BO82">
        <v>49974.767806267984</v>
      </c>
      <c r="BP82">
        <v>2.2267283254922976</v>
      </c>
      <c r="BR82">
        <v>49975.134240629508</v>
      </c>
      <c r="BS82">
        <v>2.2128845702693183</v>
      </c>
      <c r="BU82">
        <v>49973.278887471773</v>
      </c>
      <c r="BV82">
        <v>2.2528470458544878</v>
      </c>
      <c r="BX82">
        <v>49994.511162918228</v>
      </c>
      <c r="BY82">
        <v>7.5025525571238556E-5</v>
      </c>
    </row>
    <row r="83" spans="13:77" x14ac:dyDescent="0.35">
      <c r="M83">
        <v>22138.030186102318</v>
      </c>
      <c r="N83">
        <v>7602.8635330945517</v>
      </c>
      <c r="P83">
        <v>22032.281794441256</v>
      </c>
      <c r="Q83">
        <v>7606.9426639327266</v>
      </c>
      <c r="S83">
        <v>22242.800625381133</v>
      </c>
      <c r="T83">
        <v>7549.4608783494541</v>
      </c>
      <c r="V83">
        <v>22016.965604048903</v>
      </c>
      <c r="W83">
        <v>7607.6651331133262</v>
      </c>
      <c r="Y83">
        <v>21997.643713706573</v>
      </c>
      <c r="Z83">
        <v>7615.6351154172116</v>
      </c>
      <c r="AB83">
        <v>22013.312821611504</v>
      </c>
      <c r="AC83">
        <v>7609.1814431593393</v>
      </c>
      <c r="AE83">
        <v>22011.453412683153</v>
      </c>
      <c r="AF83">
        <v>7609.9451580183231</v>
      </c>
      <c r="AH83">
        <v>22022.917737262476</v>
      </c>
      <c r="AI83">
        <v>7605.1127632094403</v>
      </c>
      <c r="AK83">
        <v>20071.190954487261</v>
      </c>
      <c r="AL83">
        <v>7745.3799306959227</v>
      </c>
      <c r="AZ83">
        <v>49992.122901733645</v>
      </c>
      <c r="BA83">
        <v>0.28350270050461196</v>
      </c>
      <c r="BC83">
        <v>49979.245612726256</v>
      </c>
      <c r="BD83">
        <v>1.6721562119657989</v>
      </c>
      <c r="BF83">
        <v>49993.810394669395</v>
      </c>
      <c r="BG83">
        <v>9.6584147527433356E-2</v>
      </c>
      <c r="BI83">
        <v>49976.738156537598</v>
      </c>
      <c r="BJ83">
        <v>2.0100723096261746</v>
      </c>
      <c r="BL83">
        <v>49980.78144931572</v>
      </c>
      <c r="BM83">
        <v>1.7992651299083524</v>
      </c>
      <c r="BO83">
        <v>49977.311257128567</v>
      </c>
      <c r="BP83">
        <v>1.9935661384123837</v>
      </c>
      <c r="BR83">
        <v>49977.637812153182</v>
      </c>
      <c r="BS83">
        <v>1.9811744128630309</v>
      </c>
      <c r="BU83">
        <v>49975.989167867207</v>
      </c>
      <c r="BV83">
        <v>2.0169398732039485</v>
      </c>
      <c r="BX83">
        <v>49995.141423757836</v>
      </c>
      <c r="BY83">
        <v>6.7174045619759954E-5</v>
      </c>
    </row>
    <row r="84" spans="13:77" x14ac:dyDescent="0.35">
      <c r="M84">
        <v>22124.356378826073</v>
      </c>
      <c r="N84">
        <v>7614.4039639480416</v>
      </c>
      <c r="P84">
        <v>22034.133254915327</v>
      </c>
      <c r="Q84">
        <v>7609.8820014960502</v>
      </c>
      <c r="S84">
        <v>22225.431371454812</v>
      </c>
      <c r="T84">
        <v>7569.9467131717402</v>
      </c>
      <c r="V84">
        <v>22021.034825693907</v>
      </c>
      <c r="W84">
        <v>7609.3573887475541</v>
      </c>
      <c r="Y84">
        <v>22002.859625633118</v>
      </c>
      <c r="Z84">
        <v>7615.6755110627091</v>
      </c>
      <c r="AB84">
        <v>22017.596327293068</v>
      </c>
      <c r="AC84">
        <v>7610.5615367081009</v>
      </c>
      <c r="AE84">
        <v>22015.847949387695</v>
      </c>
      <c r="AF84">
        <v>7611.1663977207927</v>
      </c>
      <c r="AH84">
        <v>22026.657146184512</v>
      </c>
      <c r="AI84">
        <v>7607.3143395749366</v>
      </c>
      <c r="AK84">
        <v>20347.531491053338</v>
      </c>
      <c r="AL84">
        <v>7587.1463345802667</v>
      </c>
      <c r="AZ84">
        <v>49992.982337939662</v>
      </c>
      <c r="BA84">
        <v>0.25383186646205169</v>
      </c>
      <c r="BC84">
        <v>49981.363003734019</v>
      </c>
      <c r="BD84">
        <v>1.4970863667915333</v>
      </c>
      <c r="BF84">
        <v>49994.505778198327</v>
      </c>
      <c r="BG84">
        <v>8.6476335150052319E-2</v>
      </c>
      <c r="BI84">
        <v>49979.089777708876</v>
      </c>
      <c r="BJ84">
        <v>1.7996083236726534</v>
      </c>
      <c r="BL84">
        <v>49982.702269582311</v>
      </c>
      <c r="BM84">
        <v>1.6108955740617279</v>
      </c>
      <c r="BO84">
        <v>49979.599690045688</v>
      </c>
      <c r="BP84">
        <v>1.7848338621637867</v>
      </c>
      <c r="BR84">
        <v>49979.890714865884</v>
      </c>
      <c r="BS84">
        <v>1.7737415345496683</v>
      </c>
      <c r="BU84">
        <v>49978.425707412673</v>
      </c>
      <c r="BV84">
        <v>1.805752286466022</v>
      </c>
      <c r="BX84">
        <v>49995.69931418691</v>
      </c>
      <c r="BY84">
        <v>6.0144356170525702E-5</v>
      </c>
    </row>
    <row r="85" spans="13:77" x14ac:dyDescent="0.35">
      <c r="M85">
        <v>22110.098329399596</v>
      </c>
      <c r="N85">
        <v>7624.7236263186242</v>
      </c>
      <c r="P85">
        <v>22035.007369616716</v>
      </c>
      <c r="Q85">
        <v>7612.9395245826527</v>
      </c>
      <c r="S85">
        <v>22205.914073242875</v>
      </c>
      <c r="T85">
        <v>7588.8559575903046</v>
      </c>
      <c r="V85">
        <v>22024.073563379745</v>
      </c>
      <c r="W85">
        <v>7611.3604517579915</v>
      </c>
      <c r="Y85">
        <v>22007.252831549464</v>
      </c>
      <c r="Z85">
        <v>7616.1378033786059</v>
      </c>
      <c r="AB85">
        <v>22020.889058755285</v>
      </c>
      <c r="AC85">
        <v>7612.273173368696</v>
      </c>
      <c r="AE85">
        <v>22019.271597965177</v>
      </c>
      <c r="AF85">
        <v>7612.7299041828737</v>
      </c>
      <c r="AH85">
        <v>22029.298127449518</v>
      </c>
      <c r="AI85">
        <v>7609.7945540973506</v>
      </c>
      <c r="AK85">
        <v>20614.95567468744</v>
      </c>
      <c r="AL85">
        <v>7455.5784824978218</v>
      </c>
      <c r="AZ85">
        <v>49993.747803563747</v>
      </c>
      <c r="BA85">
        <v>0.22726697998548478</v>
      </c>
      <c r="BC85">
        <v>49983.265076254691</v>
      </c>
      <c r="BD85">
        <v>1.3403554051249964</v>
      </c>
      <c r="BF85">
        <v>49995.122919122994</v>
      </c>
      <c r="BG85">
        <v>7.7426515400910612E-2</v>
      </c>
      <c r="BI85">
        <v>49981.204804922832</v>
      </c>
      <c r="BJ85">
        <v>1.611193707476781</v>
      </c>
      <c r="BL85">
        <v>49984.432458436408</v>
      </c>
      <c r="BM85">
        <v>1.4422562671948465</v>
      </c>
      <c r="BO85">
        <v>49981.658510430374</v>
      </c>
      <c r="BP85">
        <v>1.5979688335154612</v>
      </c>
      <c r="BR85">
        <v>49981.917878893881</v>
      </c>
      <c r="BS85">
        <v>1.5880393826168899</v>
      </c>
      <c r="BU85">
        <v>49980.616015920299</v>
      </c>
      <c r="BV85">
        <v>1.6166908126435167</v>
      </c>
      <c r="BX85">
        <v>49996.193144232027</v>
      </c>
      <c r="BY85">
        <v>5.3850416572619859E-5</v>
      </c>
    </row>
    <row r="86" spans="13:77" x14ac:dyDescent="0.35">
      <c r="M86">
        <v>22095.638026522254</v>
      </c>
      <c r="N86">
        <v>7633.7839641393712</v>
      </c>
      <c r="P86">
        <v>22035.0287313886</v>
      </c>
      <c r="Q86">
        <v>7616.0349067858197</v>
      </c>
      <c r="S86">
        <v>22184.964886884478</v>
      </c>
      <c r="T86">
        <v>7606.0208460531558</v>
      </c>
      <c r="V86">
        <v>22026.169502663848</v>
      </c>
      <c r="W86">
        <v>7613.5876730051614</v>
      </c>
      <c r="Y86">
        <v>22010.852852745953</v>
      </c>
      <c r="Z86">
        <v>7616.9507360229782</v>
      </c>
      <c r="AB86">
        <v>22023.267691377725</v>
      </c>
      <c r="AC86">
        <v>7614.2326604291547</v>
      </c>
      <c r="AE86">
        <v>22021.795442394927</v>
      </c>
      <c r="AF86">
        <v>7614.5534598396698</v>
      </c>
      <c r="AH86">
        <v>22030.946440118085</v>
      </c>
      <c r="AI86">
        <v>7612.461653860666</v>
      </c>
      <c r="AK86">
        <v>20869.934468782416</v>
      </c>
      <c r="AL86">
        <v>7348.4696765815279</v>
      </c>
      <c r="AZ86">
        <v>49994.429595455615</v>
      </c>
      <c r="BA86">
        <v>0.20348277704045933</v>
      </c>
      <c r="BC86">
        <v>49984.973643031277</v>
      </c>
      <c r="BD86">
        <v>1.2000404200453036</v>
      </c>
      <c r="BF86">
        <v>49995.670633731555</v>
      </c>
      <c r="BG86">
        <v>6.9323910271722328E-2</v>
      </c>
      <c r="BI86">
        <v>49983.106905383225</v>
      </c>
      <c r="BJ86">
        <v>1.4425159538205701</v>
      </c>
      <c r="BL86">
        <v>49985.990772494704</v>
      </c>
      <c r="BM86">
        <v>1.291278805475935</v>
      </c>
      <c r="BO86">
        <v>49983.510612578844</v>
      </c>
      <c r="BP86">
        <v>1.4306777880535637</v>
      </c>
      <c r="BR86">
        <v>49983.74177529358</v>
      </c>
      <c r="BS86">
        <v>1.4217890894235179</v>
      </c>
      <c r="BU86">
        <v>49982.584855230365</v>
      </c>
      <c r="BV86">
        <v>1.447434703136993</v>
      </c>
      <c r="BX86">
        <v>49996.630269708832</v>
      </c>
      <c r="BY86">
        <v>4.82152000095852E-5</v>
      </c>
    </row>
    <row r="87" spans="13:77" x14ac:dyDescent="0.35">
      <c r="M87">
        <v>22081.306334622597</v>
      </c>
      <c r="N87">
        <v>7641.5783259184254</v>
      </c>
      <c r="P87">
        <v>22034.321426192524</v>
      </c>
      <c r="Q87">
        <v>7619.0986877632658</v>
      </c>
      <c r="S87">
        <v>22163.227805659324</v>
      </c>
      <c r="T87">
        <v>7621.3332872899718</v>
      </c>
      <c r="V87">
        <v>22027.41700443345</v>
      </c>
      <c r="W87">
        <v>7615.9603967111971</v>
      </c>
      <c r="Y87">
        <v>22013.701247010929</v>
      </c>
      <c r="Z87">
        <v>7618.0462617567882</v>
      </c>
      <c r="AB87">
        <v>22024.81657958058</v>
      </c>
      <c r="AC87">
        <v>7616.3633934298705</v>
      </c>
      <c r="AE87">
        <v>22023.498761766074</v>
      </c>
      <c r="AF87">
        <v>7616.5614758404508</v>
      </c>
      <c r="AH87">
        <v>22031.712930988891</v>
      </c>
      <c r="AI87">
        <v>7615.2333666481818</v>
      </c>
      <c r="AK87">
        <v>21109.676243808812</v>
      </c>
      <c r="AL87">
        <v>7263.6508833980015</v>
      </c>
      <c r="AZ87">
        <v>49995.036879760322</v>
      </c>
      <c r="BA87">
        <v>0.1821880831411381</v>
      </c>
      <c r="BC87">
        <v>49986.508317008993</v>
      </c>
      <c r="BD87">
        <v>1.0744204959171559</v>
      </c>
      <c r="BF87">
        <v>49996.156743553649</v>
      </c>
      <c r="BG87">
        <v>6.2069348477878955E-2</v>
      </c>
      <c r="BI87">
        <v>49984.817395220722</v>
      </c>
      <c r="BJ87">
        <v>1.2915055728216174</v>
      </c>
      <c r="BL87">
        <v>49987.394142671073</v>
      </c>
      <c r="BM87">
        <v>1.156111974641892</v>
      </c>
      <c r="BO87">
        <v>49985.1766254471</v>
      </c>
      <c r="BP87">
        <v>1.2809084276179945</v>
      </c>
      <c r="BR87">
        <v>49985.382656116257</v>
      </c>
      <c r="BS87">
        <v>1.272951224769896</v>
      </c>
      <c r="BU87">
        <v>49984.35451167779</v>
      </c>
      <c r="BV87">
        <v>1.2959071324493185</v>
      </c>
      <c r="BX87">
        <v>49997.017201790819</v>
      </c>
      <c r="BY87">
        <v>4.3169748054519309E-5</v>
      </c>
    </row>
    <row r="88" spans="13:77" x14ac:dyDescent="0.35">
      <c r="M88">
        <v>22067.383317282558</v>
      </c>
      <c r="N88">
        <v>7648.1276332710795</v>
      </c>
      <c r="P88">
        <v>22033.006548092701</v>
      </c>
      <c r="Q88">
        <v>7622.0721317651705</v>
      </c>
      <c r="S88">
        <v>22141.271007335548</v>
      </c>
      <c r="T88">
        <v>7634.7392063853513</v>
      </c>
      <c r="V88">
        <v>22027.914202557204</v>
      </c>
      <c r="W88">
        <v>7618.4084049634012</v>
      </c>
      <c r="Y88">
        <v>22015.849009081499</v>
      </c>
      <c r="Z88">
        <v>7619.3604563271101</v>
      </c>
      <c r="AB88">
        <v>22025.624914409498</v>
      </c>
      <c r="AC88">
        <v>7618.5963877065778</v>
      </c>
      <c r="AE88">
        <v>22024.466217121033</v>
      </c>
      <c r="AF88">
        <v>7618.6855684527836</v>
      </c>
      <c r="AH88">
        <v>22031.710523301404</v>
      </c>
      <c r="AI88">
        <v>7618.0372081706182</v>
      </c>
      <c r="AK88">
        <v>21332.040825716515</v>
      </c>
      <c r="AL88">
        <v>7199.0150923726733</v>
      </c>
      <c r="AZ88">
        <v>49995.577816346369</v>
      </c>
      <c r="BA88">
        <v>0.1631222351110318</v>
      </c>
      <c r="BC88">
        <v>49987.88673198258</v>
      </c>
      <c r="BD88">
        <v>0.96195541871105061</v>
      </c>
      <c r="BF88">
        <v>49996.588187744404</v>
      </c>
      <c r="BG88">
        <v>5.5574047803207488E-2</v>
      </c>
      <c r="BI88">
        <v>49986.355471041665</v>
      </c>
      <c r="BJ88">
        <v>1.1563104596021623</v>
      </c>
      <c r="BL88">
        <v>49988.657849442818</v>
      </c>
      <c r="BM88">
        <v>1.0350988768778555</v>
      </c>
      <c r="BO88">
        <v>49986.675134672965</v>
      </c>
      <c r="BP88">
        <v>1.146824010178455</v>
      </c>
      <c r="BR88">
        <v>49986.858771347688</v>
      </c>
      <c r="BS88">
        <v>1.1397005502307878</v>
      </c>
      <c r="BU88">
        <v>49985.945041794985</v>
      </c>
      <c r="BV88">
        <v>1.1602494621498571</v>
      </c>
      <c r="BX88">
        <v>49997.359703996714</v>
      </c>
      <c r="BY88">
        <v>3.8652324626021419E-5</v>
      </c>
    </row>
    <row r="89" spans="13:77" x14ac:dyDescent="0.35">
      <c r="M89">
        <v>22054.099624759598</v>
      </c>
      <c r="N89">
        <v>7653.4760321928816</v>
      </c>
      <c r="P89">
        <v>22031.200130305315</v>
      </c>
      <c r="Q89">
        <v>7624.9068904399483</v>
      </c>
      <c r="S89">
        <v>22119.585377357256</v>
      </c>
      <c r="T89">
        <v>7646.2323962806749</v>
      </c>
      <c r="V89">
        <v>22027.760439098191</v>
      </c>
      <c r="W89">
        <v>7620.8701321347753</v>
      </c>
      <c r="Y89">
        <v>22017.354153673536</v>
      </c>
      <c r="Z89">
        <v>7620.8342198255186</v>
      </c>
      <c r="AB89">
        <v>22025.784189119026</v>
      </c>
      <c r="AC89">
        <v>7620.8705836267136</v>
      </c>
      <c r="AE89">
        <v>22024.785331350562</v>
      </c>
      <c r="AF89">
        <v>7620.8649109415564</v>
      </c>
      <c r="AH89">
        <v>22031.051592026772</v>
      </c>
      <c r="AI89">
        <v>7620.8105519456794</v>
      </c>
      <c r="AK89">
        <v>21535.467020773645</v>
      </c>
      <c r="AL89">
        <v>7152.5294032015408</v>
      </c>
      <c r="AZ89">
        <v>49996.05966951244</v>
      </c>
      <c r="BA89">
        <v>0.14605187954250295</v>
      </c>
      <c r="BC89">
        <v>49989.124741259373</v>
      </c>
      <c r="BD89">
        <v>0.86126664416705179</v>
      </c>
      <c r="BF89">
        <v>49996.971122756513</v>
      </c>
      <c r="BG89">
        <v>4.9758525509764805E-2</v>
      </c>
      <c r="BI89">
        <v>49987.738418920926</v>
      </c>
      <c r="BJ89">
        <v>1.03527298373372</v>
      </c>
      <c r="BL89">
        <v>49989.795681597461</v>
      </c>
      <c r="BM89">
        <v>0.926756479509937</v>
      </c>
      <c r="BO89">
        <v>49988.022883102472</v>
      </c>
      <c r="BP89">
        <v>1.026780636701552</v>
      </c>
      <c r="BR89">
        <v>49988.186564910597</v>
      </c>
      <c r="BS89">
        <v>1.0204034523711258</v>
      </c>
      <c r="BU89">
        <v>49987.374493848016</v>
      </c>
      <c r="BV89">
        <v>1.0387982393031361</v>
      </c>
      <c r="BX89">
        <v>49997.662878041119</v>
      </c>
      <c r="BY89">
        <v>3.4607658845700709E-5</v>
      </c>
    </row>
    <row r="90" spans="13:77" x14ac:dyDescent="0.35">
      <c r="M90">
        <v>22041.638764445255</v>
      </c>
      <c r="N90">
        <v>7657.6866311605454</v>
      </c>
      <c r="P90">
        <v>22029.01147670138</v>
      </c>
      <c r="Q90">
        <v>7627.5645026515303</v>
      </c>
      <c r="S90">
        <v>22098.584963615638</v>
      </c>
      <c r="T90">
        <v>7655.8480792839564</v>
      </c>
      <c r="V90">
        <v>22027.054041602249</v>
      </c>
      <c r="W90">
        <v>7623.2926760911441</v>
      </c>
      <c r="Y90">
        <v>22018.27950337013</v>
      </c>
      <c r="Z90">
        <v>7622.4137817094752</v>
      </c>
      <c r="AB90">
        <v>22025.385980565825</v>
      </c>
      <c r="AC90">
        <v>7623.1329503378538</v>
      </c>
      <c r="AE90">
        <v>22024.544271647796</v>
      </c>
      <c r="AF90">
        <v>7623.046384706995</v>
      </c>
      <c r="AH90">
        <v>22029.845725030416</v>
      </c>
      <c r="AI90">
        <v>7623.5004921088757</v>
      </c>
      <c r="AK90">
        <v>21718.910337716865</v>
      </c>
      <c r="AL90">
        <v>7122.2396969651336</v>
      </c>
      <c r="AZ90">
        <v>49996.488906489016</v>
      </c>
      <c r="BA90">
        <v>0.13076810807426359</v>
      </c>
      <c r="BC90">
        <v>49990.236596510033</v>
      </c>
      <c r="BD90">
        <v>0.77112028164749247</v>
      </c>
      <c r="BF90">
        <v>49997.311010739875</v>
      </c>
      <c r="BG90">
        <v>4.4551623277649263E-2</v>
      </c>
      <c r="BI90">
        <v>49988.981803004564</v>
      </c>
      <c r="BJ90">
        <v>0.9269095079405919</v>
      </c>
      <c r="BL90">
        <v>49990.820079977835</v>
      </c>
      <c r="BM90">
        <v>0.82975732661439605</v>
      </c>
      <c r="BO90">
        <v>49989.234951868253</v>
      </c>
      <c r="BP90">
        <v>0.91930694539584601</v>
      </c>
      <c r="BR90">
        <v>49989.380851716051</v>
      </c>
      <c r="BS90">
        <v>0.9135977673069603</v>
      </c>
      <c r="BU90">
        <v>49988.659107555097</v>
      </c>
      <c r="BV90">
        <v>0.93006463513898918</v>
      </c>
      <c r="BX90">
        <v>49997.931239827187</v>
      </c>
      <c r="BY90">
        <v>3.0986267416998279E-5</v>
      </c>
    </row>
    <row r="91" spans="13:77" x14ac:dyDescent="0.35">
      <c r="M91">
        <v>22030.140075576259</v>
      </c>
      <c r="N91">
        <v>7660.8374155106512</v>
      </c>
      <c r="P91">
        <v>22026.541872069465</v>
      </c>
      <c r="Q91">
        <v>7630.0157631980646</v>
      </c>
      <c r="S91">
        <v>22078.609093854051</v>
      </c>
      <c r="T91">
        <v>7663.6563713037376</v>
      </c>
      <c r="V91">
        <v>22025.890439681036</v>
      </c>
      <c r="W91">
        <v>7625.6316334081621</v>
      </c>
      <c r="Y91">
        <v>22018.690696724014</v>
      </c>
      <c r="Z91">
        <v>7624.0510270006953</v>
      </c>
      <c r="AB91">
        <v>22024.52004703214</v>
      </c>
      <c r="AC91">
        <v>7625.3384133649106</v>
      </c>
      <c r="AE91">
        <v>22023.829936882623</v>
      </c>
      <c r="AF91">
        <v>7625.1845540714157</v>
      </c>
      <c r="AH91">
        <v>22028.197861870693</v>
      </c>
      <c r="AI91">
        <v>7626.0635295478314</v>
      </c>
      <c r="AK91">
        <v>21881.78820508733</v>
      </c>
      <c r="AL91">
        <v>7106.2713474460206</v>
      </c>
      <c r="AZ91">
        <v>49996.871285083173</v>
      </c>
      <c r="BA91">
        <v>0.11708389387345576</v>
      </c>
      <c r="BC91">
        <v>49991.235108766639</v>
      </c>
      <c r="BD91">
        <v>0.69041187801602277</v>
      </c>
      <c r="BF91">
        <v>49997.612697945056</v>
      </c>
      <c r="BG91">
        <v>3.9889634583821422E-2</v>
      </c>
      <c r="BI91">
        <v>49990.09963568423</v>
      </c>
      <c r="BJ91">
        <v>0.82989207565290757</v>
      </c>
      <c r="BL91">
        <v>49991.742267609028</v>
      </c>
      <c r="BM91">
        <v>0.74291318279239915</v>
      </c>
      <c r="BO91">
        <v>49990.32492387676</v>
      </c>
      <c r="BP91">
        <v>0.82308595546242591</v>
      </c>
      <c r="BR91">
        <v>49990.454977566078</v>
      </c>
      <c r="BS91">
        <v>0.81797474056115393</v>
      </c>
      <c r="BU91">
        <v>49989.813494111877</v>
      </c>
      <c r="BV91">
        <v>0.83271606210516225</v>
      </c>
      <c r="BX91">
        <v>49998.16878671333</v>
      </c>
      <c r="BY91">
        <v>2.7743848142779229E-5</v>
      </c>
    </row>
    <row r="92" spans="13:77" x14ac:dyDescent="0.35">
      <c r="M92">
        <v>22019.702237054425</v>
      </c>
      <c r="N92">
        <v>7663.0174114504143</v>
      </c>
      <c r="P92">
        <v>22023.883644536327</v>
      </c>
      <c r="Q92">
        <v>7632.2399909662199</v>
      </c>
      <c r="S92">
        <v>22059.925874705947</v>
      </c>
      <c r="T92">
        <v>7669.7558254367068</v>
      </c>
      <c r="V92">
        <v>22024.360611720331</v>
      </c>
      <c r="W92">
        <v>7627.8507857129698</v>
      </c>
      <c r="Y92">
        <v>22018.654425579196</v>
      </c>
      <c r="Z92">
        <v>7625.7036621021316</v>
      </c>
      <c r="AB92">
        <v>22023.272736745203</v>
      </c>
      <c r="AC92">
        <v>7627.4496314689395</v>
      </c>
      <c r="AE92">
        <v>22022.726345913921</v>
      </c>
      <c r="AF92">
        <v>7627.241489277083</v>
      </c>
      <c r="AH92">
        <v>22026.206795504775</v>
      </c>
      <c r="AI92">
        <v>7628.465111360274</v>
      </c>
      <c r="AK92">
        <v>22023.930485227535</v>
      </c>
      <c r="AL92">
        <v>7102.8283719535266</v>
      </c>
      <c r="AZ92">
        <v>49997.211931665697</v>
      </c>
      <c r="BA92">
        <v>0.10483179751055501</v>
      </c>
      <c r="BC92">
        <v>49992.131793336092</v>
      </c>
      <c r="BD92">
        <v>0.61815280937493211</v>
      </c>
      <c r="BF92">
        <v>49997.880484262234</v>
      </c>
      <c r="BG92">
        <v>3.5715523716123215E-2</v>
      </c>
      <c r="BI92">
        <v>49991.10453111997</v>
      </c>
      <c r="BJ92">
        <v>0.74303203545661034</v>
      </c>
      <c r="BL92">
        <v>49992.572367467663</v>
      </c>
      <c r="BM92">
        <v>0.66516040335753257</v>
      </c>
      <c r="BO92">
        <v>49991.305031387848</v>
      </c>
      <c r="BP92">
        <v>0.73693883061980392</v>
      </c>
      <c r="BR92">
        <v>49991.420963542267</v>
      </c>
      <c r="BS92">
        <v>0.73236289408494071</v>
      </c>
      <c r="BU92">
        <v>49990.850798444175</v>
      </c>
      <c r="BV92">
        <v>0.74555973611378024</v>
      </c>
      <c r="BX92">
        <v>49998.379057055907</v>
      </c>
      <c r="BY92">
        <v>2.4840737089096762E-5</v>
      </c>
    </row>
    <row r="93" spans="13:77" x14ac:dyDescent="0.35">
      <c r="M93">
        <v>22010.38714880191</v>
      </c>
      <c r="N93">
        <v>7664.3231564594062</v>
      </c>
      <c r="P93">
        <v>22021.119549801439</v>
      </c>
      <c r="Q93">
        <v>7634.2242252386422</v>
      </c>
      <c r="S93">
        <v>22042.736790873649</v>
      </c>
      <c r="T93">
        <v>7674.2672093041729</v>
      </c>
      <c r="V93">
        <v>22022.549847101513</v>
      </c>
      <c r="W93">
        <v>7629.9216637062909</v>
      </c>
      <c r="Y93">
        <v>22018.236904885922</v>
      </c>
      <c r="Z93">
        <v>7627.33523921707</v>
      </c>
      <c r="AB93">
        <v>22021.72569588144</v>
      </c>
      <c r="AC93">
        <v>7629.4366478253714</v>
      </c>
      <c r="AE93">
        <v>22021.313317357391</v>
      </c>
      <c r="AF93">
        <v>7629.1864620074011</v>
      </c>
      <c r="AH93">
        <v>22023.964016745718</v>
      </c>
      <c r="AI93">
        <v>7630.6790527539688</v>
      </c>
      <c r="AK93">
        <v>22145.533535271989</v>
      </c>
      <c r="AL93">
        <v>7110.1926165931109</v>
      </c>
      <c r="AZ93">
        <v>49997.515410566877</v>
      </c>
      <c r="BA93">
        <v>9.3861913803910138E-2</v>
      </c>
      <c r="BC93">
        <v>49992.937000223465</v>
      </c>
      <c r="BD93">
        <v>0.55345810934737483</v>
      </c>
      <c r="BF93">
        <v>49998.118184899024</v>
      </c>
      <c r="BG93">
        <v>3.1978226766655807E-2</v>
      </c>
      <c r="BI93">
        <v>49992.007843719992</v>
      </c>
      <c r="BJ93">
        <v>0.66526539573239507</v>
      </c>
      <c r="BL93">
        <v>49993.31950904111</v>
      </c>
      <c r="BM93">
        <v>0.59554684740165931</v>
      </c>
      <c r="BO93">
        <v>49992.186289212288</v>
      </c>
      <c r="BP93">
        <v>0.65981035764415186</v>
      </c>
      <c r="BR93">
        <v>49992.289636362642</v>
      </c>
      <c r="BS93">
        <v>0.6557135970978597</v>
      </c>
      <c r="BU93">
        <v>49991.782845424292</v>
      </c>
      <c r="BV93">
        <v>0.66752797621616411</v>
      </c>
      <c r="BX93">
        <v>49998.565182914819</v>
      </c>
      <c r="BY93">
        <v>2.2241422696690586E-5</v>
      </c>
    </row>
    <row r="94" spans="13:77" x14ac:dyDescent="0.35">
      <c r="M94">
        <v>22002.224041617876</v>
      </c>
      <c r="N94">
        <v>7664.8555165771659</v>
      </c>
      <c r="P94">
        <v>22018.322444226484</v>
      </c>
      <c r="Q94">
        <v>7635.9623766630939</v>
      </c>
      <c r="S94">
        <v>22027.182132380447</v>
      </c>
      <c r="T94">
        <v>7677.327644331338</v>
      </c>
      <c r="V94">
        <v>22020.536804845615</v>
      </c>
      <c r="W94">
        <v>7631.8230144388044</v>
      </c>
      <c r="Y94">
        <v>22017.502573206697</v>
      </c>
      <c r="Z94">
        <v>7628.9150585260368</v>
      </c>
      <c r="AB94">
        <v>22019.954860266505</v>
      </c>
      <c r="AC94">
        <v>7631.2764398170348</v>
      </c>
      <c r="AE94">
        <v>22019.665426694348</v>
      </c>
      <c r="AF94">
        <v>7630.9955370929765</v>
      </c>
      <c r="AH94">
        <v>22021.552876965343</v>
      </c>
      <c r="AI94">
        <v>7632.6868691695117</v>
      </c>
      <c r="AK94">
        <v>22247.116475326002</v>
      </c>
      <c r="AL94">
        <v>7126.7239525075402</v>
      </c>
      <c r="AZ94">
        <v>49997.785785829401</v>
      </c>
      <c r="BA94">
        <v>8.4040034232561317E-2</v>
      </c>
      <c r="BC94">
        <v>49993.660031503503</v>
      </c>
      <c r="BD94">
        <v>0.49553558111769525</v>
      </c>
      <c r="BF94">
        <v>49998.329185086899</v>
      </c>
      <c r="BG94">
        <v>2.8632025972923431E-2</v>
      </c>
      <c r="BI94">
        <v>49992.819793033152</v>
      </c>
      <c r="BJ94">
        <v>0.59563972518963704</v>
      </c>
      <c r="BL94">
        <v>49993.991924721071</v>
      </c>
      <c r="BM94">
        <v>0.5332201699658019</v>
      </c>
      <c r="BO94">
        <v>49992.978614909429</v>
      </c>
      <c r="BP94">
        <v>0.5907559573441552</v>
      </c>
      <c r="BR94">
        <v>49993.070746050544</v>
      </c>
      <c r="BS94">
        <v>0.58708815941063497</v>
      </c>
      <c r="BU94">
        <v>49992.620271619831</v>
      </c>
      <c r="BV94">
        <v>0.59766505650418977</v>
      </c>
      <c r="BX94">
        <v>49998.729936707103</v>
      </c>
      <c r="BY94">
        <v>1.9914110850733397E-5</v>
      </c>
    </row>
    <row r="95" spans="13:77" x14ac:dyDescent="0.35">
      <c r="M95">
        <v>21995.213686994241</v>
      </c>
      <c r="N95">
        <v>7664.7168758073312</v>
      </c>
      <c r="P95">
        <v>22015.555212265823</v>
      </c>
      <c r="Q95">
        <v>7637.454356871699</v>
      </c>
      <c r="S95">
        <v>22013.346995198328</v>
      </c>
      <c r="T95">
        <v>7679.0852070769852</v>
      </c>
      <c r="V95">
        <v>22018.392846069208</v>
      </c>
      <c r="W95">
        <v>7633.5401960525514</v>
      </c>
      <c r="Y95">
        <v>22016.513017713369</v>
      </c>
      <c r="Z95">
        <v>7630.4179671010243</v>
      </c>
      <c r="AB95">
        <v>22018.029711304142</v>
      </c>
      <c r="AC95">
        <v>7632.9523906040449</v>
      </c>
      <c r="AE95">
        <v>22017.851222845624</v>
      </c>
      <c r="AF95">
        <v>7632.6510830469124</v>
      </c>
      <c r="AH95">
        <v>22019.048041249964</v>
      </c>
      <c r="AI95">
        <v>7634.4770446661942</v>
      </c>
      <c r="AK95">
        <v>22329.478704892706</v>
      </c>
      <c r="AL95">
        <v>7150.861979481755</v>
      </c>
      <c r="AZ95">
        <v>49998.02667616184</v>
      </c>
      <c r="BA95">
        <v>7.5246002211913243E-2</v>
      </c>
      <c r="BC95">
        <v>49994.309246936973</v>
      </c>
      <c r="BD95">
        <v>0.44367605691360312</v>
      </c>
      <c r="BF95">
        <v>49998.516488605062</v>
      </c>
      <c r="BG95">
        <v>2.5635989689362881E-2</v>
      </c>
      <c r="BI95">
        <v>49993.549576371464</v>
      </c>
      <c r="BJ95">
        <v>0.5333024349176797</v>
      </c>
      <c r="BL95">
        <v>49994.597036981642</v>
      </c>
      <c r="BM95">
        <v>0.47741734712903672</v>
      </c>
      <c r="BO95">
        <v>49993.690937236817</v>
      </c>
      <c r="BP95">
        <v>0.52893006510143781</v>
      </c>
      <c r="BR95">
        <v>49993.773072133001</v>
      </c>
      <c r="BS95">
        <v>0.52564628546215253</v>
      </c>
      <c r="BU95">
        <v>49993.372643992385</v>
      </c>
      <c r="BV95">
        <v>0.53511544507866826</v>
      </c>
      <c r="BX95">
        <v>49998.875772503452</v>
      </c>
      <c r="BY95">
        <v>1.7830335552436108E-5</v>
      </c>
    </row>
    <row r="96" spans="13:77" x14ac:dyDescent="0.35">
      <c r="M96">
        <v>21989.332595871161</v>
      </c>
      <c r="N96">
        <v>7664.0087090959232</v>
      </c>
      <c r="P96">
        <v>22012.870913138177</v>
      </c>
      <c r="Q96">
        <v>7638.7052079955101</v>
      </c>
      <c r="S96">
        <v>22001.267623788968</v>
      </c>
      <c r="T96">
        <v>7679.6940645794348</v>
      </c>
      <c r="V96">
        <v>22016.181615050384</v>
      </c>
      <c r="W96">
        <v>7635.0645225078842</v>
      </c>
      <c r="Y96">
        <v>22015.326113766267</v>
      </c>
      <c r="Z96">
        <v>7631.824073039661</v>
      </c>
      <c r="AB96">
        <v>22016.012773867787</v>
      </c>
      <c r="AC96">
        <v>7634.4537041759804</v>
      </c>
      <c r="AE96">
        <v>22015.932683427854</v>
      </c>
      <c r="AF96">
        <v>7634.1412227345127</v>
      </c>
      <c r="AH96">
        <v>22016.515201946549</v>
      </c>
      <c r="AI96">
        <v>7636.0442605327489</v>
      </c>
      <c r="AK96">
        <v>22393.658063968909</v>
      </c>
      <c r="AL96">
        <v>7181.1293596606083</v>
      </c>
      <c r="AZ96">
        <v>49998.241303842973</v>
      </c>
      <c r="BA96">
        <v>6.737224093295506E-2</v>
      </c>
      <c r="BC96">
        <v>49994.892159001036</v>
      </c>
      <c r="BD96">
        <v>0.39724468326658369</v>
      </c>
      <c r="BF96">
        <v>49998.682760821364</v>
      </c>
      <c r="BG96">
        <v>2.2953471088158803E-2</v>
      </c>
      <c r="BI96">
        <v>49994.205470354151</v>
      </c>
      <c r="BJ96">
        <v>0.47749029528637643</v>
      </c>
      <c r="BL96">
        <v>49995.141537205629</v>
      </c>
      <c r="BM96">
        <v>0.42745530348800453</v>
      </c>
      <c r="BO96">
        <v>49994.331293985248</v>
      </c>
      <c r="BP96">
        <v>0.47357573563893784</v>
      </c>
      <c r="BR96">
        <v>49994.404519471536</v>
      </c>
      <c r="BS96">
        <v>0.47063574470618147</v>
      </c>
      <c r="BU96">
        <v>49994.048566826568</v>
      </c>
      <c r="BV96">
        <v>0.47911328274114884</v>
      </c>
      <c r="BX96">
        <v>49999.004862582799</v>
      </c>
      <c r="BY96">
        <v>1.5964610401649393E-5</v>
      </c>
    </row>
    <row r="97" spans="13:77" x14ac:dyDescent="0.35">
      <c r="M97">
        <v>21984.537113076316</v>
      </c>
      <c r="N97">
        <v>7662.8295383788973</v>
      </c>
      <c r="P97">
        <v>22010.313111915159</v>
      </c>
      <c r="Q97">
        <v>7639.7242504430887</v>
      </c>
      <c r="S97">
        <v>21990.937891180478</v>
      </c>
      <c r="T97">
        <v>7679.3101889715153</v>
      </c>
      <c r="V97">
        <v>22013.958841991513</v>
      </c>
      <c r="W97">
        <v>7636.3925788616925</v>
      </c>
      <c r="Y97">
        <v>22013.995366141888</v>
      </c>
      <c r="Z97">
        <v>7633.1183925182095</v>
      </c>
      <c r="AB97">
        <v>22013.959331928545</v>
      </c>
      <c r="AC97">
        <v>7635.774783867746</v>
      </c>
      <c r="AE97">
        <v>22013.964885821701</v>
      </c>
      <c r="AF97">
        <v>7635.4592438742184</v>
      </c>
      <c r="AH97">
        <v>22014.011021219139</v>
      </c>
      <c r="AI97">
        <v>7637.3886057436102</v>
      </c>
      <c r="AK97">
        <v>22440.889362611331</v>
      </c>
      <c r="AL97">
        <v>7216.1366174121331</v>
      </c>
      <c r="AZ97">
        <v>49998.432538244218</v>
      </c>
      <c r="BA97">
        <v>6.0322435613909486E-2</v>
      </c>
      <c r="BC97">
        <v>49995.415518387461</v>
      </c>
      <c r="BD97">
        <v>0.35567312343031965</v>
      </c>
      <c r="BF97">
        <v>49998.830366870476</v>
      </c>
      <c r="BG97">
        <v>2.0551659417308545E-2</v>
      </c>
      <c r="BI97">
        <v>49994.794922450899</v>
      </c>
      <c r="BJ97">
        <v>0.42752005678526001</v>
      </c>
      <c r="BL97">
        <v>49995.631456944211</v>
      </c>
      <c r="BM97">
        <v>0.38272252545079749</v>
      </c>
      <c r="BO97">
        <v>49994.906920225192</v>
      </c>
      <c r="BP97">
        <v>0.42401534228173021</v>
      </c>
      <c r="BR97">
        <v>49994.972204724269</v>
      </c>
      <c r="BS97">
        <v>0.42138312947431661</v>
      </c>
      <c r="BU97">
        <v>49994.655778045621</v>
      </c>
      <c r="BV97">
        <v>0.42897296991321932</v>
      </c>
      <c r="BX97">
        <v>49999.11912978944</v>
      </c>
      <c r="BY97">
        <v>1.4294116604901325E-5</v>
      </c>
    </row>
    <row r="98" spans="13:77" x14ac:dyDescent="0.35">
      <c r="M98">
        <v>21980.767331551448</v>
      </c>
      <c r="N98">
        <v>7661.2732612045993</v>
      </c>
      <c r="P98">
        <v>22007.916361219402</v>
      </c>
      <c r="Q98">
        <v>7640.5242643885649</v>
      </c>
      <c r="S98">
        <v>21982.315741312061</v>
      </c>
      <c r="T98">
        <v>7678.0876724309828</v>
      </c>
      <c r="V98">
        <v>22011.772339665207</v>
      </c>
      <c r="W98">
        <v>7637.5255255111824</v>
      </c>
      <c r="Y98">
        <v>22012.569436617785</v>
      </c>
      <c r="Z98">
        <v>7634.2904464309431</v>
      </c>
      <c r="AB98">
        <v>22011.917336514194</v>
      </c>
      <c r="AC98">
        <v>7636.9145923905635</v>
      </c>
      <c r="AE98">
        <v>22011.995869860431</v>
      </c>
      <c r="AF98">
        <v>7636.6029872474182</v>
      </c>
      <c r="AH98">
        <v>22011.583270783307</v>
      </c>
      <c r="AI98">
        <v>7638.5147883567888</v>
      </c>
      <c r="AK98">
        <v>22472.563295168307</v>
      </c>
      <c r="AL98">
        <v>7254.5880305468945</v>
      </c>
      <c r="AZ98">
        <v>49998.602934563693</v>
      </c>
      <c r="BA98">
        <v>5.4010353931700519E-2</v>
      </c>
      <c r="BC98">
        <v>49995.885390918556</v>
      </c>
      <c r="BD98">
        <v>0.3184525799542971</v>
      </c>
      <c r="BF98">
        <v>49998.961405519447</v>
      </c>
      <c r="BG98">
        <v>1.8401178295244909E-2</v>
      </c>
      <c r="BI98">
        <v>49995.324633498632</v>
      </c>
      <c r="BJ98">
        <v>0.38278005791960201</v>
      </c>
      <c r="BL98">
        <v>49996.072232323117</v>
      </c>
      <c r="BM98">
        <v>0.34267155620386069</v>
      </c>
      <c r="BO98">
        <v>49995.424327893088</v>
      </c>
      <c r="BP98">
        <v>0.37964225486783898</v>
      </c>
      <c r="BR98">
        <v>49995.482534343537</v>
      </c>
      <c r="BS98">
        <v>0.37728558523692529</v>
      </c>
      <c r="BU98">
        <v>49995.201235957698</v>
      </c>
      <c r="BV98">
        <v>0.38408074439300177</v>
      </c>
      <c r="BX98">
        <v>49999.220276174747</v>
      </c>
      <c r="BY98">
        <v>1.2798423674908243E-5</v>
      </c>
    </row>
    <row r="99" spans="13:77" x14ac:dyDescent="0.35">
      <c r="M99">
        <v>21977.950766928981</v>
      </c>
      <c r="N99">
        <v>7659.4278334511628</v>
      </c>
      <c r="P99">
        <v>22005.706801358068</v>
      </c>
      <c r="Q99">
        <v>7641.1207175243244</v>
      </c>
      <c r="S99">
        <v>21975.329447959553</v>
      </c>
      <c r="T99">
        <v>7676.1756425888407</v>
      </c>
      <c r="V99">
        <v>22009.662165959544</v>
      </c>
      <c r="W99">
        <v>7638.4684075386913</v>
      </c>
      <c r="Y99">
        <v>22011.091840900674</v>
      </c>
      <c r="Z99">
        <v>7635.3338220479664</v>
      </c>
      <c r="AB99">
        <v>22009.927480125109</v>
      </c>
      <c r="AC99">
        <v>7637.8760093572482</v>
      </c>
      <c r="AE99">
        <v>22010.066667326995</v>
      </c>
      <c r="AF99">
        <v>7637.5742285256165</v>
      </c>
      <c r="AH99">
        <v>22009.271137300329</v>
      </c>
      <c r="AI99">
        <v>7639.4313643212727</v>
      </c>
      <c r="AK99">
        <v>22490.186003230865</v>
      </c>
      <c r="AL99">
        <v>7295.2880972269986</v>
      </c>
      <c r="AZ99">
        <v>49998.754768299812</v>
      </c>
      <c r="BA99">
        <v>4.8358790114482207E-2</v>
      </c>
      <c r="BC99">
        <v>49996.307226736797</v>
      </c>
      <c r="BD99">
        <v>0.28512755076233454</v>
      </c>
      <c r="BF99">
        <v>49999.077739208304</v>
      </c>
      <c r="BG99">
        <v>1.6475726103377684E-2</v>
      </c>
      <c r="BI99">
        <v>49995.800632072547</v>
      </c>
      <c r="BJ99">
        <v>0.34272271577828117</v>
      </c>
      <c r="BL99">
        <v>49996.468762242948</v>
      </c>
      <c r="BM99">
        <v>0.30681227929866633</v>
      </c>
      <c r="BO99">
        <v>49995.889377557403</v>
      </c>
      <c r="BP99">
        <v>0.33991339284421845</v>
      </c>
      <c r="BR99">
        <v>49995.941274927543</v>
      </c>
      <c r="BS99">
        <v>0.33780341047551971</v>
      </c>
      <c r="BU99">
        <v>49995.691197375323</v>
      </c>
      <c r="BV99">
        <v>0.34388714512071511</v>
      </c>
      <c r="BX99">
        <v>49999.309808349986</v>
      </c>
      <c r="BY99">
        <v>1.145923939128086E-5</v>
      </c>
    </row>
    <row r="100" spans="13:77" x14ac:dyDescent="0.35">
      <c r="M100">
        <v>21976.005748225183</v>
      </c>
      <c r="N100">
        <v>7657.3742816038712</v>
      </c>
      <c r="P100">
        <v>22003.70284884073</v>
      </c>
      <c r="Q100">
        <v>7641.5310488460118</v>
      </c>
      <c r="S100">
        <v>21969.883573361662</v>
      </c>
      <c r="T100">
        <v>7673.7157611855446</v>
      </c>
      <c r="V100">
        <v>22007.660924806303</v>
      </c>
      <c r="W100">
        <v>7639.2294829545035</v>
      </c>
      <c r="Y100">
        <v>22009.600796754374</v>
      </c>
      <c r="Z100">
        <v>7636.245713729616</v>
      </c>
      <c r="AB100">
        <v>22008.023411892984</v>
      </c>
      <c r="AC100">
        <v>7638.6652001292905</v>
      </c>
      <c r="AE100">
        <v>22008.211473451705</v>
      </c>
      <c r="AF100">
        <v>7638.3780675650687</v>
      </c>
      <c r="AH100">
        <v>22007.105662883412</v>
      </c>
      <c r="AI100">
        <v>7640.1499975059633</v>
      </c>
      <c r="AK100">
        <v>22495.339744848177</v>
      </c>
      <c r="AL100">
        <v>7337.1479880723336</v>
      </c>
      <c r="AZ100">
        <v>49998.89006593408</v>
      </c>
      <c r="BA100">
        <v>4.3298619707878294E-2</v>
      </c>
      <c r="BC100">
        <v>49996.685922539407</v>
      </c>
      <c r="BD100">
        <v>0.25529024131547468</v>
      </c>
      <c r="BF100">
        <v>49999.181020698328</v>
      </c>
      <c r="BG100">
        <v>1.4751754058160234E-2</v>
      </c>
      <c r="BI100">
        <v>49996.228341507413</v>
      </c>
      <c r="BJ100">
        <v>0.30685780602561713</v>
      </c>
      <c r="BL100">
        <v>49996.825460961598</v>
      </c>
      <c r="BM100">
        <v>0.27470590769596687</v>
      </c>
      <c r="BO100">
        <v>49996.307343124303</v>
      </c>
      <c r="BP100">
        <v>0.30434256111582869</v>
      </c>
      <c r="BR100">
        <v>49996.353616666616</v>
      </c>
      <c r="BS100">
        <v>0.30245343433693006</v>
      </c>
      <c r="BU100">
        <v>49996.131287958793</v>
      </c>
      <c r="BV100">
        <v>0.30790026831853906</v>
      </c>
      <c r="BX100">
        <v>49999.389059928028</v>
      </c>
      <c r="BY100">
        <v>1.0260185953069944E-5</v>
      </c>
    </row>
    <row r="101" spans="13:77" x14ac:dyDescent="0.35">
      <c r="M101">
        <v>21974.844494134068</v>
      </c>
      <c r="N101">
        <v>7655.1860157845294</v>
      </c>
      <c r="P101">
        <v>22001.915945721819</v>
      </c>
      <c r="Q101">
        <v>7641.7740156110594</v>
      </c>
      <c r="S101">
        <v>21965.864536767716</v>
      </c>
      <c r="T101">
        <v>7670.8402751225558</v>
      </c>
      <c r="V101">
        <v>22005.794178984892</v>
      </c>
      <c r="W101">
        <v>7639.8195812994372</v>
      </c>
      <c r="Y101">
        <v>22008.129204596204</v>
      </c>
      <c r="Z101">
        <v>7637.0264552297722</v>
      </c>
      <c r="AB101">
        <v>22006.232068469282</v>
      </c>
      <c r="AC101">
        <v>7639.291007641843</v>
      </c>
      <c r="AE101">
        <v>22006.457936147839</v>
      </c>
      <c r="AF101">
        <v>7639.0223369292135</v>
      </c>
      <c r="AH101">
        <v>22005.110291682773</v>
      </c>
      <c r="AI101">
        <v>7640.6847621478773</v>
      </c>
      <c r="AK101">
        <v>22489.645258740933</v>
      </c>
      <c r="AL101">
        <v>7379.1913799411504</v>
      </c>
      <c r="AZ101">
        <v>49999.010632240759</v>
      </c>
      <c r="BA101">
        <v>3.8767953396267742E-2</v>
      </c>
      <c r="BC101">
        <v>49997.025877552856</v>
      </c>
      <c r="BD101">
        <v>0.22857556367075113</v>
      </c>
      <c r="BF101">
        <v>49999.27271671145</v>
      </c>
      <c r="BG101">
        <v>1.3208178009378723E-2</v>
      </c>
      <c r="BI101">
        <v>49996.612640288273</v>
      </c>
      <c r="BJ101">
        <v>0.27474644899944567</v>
      </c>
      <c r="BL101">
        <v>49997.146305592207</v>
      </c>
      <c r="BM101">
        <v>0.24595960393175936</v>
      </c>
      <c r="BO101">
        <v>49996.682970169873</v>
      </c>
      <c r="BP101">
        <v>0.27249448605395143</v>
      </c>
      <c r="BR101">
        <v>49996.7242305541</v>
      </c>
      <c r="BS101">
        <v>0.27080309001098279</v>
      </c>
      <c r="BU101">
        <v>49996.526565551176</v>
      </c>
      <c r="BV101">
        <v>0.2756797323483775</v>
      </c>
      <c r="BX101">
        <v>49999.459211388101</v>
      </c>
      <c r="BY101">
        <v>9.1865995765390505E-6</v>
      </c>
    </row>
    <row r="102" spans="13:77" x14ac:dyDescent="0.35">
      <c r="M102">
        <v>21974.375856514405</v>
      </c>
      <c r="N102">
        <v>7652.9284120364382</v>
      </c>
      <c r="P102">
        <v>22000.351344952433</v>
      </c>
      <c r="Q102">
        <v>7641.8691081921525</v>
      </c>
      <c r="S102">
        <v>21963.145727882769</v>
      </c>
      <c r="T102">
        <v>7667.6705789573189</v>
      </c>
      <c r="V102">
        <v>22004.080949745832</v>
      </c>
      <c r="W102">
        <v>7640.2515017933929</v>
      </c>
      <c r="Y102">
        <v>22006.704741725509</v>
      </c>
      <c r="Z102">
        <v>7637.6790545480635</v>
      </c>
      <c r="AB102">
        <v>22004.574096781515</v>
      </c>
      <c r="AC102">
        <v>7639.764376725595</v>
      </c>
      <c r="AE102">
        <v>22004.827539722013</v>
      </c>
      <c r="AF102">
        <v>7639.5170393311337</v>
      </c>
      <c r="AH102">
        <v>22003.301495461776</v>
      </c>
      <c r="AI102">
        <v>7641.0514964048889</v>
      </c>
      <c r="AK102">
        <v>22474.72647689165</v>
      </c>
      <c r="AL102">
        <v>7420.5591103655997</v>
      </c>
      <c r="AZ102">
        <v>49999.118074595077</v>
      </c>
      <c r="BA102">
        <v>3.4711379483944441E-2</v>
      </c>
      <c r="BC102">
        <v>49997.331043873193</v>
      </c>
      <c r="BD102">
        <v>0.20465666059239901</v>
      </c>
      <c r="BF102">
        <v>49999.354128901039</v>
      </c>
      <c r="BG102">
        <v>1.1826120427217705E-2</v>
      </c>
      <c r="BI102">
        <v>49996.957916460357</v>
      </c>
      <c r="BJ102">
        <v>0.24599572745513212</v>
      </c>
      <c r="BL102">
        <v>49997.434879000626</v>
      </c>
      <c r="BM102">
        <v>0.22022166494783244</v>
      </c>
      <c r="BO102">
        <v>49997.02052852005</v>
      </c>
      <c r="BP102">
        <v>0.24397947784635238</v>
      </c>
      <c r="BR102">
        <v>49997.057319967782</v>
      </c>
      <c r="BS102">
        <v>0.24246511049072586</v>
      </c>
      <c r="BU102">
        <v>49996.88157719771</v>
      </c>
      <c r="BV102">
        <v>0.24683127653013892</v>
      </c>
      <c r="BX102">
        <v>49999.521307659561</v>
      </c>
      <c r="BY102">
        <v>8.2253510801963275E-6</v>
      </c>
    </row>
    <row r="103" spans="13:77" x14ac:dyDescent="0.35">
      <c r="M103">
        <v>21974.507723122657</v>
      </c>
      <c r="N103">
        <v>7650.6586310412595</v>
      </c>
      <c r="P103">
        <v>21999.008909820241</v>
      </c>
      <c r="Q103">
        <v>7641.836035366945</v>
      </c>
      <c r="S103">
        <v>21961.592122210801</v>
      </c>
      <c r="T103">
        <v>7664.3162410274581</v>
      </c>
      <c r="V103">
        <v>22002.534279994143</v>
      </c>
      <c r="W103">
        <v>7640.5394580481052</v>
      </c>
      <c r="Y103">
        <v>22005.350051663379</v>
      </c>
      <c r="Z103">
        <v>7638.2087406949404</v>
      </c>
      <c r="AB103">
        <v>22003.06434630691</v>
      </c>
      <c r="AC103">
        <v>7640.0978183887555</v>
      </c>
      <c r="AE103">
        <v>22003.3360611635</v>
      </c>
      <c r="AF103">
        <v>7639.8738216883867</v>
      </c>
      <c r="AH103">
        <v>22001.689453343995</v>
      </c>
      <c r="AI103">
        <v>7641.2672133375809</v>
      </c>
      <c r="AK103">
        <v>22452.178237587024</v>
      </c>
      <c r="AL103">
        <v>7460.5121806097068</v>
      </c>
      <c r="AZ103">
        <v>49999.213824610495</v>
      </c>
      <c r="BA103">
        <v>3.1079285734875235E-2</v>
      </c>
      <c r="BC103">
        <v>49997.604971736087</v>
      </c>
      <c r="BD103">
        <v>0.18324089942794858</v>
      </c>
      <c r="BF103">
        <v>49999.426412455592</v>
      </c>
      <c r="BG103">
        <v>1.0588679412545906E-2</v>
      </c>
      <c r="BI103">
        <v>49997.268116644991</v>
      </c>
      <c r="BJ103">
        <v>0.22025386939872313</v>
      </c>
      <c r="BL103">
        <v>49997.694408541203</v>
      </c>
      <c r="BM103">
        <v>0.19717721216469805</v>
      </c>
      <c r="BO103">
        <v>49997.32385963964</v>
      </c>
      <c r="BP103">
        <v>0.21844865320396065</v>
      </c>
      <c r="BR103">
        <v>49997.356667169872</v>
      </c>
      <c r="BS103">
        <v>0.21709278115399414</v>
      </c>
      <c r="BU103">
        <v>49997.200410474492</v>
      </c>
      <c r="BV103">
        <v>0.22100192710263253</v>
      </c>
      <c r="BX103">
        <v>49999.576273686609</v>
      </c>
      <c r="BY103">
        <v>7.3646852572995415E-6</v>
      </c>
    </row>
    <row r="104" spans="13:77" x14ac:dyDescent="0.35">
      <c r="M104">
        <v>21975.149080486179</v>
      </c>
      <c r="N104">
        <v>7648.4256402470673</v>
      </c>
      <c r="P104">
        <v>21997.883908507236</v>
      </c>
      <c r="Q104">
        <v>7641.6942806658408</v>
      </c>
      <c r="S104">
        <v>21961.064374418849</v>
      </c>
      <c r="T104">
        <v>7660.874441359947</v>
      </c>
      <c r="V104">
        <v>22001.161839822416</v>
      </c>
      <c r="W104">
        <v>7640.6985743409623</v>
      </c>
      <c r="Y104">
        <v>22004.083010752965</v>
      </c>
      <c r="Z104">
        <v>7638.6225301528884</v>
      </c>
      <c r="AB104">
        <v>22001.712410297365</v>
      </c>
      <c r="AC104">
        <v>7640.3049195870399</v>
      </c>
      <c r="AE104">
        <v>22001.994078767148</v>
      </c>
      <c r="AF104">
        <v>7640.1054915900077</v>
      </c>
      <c r="AH104">
        <v>22000.278763399376</v>
      </c>
      <c r="AI104">
        <v>7641.3495734745293</v>
      </c>
      <c r="AK104">
        <v>22423.537589489453</v>
      </c>
      <c r="AL104">
        <v>7498.4327590127541</v>
      </c>
      <c r="AZ104">
        <v>49999.299157399189</v>
      </c>
      <c r="BA104">
        <v>2.7827252247959084E-2</v>
      </c>
      <c r="BC104">
        <v>49997.850850224393</v>
      </c>
      <c r="BD104">
        <v>0.16406628631493336</v>
      </c>
      <c r="BF104">
        <v>49999.490592602946</v>
      </c>
      <c r="BG104">
        <v>9.4807218974834497E-3</v>
      </c>
      <c r="BI104">
        <v>49997.546790191431</v>
      </c>
      <c r="BJ104">
        <v>0.1972059365071005</v>
      </c>
      <c r="BL104">
        <v>49997.92780102876</v>
      </c>
      <c r="BM104">
        <v>0.17654433365786709</v>
      </c>
      <c r="BO104">
        <v>49997.596419337853</v>
      </c>
      <c r="BP104">
        <v>0.19558965943028189</v>
      </c>
      <c r="BR104">
        <v>49997.62567522077</v>
      </c>
      <c r="BS104">
        <v>0.19437569055030277</v>
      </c>
      <c r="BU104">
        <v>49997.486739690117</v>
      </c>
      <c r="BV104">
        <v>0.19787567059505079</v>
      </c>
      <c r="BX104">
        <v>49999.624928205711</v>
      </c>
      <c r="BY104">
        <v>6.5940770670095995E-6</v>
      </c>
    </row>
    <row r="105" spans="13:77" x14ac:dyDescent="0.35">
      <c r="M105">
        <v>21976.211745109758</v>
      </c>
      <c r="N105">
        <v>7646.2704070961208</v>
      </c>
      <c r="P105">
        <v>21996.96778772401</v>
      </c>
      <c r="Q105">
        <v>7641.4627287508501</v>
      </c>
      <c r="S105">
        <v>21961.422382055604</v>
      </c>
      <c r="T105">
        <v>7657.4297678712055</v>
      </c>
      <c r="V105">
        <v>21999.966555400111</v>
      </c>
      <c r="W105">
        <v>7640.744436601477</v>
      </c>
      <c r="Y105">
        <v>22002.917055130296</v>
      </c>
      <c r="Z105">
        <v>7638.9288192858312</v>
      </c>
      <c r="AB105">
        <v>22000.523197365532</v>
      </c>
      <c r="AC105">
        <v>7640.3999022251828</v>
      </c>
      <c r="AE105">
        <v>22000.807514698728</v>
      </c>
      <c r="AF105">
        <v>7640.2255802213849</v>
      </c>
      <c r="AH105">
        <v>21999.069166354322</v>
      </c>
      <c r="AI105">
        <v>7641.3164211634385</v>
      </c>
      <c r="AK105">
        <v>22390.259166043379</v>
      </c>
      <c r="AL105">
        <v>7533.8229809663853</v>
      </c>
      <c r="AZ105">
        <v>49999.375208717363</v>
      </c>
      <c r="BA105">
        <v>2.491550791951502E-2</v>
      </c>
      <c r="BC105">
        <v>49998.071543870559</v>
      </c>
      <c r="BD105">
        <v>0.14689825651141894</v>
      </c>
      <c r="BF105">
        <v>49999.547579252197</v>
      </c>
      <c r="BG105">
        <v>8.4886985008401396E-3</v>
      </c>
      <c r="BI105">
        <v>49997.797128943108</v>
      </c>
      <c r="BJ105">
        <v>0.17656996493189417</v>
      </c>
      <c r="BL105">
        <v>49998.137674307247</v>
      </c>
      <c r="BM105">
        <v>0.15807063091149037</v>
      </c>
      <c r="BO105">
        <v>49997.841316248632</v>
      </c>
      <c r="BP105">
        <v>0.17512284710280918</v>
      </c>
      <c r="BR105">
        <v>49997.867405754419</v>
      </c>
      <c r="BS105">
        <v>0.17403592697900139</v>
      </c>
      <c r="BU105">
        <v>49997.743867468729</v>
      </c>
      <c r="BV105">
        <v>0.1771695812030438</v>
      </c>
      <c r="BX105">
        <v>49999.667995941054</v>
      </c>
      <c r="BY105">
        <v>5.9041028819989937E-6</v>
      </c>
    </row>
    <row r="106" spans="13:77" x14ac:dyDescent="0.35">
      <c r="M106">
        <v>21977.611777073125</v>
      </c>
      <c r="N106">
        <v>7644.2262324486846</v>
      </c>
      <c r="P106">
        <v>21996.248912220406</v>
      </c>
      <c r="Q106">
        <v>7641.1593594208289</v>
      </c>
      <c r="S106">
        <v>21962.528325370055</v>
      </c>
      <c r="T106">
        <v>7654.0543176354504</v>
      </c>
      <c r="V106">
        <v>21998.947244532868</v>
      </c>
      <c r="W106">
        <v>7640.6926996131024</v>
      </c>
      <c r="Y106">
        <v>22001.861552362974</v>
      </c>
      <c r="Z106">
        <v>7639.1370074958159</v>
      </c>
      <c r="AB106">
        <v>21999.497516934764</v>
      </c>
      <c r="AC106">
        <v>7640.3972335223552</v>
      </c>
      <c r="AE106">
        <v>21999.778195096354</v>
      </c>
      <c r="AF106">
        <v>7640.2479542001311</v>
      </c>
      <c r="AH106">
        <v>21998.0562643741</v>
      </c>
      <c r="AI106">
        <v>7641.1853851941951</v>
      </c>
      <c r="AK106">
        <v>22353.694962369416</v>
      </c>
      <c r="AL106">
        <v>7566.3014931465996</v>
      </c>
      <c r="AZ106">
        <v>49999.442990228177</v>
      </c>
      <c r="BA106">
        <v>2.2308443827215432E-2</v>
      </c>
      <c r="BC106">
        <v>49998.269625565634</v>
      </c>
      <c r="BD106">
        <v>0.13152680131330957</v>
      </c>
      <c r="BF106">
        <v>49999.598179983761</v>
      </c>
      <c r="BG106">
        <v>7.6004777691837406E-3</v>
      </c>
      <c r="BI106">
        <v>49998.022003050173</v>
      </c>
      <c r="BJ106">
        <v>0.15809351090953253</v>
      </c>
      <c r="BL106">
        <v>49998.326385741784</v>
      </c>
      <c r="BM106">
        <v>0.14153012763891165</v>
      </c>
      <c r="BO106">
        <v>49998.06134649997</v>
      </c>
      <c r="BP106">
        <v>0.15679784419185153</v>
      </c>
      <c r="BR106">
        <v>49998.084613019731</v>
      </c>
      <c r="BS106">
        <v>0.15582467398429051</v>
      </c>
      <c r="BU106">
        <v>49997.974762172817</v>
      </c>
      <c r="BV106">
        <v>0.15863035441268097</v>
      </c>
      <c r="BX106">
        <v>49999.706118399612</v>
      </c>
      <c r="BY106">
        <v>5.2863252152024699E-6</v>
      </c>
    </row>
    <row r="107" spans="13:77" x14ac:dyDescent="0.35">
      <c r="M107">
        <v>21979.270594635705</v>
      </c>
      <c r="N107">
        <v>7642.3191952202824</v>
      </c>
      <c r="P107">
        <v>21995.713259672946</v>
      </c>
      <c r="Q107">
        <v>7640.8010057243</v>
      </c>
      <c r="S107">
        <v>21964.249199783033</v>
      </c>
      <c r="T107">
        <v>7650.8080517550834</v>
      </c>
      <c r="V107">
        <v>21998.099244535726</v>
      </c>
      <c r="W107">
        <v>7640.5587504925325</v>
      </c>
      <c r="Y107">
        <v>22000.922203408558</v>
      </c>
      <c r="Z107">
        <v>7639.2571545743876</v>
      </c>
      <c r="AB107">
        <v>21998.632664199624</v>
      </c>
      <c r="AC107">
        <v>7640.3112884499997</v>
      </c>
      <c r="AE107">
        <v>21998.904413351476</v>
      </c>
      <c r="AF107">
        <v>7640.1864773603438</v>
      </c>
      <c r="AH107">
        <v>21997.232220506434</v>
      </c>
      <c r="AI107">
        <v>7640.9735427070882</v>
      </c>
      <c r="AK107">
        <v>22315.07867949086</v>
      </c>
      <c r="AL107">
        <v>7595.5978338442683</v>
      </c>
      <c r="AZ107">
        <v>49999.503403089388</v>
      </c>
      <c r="BA107">
        <v>1.9974177569657726E-2</v>
      </c>
      <c r="BC107">
        <v>49998.44740614562</v>
      </c>
      <c r="BD107">
        <v>0.11776389619387673</v>
      </c>
      <c r="BF107">
        <v>49999.643111574122</v>
      </c>
      <c r="BG107">
        <v>6.8051977724356812E-3</v>
      </c>
      <c r="BI107">
        <v>49998.223993218227</v>
      </c>
      <c r="BJ107">
        <v>0.14155055862536636</v>
      </c>
      <c r="BL107">
        <v>49998.49605792993</v>
      </c>
      <c r="BM107">
        <v>0.1267205026421605</v>
      </c>
      <c r="BO107">
        <v>49998.259024946128</v>
      </c>
      <c r="BP107">
        <v>0.14039048942389559</v>
      </c>
      <c r="BR107">
        <v>49998.27977455371</v>
      </c>
      <c r="BS107">
        <v>0.13951916284197952</v>
      </c>
      <c r="BU107">
        <v>49998.182091579169</v>
      </c>
      <c r="BV107">
        <v>0.1420312041618397</v>
      </c>
      <c r="BX107">
        <v>49999.739863426679</v>
      </c>
      <c r="BY107">
        <v>4.7331895138305287E-6</v>
      </c>
    </row>
    <row r="108" spans="13:77" x14ac:dyDescent="0.35">
      <c r="M108">
        <v>21981.11581185471</v>
      </c>
      <c r="N108">
        <v>7640.568681524328</v>
      </c>
      <c r="P108">
        <v>21995.345062968947</v>
      </c>
      <c r="Q108">
        <v>7640.4031717968601</v>
      </c>
      <c r="S108">
        <v>21966.458866009471</v>
      </c>
      <c r="T108">
        <v>7647.7393552141029</v>
      </c>
      <c r="V108">
        <v>21997.415020359625</v>
      </c>
      <c r="W108">
        <v>7640.3574272804899</v>
      </c>
      <c r="Y108">
        <v>22000.101462010949</v>
      </c>
      <c r="Z108">
        <v>7639.2996744630282</v>
      </c>
      <c r="AB108">
        <v>21997.922992381333</v>
      </c>
      <c r="AC108">
        <v>7640.1560637210459</v>
      </c>
      <c r="AE108">
        <v>21998.181484270975</v>
      </c>
      <c r="AF108">
        <v>7640.0547222920259</v>
      </c>
      <c r="AH108">
        <v>21996.586426934591</v>
      </c>
      <c r="AI108">
        <v>7640.697144169726</v>
      </c>
      <c r="AK108">
        <v>22275.514629047841</v>
      </c>
      <c r="AL108">
        <v>7621.5448668796707</v>
      </c>
      <c r="AZ108">
        <v>49999.557250050035</v>
      </c>
      <c r="BA108">
        <v>1.7884163221994216E-2</v>
      </c>
      <c r="BC108">
        <v>49998.606960988938</v>
      </c>
      <c r="BD108">
        <v>0.10544119852989697</v>
      </c>
      <c r="BF108">
        <v>49999.683010220848</v>
      </c>
      <c r="BG108">
        <v>6.0931332359691458E-3</v>
      </c>
      <c r="BI108">
        <v>49998.405419744959</v>
      </c>
      <c r="BJ108">
        <v>0.12673875227030482</v>
      </c>
      <c r="BL108">
        <v>49998.648601900073</v>
      </c>
      <c r="BM108">
        <v>0.11346061268921508</v>
      </c>
      <c r="BO108">
        <v>49998.436613300502</v>
      </c>
      <c r="BP108">
        <v>0.12570008714818567</v>
      </c>
      <c r="BR108">
        <v>49998.455118816331</v>
      </c>
      <c r="BS108">
        <v>0.12491994453561285</v>
      </c>
      <c r="BU108">
        <v>49998.368253180553</v>
      </c>
      <c r="BV108">
        <v>0.12716908533718499</v>
      </c>
      <c r="BX108">
        <v>49999.769733664143</v>
      </c>
      <c r="BY108">
        <v>4.2379317568082872E-6</v>
      </c>
    </row>
    <row r="109" spans="13:77" x14ac:dyDescent="0.35">
      <c r="M109">
        <v>21983.081823582597</v>
      </c>
      <c r="N109">
        <v>7638.9879741061714</v>
      </c>
      <c r="P109">
        <v>21995.127394216608</v>
      </c>
      <c r="Q109">
        <v>7639.9799054072864</v>
      </c>
      <c r="S109">
        <v>21969.039649178198</v>
      </c>
      <c r="T109">
        <v>7644.8857566921788</v>
      </c>
      <c r="V109">
        <v>21996.884743124054</v>
      </c>
      <c r="W109">
        <v>7640.1027904600105</v>
      </c>
      <c r="Y109">
        <v>21999.398960181803</v>
      </c>
      <c r="Z109">
        <v>7639.2750665343792</v>
      </c>
      <c r="AB109">
        <v>21997.360462145898</v>
      </c>
      <c r="AC109">
        <v>7639.9449417746409</v>
      </c>
      <c r="AE109">
        <v>21997.602278839742</v>
      </c>
      <c r="AF109">
        <v>7639.8657303988703</v>
      </c>
      <c r="AH109">
        <v>21996.106132619796</v>
      </c>
      <c r="AI109">
        <v>7640.3713962124466</v>
      </c>
      <c r="AK109">
        <v>22235.97102977668</v>
      </c>
      <c r="AL109">
        <v>7644.0695852269519</v>
      </c>
      <c r="AZ109">
        <v>49999.605246220031</v>
      </c>
      <c r="BA109">
        <v>1.6012842128337354E-2</v>
      </c>
      <c r="BC109">
        <v>49998.750153925444</v>
      </c>
      <c r="BD109">
        <v>9.44079866119584E-2</v>
      </c>
      <c r="BF109">
        <v>49999.718440614568</v>
      </c>
      <c r="BG109">
        <v>5.455576581852993E-3</v>
      </c>
      <c r="BI109">
        <v>49998.568368662178</v>
      </c>
      <c r="BJ109">
        <v>0.11347691824162504</v>
      </c>
      <c r="BL109">
        <v>49998.7857380395</v>
      </c>
      <c r="BM109">
        <v>0.10158827497004638</v>
      </c>
      <c r="BO109">
        <v>49998.596145474032</v>
      </c>
      <c r="BP109">
        <v>0.1125469499438454</v>
      </c>
      <c r="BR109">
        <v>49998.612650085473</v>
      </c>
      <c r="BS109">
        <v>0.1118484476725819</v>
      </c>
      <c r="BU109">
        <v>49998.535401449008</v>
      </c>
      <c r="BV109">
        <v>0.11386220743403548</v>
      </c>
      <c r="BX109">
        <v>49999.796174037554</v>
      </c>
      <c r="BY109">
        <v>3.794495724289382E-6</v>
      </c>
    </row>
    <row r="110" spans="13:77" x14ac:dyDescent="0.35">
      <c r="M110">
        <v>21985.110163675297</v>
      </c>
      <c r="N110">
        <v>7637.5848804592861</v>
      </c>
      <c r="P110">
        <v>21995.042686890414</v>
      </c>
      <c r="Q110">
        <v>7639.5437197733008</v>
      </c>
      <c r="S110">
        <v>21971.883522818582</v>
      </c>
      <c r="T110">
        <v>7642.2747673785962</v>
      </c>
      <c r="V110">
        <v>21996.496831302196</v>
      </c>
      <c r="W110">
        <v>7639.8079444026225</v>
      </c>
      <c r="Y110">
        <v>21998.811929961186</v>
      </c>
      <c r="Z110">
        <v>7639.1936845405262</v>
      </c>
      <c r="AB110">
        <v>21996.935160042776</v>
      </c>
      <c r="AC110">
        <v>7639.6905023556519</v>
      </c>
      <c r="AE110">
        <v>21997.157731240946</v>
      </c>
      <c r="AF110">
        <v>7639.6318183777012</v>
      </c>
      <c r="AH110">
        <v>21995.777023180843</v>
      </c>
      <c r="AI110">
        <v>7640.0102983416491</v>
      </c>
      <c r="AK110">
        <v>22197.277386329784</v>
      </c>
      <c r="AL110">
        <v>7663.1826673223122</v>
      </c>
      <c r="AZ110">
        <v>49999.648028658652</v>
      </c>
      <c r="BA110">
        <v>1.4337330253005197E-2</v>
      </c>
      <c r="BC110">
        <v>49998.878658727437</v>
      </c>
      <c r="BD110">
        <v>8.4529314616399578E-2</v>
      </c>
      <c r="BF110">
        <v>49999.749903988173</v>
      </c>
      <c r="BG110">
        <v>4.8847314225123626E-3</v>
      </c>
      <c r="BI110">
        <v>49998.714715269576</v>
      </c>
      <c r="BJ110">
        <v>0.10160284702694546</v>
      </c>
      <c r="BL110">
        <v>49998.909014971621</v>
      </c>
      <c r="BM110">
        <v>9.0958281895484328E-2</v>
      </c>
      <c r="BO110">
        <v>49998.739450394358</v>
      </c>
      <c r="BP110">
        <v>0.10077019876144121</v>
      </c>
      <c r="BR110">
        <v>49998.754170881111</v>
      </c>
      <c r="BS110">
        <v>0.10014479232458477</v>
      </c>
      <c r="BU110">
        <v>49998.685472363439</v>
      </c>
      <c r="BV110">
        <v>0.10194780880772922</v>
      </c>
      <c r="BX110">
        <v>49999.819578383467</v>
      </c>
      <c r="BY110">
        <v>3.3974589264679484E-6</v>
      </c>
    </row>
    <row r="111" spans="13:77" x14ac:dyDescent="0.35">
      <c r="M111">
        <v>21987.14966294137</v>
      </c>
      <c r="N111">
        <v>7636.3623806431997</v>
      </c>
      <c r="P111">
        <v>21995.073194361546</v>
      </c>
      <c r="Q111">
        <v>7639.1055589708285</v>
      </c>
      <c r="S111">
        <v>21974.892916539888</v>
      </c>
      <c r="T111">
        <v>7639.9248021230851</v>
      </c>
      <c r="V111">
        <v>21996.238448749857</v>
      </c>
      <c r="W111">
        <v>7639.4849051176598</v>
      </c>
      <c r="Y111">
        <v>21998.335613180003</v>
      </c>
      <c r="Z111">
        <v>7639.0655425484983</v>
      </c>
      <c r="AB111">
        <v>21996.635779688062</v>
      </c>
      <c r="AC111">
        <v>7639.4043786241282</v>
      </c>
      <c r="AE111">
        <v>21996.83731161795</v>
      </c>
      <c r="AF111">
        <v>7639.364428338884</v>
      </c>
      <c r="AH111">
        <v>21995.583747937402</v>
      </c>
      <c r="AI111">
        <v>7639.6265289868825</v>
      </c>
      <c r="AK111">
        <v>22160.125529287965</v>
      </c>
      <c r="AL111">
        <v>7678.967202930331</v>
      </c>
      <c r="AZ111">
        <v>49999.686164911676</v>
      </c>
      <c r="BA111">
        <v>1.2837138261304434E-2</v>
      </c>
      <c r="BC111">
        <v>49998.993978425977</v>
      </c>
      <c r="BD111">
        <v>7.5684360880828444E-2</v>
      </c>
      <c r="BF111">
        <v>49999.777845258679</v>
      </c>
      <c r="BG111">
        <v>4.3736172027789236E-3</v>
      </c>
      <c r="BI111">
        <v>49998.846145318486</v>
      </c>
      <c r="BJ111">
        <v>9.0971307517509273E-2</v>
      </c>
      <c r="BL111">
        <v>49999.019826580989</v>
      </c>
      <c r="BM111">
        <v>8.1440623867329018E-2</v>
      </c>
      <c r="BO111">
        <v>49998.868172554197</v>
      </c>
      <c r="BP111">
        <v>9.0225793572686674E-2</v>
      </c>
      <c r="BR111">
        <v>49998.881302161877</v>
      </c>
      <c r="BS111">
        <v>8.9665832936252896E-2</v>
      </c>
      <c r="BU111">
        <v>49998.820205474338</v>
      </c>
      <c r="BV111">
        <v>9.1280164164585467E-2</v>
      </c>
      <c r="BX111">
        <v>49999.840295315793</v>
      </c>
      <c r="BY111">
        <v>3.0419662850376776E-6</v>
      </c>
    </row>
    <row r="112" spans="13:77" x14ac:dyDescent="0.35">
      <c r="M112">
        <v>21989.156433413289</v>
      </c>
      <c r="N112">
        <v>7635.3192784093171</v>
      </c>
      <c r="P112">
        <v>21995.201384660963</v>
      </c>
      <c r="Q112">
        <v>7638.6748011850877</v>
      </c>
      <c r="S112">
        <v>21977.98118786257</v>
      </c>
      <c r="T112">
        <v>7637.8461506174963</v>
      </c>
      <c r="V112">
        <v>21996.095955545239</v>
      </c>
      <c r="W112">
        <v>7639.1445102302168</v>
      </c>
      <c r="Y112">
        <v>21997.963652424874</v>
      </c>
      <c r="Z112">
        <v>7638.9001564946739</v>
      </c>
      <c r="AB112">
        <v>21996.450061135987</v>
      </c>
      <c r="AC112">
        <v>7639.0971542341558</v>
      </c>
      <c r="AE112">
        <v>21996.629459753294</v>
      </c>
      <c r="AF112">
        <v>7639.0740182678146</v>
      </c>
      <c r="AH112">
        <v>21995.510390915719</v>
      </c>
      <c r="AI112">
        <v>7639.2313759612889</v>
      </c>
      <c r="AK112">
        <v>22125.073816523774</v>
      </c>
      <c r="AL112">
        <v>7691.567008437346</v>
      </c>
      <c r="AZ112">
        <v>49999.720160612756</v>
      </c>
      <c r="BA112">
        <v>1.1493920902032896E-2</v>
      </c>
      <c r="BC112">
        <v>49999.097462671649</v>
      </c>
      <c r="BD112">
        <v>6.7764949207942612E-2</v>
      </c>
      <c r="BF112">
        <v>49999.802659364126</v>
      </c>
      <c r="BG112">
        <v>3.9159838229707407E-3</v>
      </c>
      <c r="BI112">
        <v>49998.964174078639</v>
      </c>
      <c r="BJ112">
        <v>8.1452269364627725E-2</v>
      </c>
      <c r="BL112">
        <v>49999.119427365753</v>
      </c>
      <c r="BM112">
        <v>7.2918898209981362E-2</v>
      </c>
      <c r="BO112">
        <v>49998.983790513063</v>
      </c>
      <c r="BP112">
        <v>8.0784770345330964E-2</v>
      </c>
      <c r="BR112">
        <v>49998.995501513404</v>
      </c>
      <c r="BS112">
        <v>8.0283406270977659E-2</v>
      </c>
      <c r="BU112">
        <v>49998.941163751362</v>
      </c>
      <c r="BV112">
        <v>8.1728800819138664E-2</v>
      </c>
      <c r="BX112">
        <v>49999.858633418538</v>
      </c>
      <c r="BY112">
        <v>2.7236707556364336E-6</v>
      </c>
    </row>
    <row r="113" spans="13:77" x14ac:dyDescent="0.35">
      <c r="M113">
        <v>21991.093705034116</v>
      </c>
      <c r="N113">
        <v>7634.4508417353318</v>
      </c>
      <c r="P113">
        <v>21995.410272681165</v>
      </c>
      <c r="Q113">
        <v>7638.2592941136827</v>
      </c>
      <c r="S113">
        <v>21981.072799190551</v>
      </c>
      <c r="T113">
        <v>7636.0419705864551</v>
      </c>
      <c r="V113">
        <v>21996.055309200321</v>
      </c>
      <c r="W113">
        <v>7638.7963668218181</v>
      </c>
      <c r="Y113">
        <v>21997.688457809054</v>
      </c>
      <c r="Z113">
        <v>7638.7064194340437</v>
      </c>
      <c r="AB113">
        <v>21996.365185440285</v>
      </c>
      <c r="AC113">
        <v>7638.7782974794363</v>
      </c>
      <c r="AE113">
        <v>21996.521976380278</v>
      </c>
      <c r="AF113">
        <v>7638.7699891596585</v>
      </c>
      <c r="AH113">
        <v>21995.540884272068</v>
      </c>
      <c r="AI113">
        <v>7638.8347062051462</v>
      </c>
      <c r="AK113">
        <v>22092.553950988349</v>
      </c>
      <c r="AL113">
        <v>7701.1749280117556</v>
      </c>
      <c r="AZ113">
        <v>49999.750466251717</v>
      </c>
      <c r="BA113">
        <v>1.0291252623195512E-2</v>
      </c>
      <c r="BC113">
        <v>49999.190323336741</v>
      </c>
      <c r="BD113">
        <v>6.0674225053483168E-2</v>
      </c>
      <c r="BF113">
        <v>49999.824696886441</v>
      </c>
      <c r="BG113">
        <v>3.5062351979633336E-3</v>
      </c>
      <c r="BI113">
        <v>49999.070163497978</v>
      </c>
      <c r="BJ113">
        <v>7.292931155765417E-2</v>
      </c>
      <c r="BL113">
        <v>49999.208946280065</v>
      </c>
      <c r="BM113">
        <v>6.528888474538358E-2</v>
      </c>
      <c r="BO113">
        <v>49999.087633554576</v>
      </c>
      <c r="BP113">
        <v>7.2331662703097432E-2</v>
      </c>
      <c r="BR113">
        <v>49999.098079526571</v>
      </c>
      <c r="BS113">
        <v>7.1882762889626056E-2</v>
      </c>
      <c r="BU113">
        <v>49999.049751435297</v>
      </c>
      <c r="BV113">
        <v>7.3176901818452988E-2</v>
      </c>
      <c r="BX113">
        <v>49999.874865842285</v>
      </c>
      <c r="BY113">
        <v>2.4386801646397573E-6</v>
      </c>
    </row>
    <row r="114" spans="13:77" x14ac:dyDescent="0.35">
      <c r="M114">
        <v>21992.931539924255</v>
      </c>
      <c r="N114">
        <v>7633.7494212355396</v>
      </c>
      <c r="P114">
        <v>21995.683692150003</v>
      </c>
      <c r="Q114">
        <v>7637.865417007396</v>
      </c>
      <c r="S114">
        <v>21984.10324053622</v>
      </c>
      <c r="T114">
        <v>7634.5092790825775</v>
      </c>
      <c r="V114">
        <v>21996.102415209312</v>
      </c>
      <c r="W114">
        <v>7638.4488326164446</v>
      </c>
      <c r="Y114">
        <v>21997.501545461109</v>
      </c>
      <c r="Z114">
        <v>7638.4925081297815</v>
      </c>
      <c r="AB114">
        <v>21996.36812279377</v>
      </c>
      <c r="AC114">
        <v>7638.4561283981666</v>
      </c>
      <c r="AE114">
        <v>21996.502370220507</v>
      </c>
      <c r="AF114">
        <v>7638.4606449275843</v>
      </c>
      <c r="AH114">
        <v>21995.659364027691</v>
      </c>
      <c r="AI114">
        <v>7638.4449696169622</v>
      </c>
      <c r="AK114">
        <v>22062.879856238229</v>
      </c>
      <c r="AL114">
        <v>7708.0214732349459</v>
      </c>
      <c r="AZ114">
        <v>49999.777483201397</v>
      </c>
      <c r="BA114">
        <v>9.2144266740127358E-3</v>
      </c>
      <c r="BC114">
        <v>49999.273648536247</v>
      </c>
      <c r="BD114">
        <v>5.4325470360393847E-2</v>
      </c>
      <c r="BF114">
        <v>49999.844269040761</v>
      </c>
      <c r="BG114">
        <v>3.1393608166999979E-3</v>
      </c>
      <c r="BI114">
        <v>49999.165337644881</v>
      </c>
      <c r="BJ114">
        <v>6.5298197695529928E-2</v>
      </c>
      <c r="BL114">
        <v>49999.289399213369</v>
      </c>
      <c r="BM114">
        <v>5.8457270542970036E-2</v>
      </c>
      <c r="BO114">
        <v>49999.180896681886</v>
      </c>
      <c r="BP114">
        <v>6.4763088904868538E-2</v>
      </c>
      <c r="BR114">
        <v>49999.190214544273</v>
      </c>
      <c r="BS114">
        <v>6.4361162917741258E-2</v>
      </c>
      <c r="BU114">
        <v>49999.147230093848</v>
      </c>
      <c r="BV114">
        <v>6.5519876336502553E-2</v>
      </c>
      <c r="BX114">
        <v>49999.889234372873</v>
      </c>
      <c r="BY114">
        <v>2.1835096097747674E-6</v>
      </c>
    </row>
    <row r="115" spans="13:77" x14ac:dyDescent="0.35">
      <c r="M115">
        <v>21994.646448112133</v>
      </c>
      <c r="N115">
        <v>7633.2050371283012</v>
      </c>
      <c r="P115">
        <v>21996.006510617655</v>
      </c>
      <c r="Q115">
        <v>7637.4981641014392</v>
      </c>
      <c r="S115">
        <v>21987.018737496797</v>
      </c>
      <c r="T115">
        <v>7633.2399218694127</v>
      </c>
      <c r="V115">
        <v>21996.223427114346</v>
      </c>
      <c r="W115">
        <v>7638.1090259644279</v>
      </c>
      <c r="Y115">
        <v>21997.393844842438</v>
      </c>
      <c r="Z115">
        <v>7638.2658183138492</v>
      </c>
      <c r="AB115">
        <v>21996.445933846378</v>
      </c>
      <c r="AC115">
        <v>7638.1378146454445</v>
      </c>
      <c r="AE115">
        <v>21996.55816005174</v>
      </c>
      <c r="AF115">
        <v>7638.1531810727956</v>
      </c>
      <c r="AH115">
        <v>21995.850469231933</v>
      </c>
      <c r="AI115">
        <v>7638.0692318342717</v>
      </c>
      <c r="AK115">
        <v>22036.258064265723</v>
      </c>
      <c r="AL115">
        <v>7712.3640962073478</v>
      </c>
      <c r="AZ115">
        <v>49999.80156908436</v>
      </c>
      <c r="BA115">
        <v>8.2502752341326625E-3</v>
      </c>
      <c r="BC115">
        <v>49999.348415227236</v>
      </c>
      <c r="BD115">
        <v>4.8641042506522708E-2</v>
      </c>
      <c r="BF115">
        <v>49999.861652102736</v>
      </c>
      <c r="BG115">
        <v>2.8108744645912067E-3</v>
      </c>
      <c r="BI115">
        <v>49999.250796603643</v>
      </c>
      <c r="BJ115">
        <v>5.846560047559355E-2</v>
      </c>
      <c r="BL115">
        <v>49999.361700239358</v>
      </c>
      <c r="BM115">
        <v>5.2340508210267693E-2</v>
      </c>
      <c r="BO115">
        <v>49999.264654115716</v>
      </c>
      <c r="BP115">
        <v>5.7986486811717239E-2</v>
      </c>
      <c r="BR115">
        <v>49999.272965938027</v>
      </c>
      <c r="BS115">
        <v>5.7626618878357086E-2</v>
      </c>
      <c r="BU115">
        <v>49999.234733060926</v>
      </c>
      <c r="BV115">
        <v>5.8664079800787187E-2</v>
      </c>
      <c r="BX115">
        <v>49999.901953032873</v>
      </c>
      <c r="BY115">
        <v>1.9550388421546267E-6</v>
      </c>
    </row>
    <row r="116" spans="13:77" x14ac:dyDescent="0.35">
      <c r="M116">
        <v>21996.220927058581</v>
      </c>
      <c r="N116">
        <v>7632.8059274869875</v>
      </c>
      <c r="P116">
        <v>21996.364791401396</v>
      </c>
      <c r="Q116">
        <v>7637.1612445278834</v>
      </c>
      <c r="S116">
        <v>21989.775782281842</v>
      </c>
      <c r="T116">
        <v>7632.2215044936211</v>
      </c>
      <c r="V116">
        <v>21996.40499729638</v>
      </c>
      <c r="W116">
        <v>7637.7828601492956</v>
      </c>
      <c r="Y116">
        <v>21997.35597308568</v>
      </c>
      <c r="Z116">
        <v>7638.0329257397852</v>
      </c>
      <c r="AB116">
        <v>21996.586024839915</v>
      </c>
      <c r="AC116">
        <v>7637.8293919604248</v>
      </c>
      <c r="AE116">
        <v>21996.67713215372</v>
      </c>
      <c r="AF116">
        <v>7637.85369809638</v>
      </c>
      <c r="AH116">
        <v>21996.099586684992</v>
      </c>
      <c r="AI116">
        <v>7637.7132309859498</v>
      </c>
      <c r="AK116">
        <v>22012.799104918224</v>
      </c>
      <c r="AL116">
        <v>7714.4773262586586</v>
      </c>
      <c r="AZ116">
        <v>49999.82304255195</v>
      </c>
      <c r="BA116">
        <v>7.387008368590138E-3</v>
      </c>
      <c r="BC116">
        <v>49999.415500530049</v>
      </c>
      <c r="BD116">
        <v>4.3551424358821082E-2</v>
      </c>
      <c r="BF116">
        <v>49999.877091337199</v>
      </c>
      <c r="BG116">
        <v>2.5167593589775893E-3</v>
      </c>
      <c r="BI116">
        <v>49999.327528977032</v>
      </c>
      <c r="BJ116">
        <v>5.2347959758691595E-2</v>
      </c>
      <c r="BL116">
        <v>49999.426671754743</v>
      </c>
      <c r="BM116">
        <v>4.6863793730636996E-2</v>
      </c>
      <c r="BO116">
        <v>49999.339871443502</v>
      </c>
      <c r="BP116">
        <v>5.191898133034685E-2</v>
      </c>
      <c r="BR116">
        <v>49999.347286059841</v>
      </c>
      <c r="BS116">
        <v>5.1596770176025784E-2</v>
      </c>
      <c r="BU116">
        <v>49999.31327842133</v>
      </c>
      <c r="BV116">
        <v>5.2525668055384542E-2</v>
      </c>
      <c r="BX116">
        <v>49999.913211269559</v>
      </c>
      <c r="BY116">
        <v>1.7504741083211484E-6</v>
      </c>
    </row>
    <row r="117" spans="13:77" x14ac:dyDescent="0.35">
      <c r="M117">
        <v>21997.642945547595</v>
      </c>
      <c r="N117">
        <v>7632.5390523675724</v>
      </c>
      <c r="P117">
        <v>21996.745906948319</v>
      </c>
      <c r="Q117">
        <v>7636.8571941901882</v>
      </c>
      <c r="S117">
        <v>21992.340523435982</v>
      </c>
      <c r="T117">
        <v>7631.4382719755977</v>
      </c>
      <c r="V117">
        <v>21996.634480547127</v>
      </c>
      <c r="W117">
        <v>7637.4750977000876</v>
      </c>
      <c r="Y117">
        <v>21997.378475503479</v>
      </c>
      <c r="Z117">
        <v>7637.7995700327392</v>
      </c>
      <c r="AB117">
        <v>21996.776358066294</v>
      </c>
      <c r="AC117">
        <v>7637.5358051610274</v>
      </c>
      <c r="AE117">
        <v>21996.847554359152</v>
      </c>
      <c r="AF117">
        <v>7637.5672357121693</v>
      </c>
      <c r="AH117">
        <v>21996.393044168912</v>
      </c>
      <c r="AI117">
        <v>7637.3814536796572</v>
      </c>
      <c r="AK117">
        <v>21992.529436428962</v>
      </c>
      <c r="AL117">
        <v>7714.6439339792969</v>
      </c>
      <c r="AZ117">
        <v>49999.842187540176</v>
      </c>
      <c r="BA117">
        <v>6.6140698376649255E-3</v>
      </c>
      <c r="BC117">
        <v>49999.475691900567</v>
      </c>
      <c r="BD117">
        <v>3.8994373791999867E-2</v>
      </c>
      <c r="BF117">
        <v>49999.890804484428</v>
      </c>
      <c r="BG117">
        <v>2.2534190263585204E-3</v>
      </c>
      <c r="BI117">
        <v>49999.396423134727</v>
      </c>
      <c r="BJ117">
        <v>4.6870460211624276E-2</v>
      </c>
      <c r="BL117">
        <v>49999.485053616263</v>
      </c>
      <c r="BM117">
        <v>4.1960151322844259E-2</v>
      </c>
      <c r="BO117">
        <v>49999.407416553528</v>
      </c>
      <c r="BP117">
        <v>4.6486370449765363E-2</v>
      </c>
      <c r="BR117">
        <v>49999.414031000546</v>
      </c>
      <c r="BS117">
        <v>4.6197875435661478E-2</v>
      </c>
      <c r="BU117">
        <v>49999.383780686505</v>
      </c>
      <c r="BV117">
        <v>4.7029571512567488E-2</v>
      </c>
      <c r="BX117">
        <v>49999.923176776778</v>
      </c>
      <c r="BY117">
        <v>1.567313985479099E-6</v>
      </c>
    </row>
    <row r="118" spans="13:77" x14ac:dyDescent="0.35">
      <c r="M118">
        <v>21998.905390618285</v>
      </c>
      <c r="N118">
        <v>7632.3905500901665</v>
      </c>
      <c r="P118">
        <v>21997.138608422152</v>
      </c>
      <c r="Q118">
        <v>7636.587495506531</v>
      </c>
      <c r="S118">
        <v>21994.688047400468</v>
      </c>
      <c r="T118">
        <v>7630.8719270761303</v>
      </c>
      <c r="V118">
        <v>21996.900093155335</v>
      </c>
      <c r="W118">
        <v>7637.1894206170464</v>
      </c>
      <c r="Y118">
        <v>21997.452032249199</v>
      </c>
      <c r="Z118">
        <v>7637.5706583073961</v>
      </c>
      <c r="AB118">
        <v>21997.005619862841</v>
      </c>
      <c r="AC118">
        <v>7637.260965775261</v>
      </c>
      <c r="AE118">
        <v>21997.058348658771</v>
      </c>
      <c r="AF118">
        <v>7637.2978240710763</v>
      </c>
      <c r="AH118">
        <v>21996.718255768159</v>
      </c>
      <c r="AI118">
        <v>7637.0772257936123</v>
      </c>
      <c r="AK118">
        <v>21975.403516569455</v>
      </c>
      <c r="AL118">
        <v>7713.1472229666779</v>
      </c>
      <c r="AZ118">
        <v>49999.859257059841</v>
      </c>
      <c r="BA118">
        <v>5.9220079972173226E-3</v>
      </c>
      <c r="BC118">
        <v>49999.529696269521</v>
      </c>
      <c r="BD118">
        <v>3.4914162250993856E-2</v>
      </c>
      <c r="BF118">
        <v>49999.902984853907</v>
      </c>
      <c r="BG118">
        <v>2.0176333203848389E-3</v>
      </c>
      <c r="BI118">
        <v>49999.458277332582</v>
      </c>
      <c r="BJ118">
        <v>4.1966115997088375E-2</v>
      </c>
      <c r="BL118">
        <v>49999.537511373972</v>
      </c>
      <c r="BM118">
        <v>3.7569614110956086E-2</v>
      </c>
      <c r="BO118">
        <v>49999.468069474591</v>
      </c>
      <c r="BP118">
        <v>4.1622217444891592E-2</v>
      </c>
      <c r="BR118">
        <v>49999.473970272964</v>
      </c>
      <c r="BS118">
        <v>4.1363910347506548E-2</v>
      </c>
      <c r="BU118">
        <v>49999.447061292667</v>
      </c>
      <c r="BV118">
        <v>4.2108576719517614E-2</v>
      </c>
      <c r="BX118">
        <v>49999.931997992797</v>
      </c>
      <c r="BY118">
        <v>1.4033187919811776E-6</v>
      </c>
    </row>
    <row r="119" spans="13:77" x14ac:dyDescent="0.35">
      <c r="M119">
        <v>22000.005494229299</v>
      </c>
      <c r="N119">
        <v>7632.3461434526225</v>
      </c>
      <c r="P119">
        <v>21997.533056515247</v>
      </c>
      <c r="Q119">
        <v>7636.3527013752964</v>
      </c>
      <c r="S119">
        <v>21996.801582308355</v>
      </c>
      <c r="T119">
        <v>7630.5023798259244</v>
      </c>
      <c r="V119">
        <v>21997.191030760005</v>
      </c>
      <c r="W119">
        <v>7636.9285126963523</v>
      </c>
      <c r="Y119">
        <v>21997.567631819402</v>
      </c>
      <c r="Z119">
        <v>7637.3502855597735</v>
      </c>
      <c r="AB119">
        <v>21997.263348912908</v>
      </c>
      <c r="AC119">
        <v>7637.0078226501855</v>
      </c>
      <c r="AE119">
        <v>21997.299224882598</v>
      </c>
      <c r="AF119">
        <v>7637.0485484160372</v>
      </c>
      <c r="AH119">
        <v>21997.063823324665</v>
      </c>
      <c r="AI119">
        <v>7636.8028139945045</v>
      </c>
      <c r="AK119">
        <v>21961.315678541821</v>
      </c>
      <c r="AL119">
        <v>7710.2644927978554</v>
      </c>
      <c r="AZ119">
        <v>49999.874476571997</v>
      </c>
      <c r="BA119">
        <v>5.3023602098646637E-3</v>
      </c>
      <c r="BC119">
        <v>49999.578148253458</v>
      </c>
      <c r="BD119">
        <v>3.1260893029542214E-2</v>
      </c>
      <c r="BF119">
        <v>49999.913804069824</v>
      </c>
      <c r="BG119">
        <v>1.8065190425438603E-3</v>
      </c>
      <c r="BI119">
        <v>49999.513808815449</v>
      </c>
      <c r="BJ119">
        <v>3.7574951295837399E-2</v>
      </c>
      <c r="BL119">
        <v>49999.584643689348</v>
      </c>
      <c r="BM119">
        <v>3.3638490568751914E-2</v>
      </c>
      <c r="BO119">
        <v>49999.522531230163</v>
      </c>
      <c r="BP119">
        <v>3.7267038124401228E-2</v>
      </c>
      <c r="BR119">
        <v>49999.527795526556</v>
      </c>
      <c r="BS119">
        <v>3.7035759964949067E-2</v>
      </c>
      <c r="BU119">
        <v>49999.503858039432</v>
      </c>
      <c r="BV119">
        <v>3.7702504085912164E-2</v>
      </c>
      <c r="BX119">
        <v>49999.939806311362</v>
      </c>
      <c r="BY119">
        <v>1.2564831988777097E-6</v>
      </c>
    </row>
    <row r="120" spans="13:77" x14ac:dyDescent="0.35">
      <c r="M120">
        <v>22000.944254326074</v>
      </c>
      <c r="N120">
        <v>7632.3914949741593</v>
      </c>
      <c r="P120">
        <v>21997.92081854969</v>
      </c>
      <c r="Q120">
        <v>7636.1525601710346</v>
      </c>
      <c r="S120">
        <v>21998.671651494831</v>
      </c>
      <c r="T120">
        <v>7630.3084234407606</v>
      </c>
      <c r="V120">
        <v>21997.497548597039</v>
      </c>
      <c r="W120">
        <v>7636.6941504555125</v>
      </c>
      <c r="Y120">
        <v>21997.71671267604</v>
      </c>
      <c r="Z120">
        <v>7637.1417689324207</v>
      </c>
      <c r="AB120">
        <v>21997.540028034473</v>
      </c>
      <c r="AC120">
        <v>7636.7784421535207</v>
      </c>
      <c r="AE120">
        <v>21997.560778414474</v>
      </c>
      <c r="AF120">
        <v>7636.821623839337</v>
      </c>
      <c r="AH120">
        <v>21997.419598382487</v>
      </c>
      <c r="AI120">
        <v>7636.559534288037</v>
      </c>
      <c r="AK120">
        <v>21950.111540723203</v>
      </c>
      <c r="AL120">
        <v>7706.2616683956285</v>
      </c>
      <c r="AZ120">
        <v>49999.888046994129</v>
      </c>
      <c r="BA120">
        <v>4.7475493527786928E-3</v>
      </c>
      <c r="BC120">
        <v>49999.621617531186</v>
      </c>
      <c r="BD120">
        <v>2.7989890915280057E-2</v>
      </c>
      <c r="BF120">
        <v>49999.923414507575</v>
      </c>
      <c r="BG120">
        <v>1.6174946838007939E-3</v>
      </c>
      <c r="BI120">
        <v>49999.563662004955</v>
      </c>
      <c r="BJ120">
        <v>3.3643266622104095E-2</v>
      </c>
      <c r="BL120">
        <v>49999.62698901823</v>
      </c>
      <c r="BM120">
        <v>3.0118707755032718E-2</v>
      </c>
      <c r="BO120">
        <v>49999.57143180503</v>
      </c>
      <c r="BP120">
        <v>3.3367573166667226E-2</v>
      </c>
      <c r="BR120">
        <v>49999.576128389788</v>
      </c>
      <c r="BS120">
        <v>3.3160495561146981E-2</v>
      </c>
      <c r="BU120">
        <v>49999.554833575319</v>
      </c>
      <c r="BV120">
        <v>3.3757471698659849E-2</v>
      </c>
      <c r="BX120">
        <v>49999.946718038846</v>
      </c>
      <c r="BY120">
        <v>1.1250117075168866E-6</v>
      </c>
    </row>
    <row r="121" spans="13:77" x14ac:dyDescent="0.35">
      <c r="M121">
        <v>22001.725862965039</v>
      </c>
      <c r="N121">
        <v>7632.5125114101547</v>
      </c>
      <c r="P121">
        <v>21998.294836880872</v>
      </c>
      <c r="Q121">
        <v>7635.986139031651</v>
      </c>
      <c r="S121">
        <v>22000.29520119918</v>
      </c>
      <c r="T121">
        <v>7630.2683338970555</v>
      </c>
      <c r="V121">
        <v>21997.811008009034</v>
      </c>
      <c r="W121">
        <v>7636.4872995024516</v>
      </c>
      <c r="Y121">
        <v>21997.891274740083</v>
      </c>
      <c r="Z121">
        <v>7636.9476930932697</v>
      </c>
      <c r="AB121">
        <v>21997.82714292586</v>
      </c>
      <c r="AC121">
        <v>7636.5740948865123</v>
      </c>
      <c r="AE121">
        <v>21997.83455520582</v>
      </c>
      <c r="AF121">
        <v>7636.6184770984601</v>
      </c>
      <c r="AH121">
        <v>21997.776709151407</v>
      </c>
      <c r="AI121">
        <v>7636.3478643122189</v>
      </c>
      <c r="AK121">
        <v>21941.598741517959</v>
      </c>
      <c r="AL121">
        <v>7701.3890521262092</v>
      </c>
      <c r="AZ121">
        <v>49999.900147377666</v>
      </c>
      <c r="BA121">
        <v>4.2507911559653373E-3</v>
      </c>
      <c r="BC121">
        <v>49999.660615470253</v>
      </c>
      <c r="BD121">
        <v>2.5061155727071727E-2</v>
      </c>
      <c r="BF121">
        <v>49999.931951456085</v>
      </c>
      <c r="BG121">
        <v>1.4482488558947423E-3</v>
      </c>
      <c r="BI121">
        <v>49999.608415863768</v>
      </c>
      <c r="BJ121">
        <v>3.0122981946020463E-2</v>
      </c>
      <c r="BL121">
        <v>49999.665031630764</v>
      </c>
      <c r="BM121">
        <v>2.6967223297885017E-2</v>
      </c>
      <c r="BO121">
        <v>49999.615337312774</v>
      </c>
      <c r="BP121">
        <v>2.9876136631602185E-2</v>
      </c>
      <c r="BR121">
        <v>49999.619527526906</v>
      </c>
      <c r="BS121">
        <v>2.9690727187825439E-2</v>
      </c>
      <c r="BU121">
        <v>49999.600583025895</v>
      </c>
      <c r="BV121">
        <v>3.0225236206467176E-2</v>
      </c>
      <c r="BX121">
        <v>49999.952836126657</v>
      </c>
      <c r="BY121">
        <v>1.007296693250487E-6</v>
      </c>
    </row>
    <row r="122" spans="13:77" x14ac:dyDescent="0.35">
      <c r="M122">
        <v>22002.357152173667</v>
      </c>
      <c r="N122">
        <v>7632.6955987520423</v>
      </c>
      <c r="P122">
        <v>21998.649373470816</v>
      </c>
      <c r="Q122">
        <v>7635.8519431386558</v>
      </c>
      <c r="S122">
        <v>22001.674723901553</v>
      </c>
      <c r="T122">
        <v>7630.3603923220398</v>
      </c>
      <c r="V122">
        <v>21998.123893214994</v>
      </c>
      <c r="W122">
        <v>7636.3082135471459</v>
      </c>
      <c r="Y122">
        <v>21998.083962875258</v>
      </c>
      <c r="Z122">
        <v>7636.7699641460522</v>
      </c>
      <c r="AB122">
        <v>21998.117211509991</v>
      </c>
      <c r="AC122">
        <v>7636.3953461488645</v>
      </c>
      <c r="AE122">
        <v>21998.113087549827</v>
      </c>
      <c r="AF122">
        <v>7636.4398327517783</v>
      </c>
      <c r="AH122">
        <v>21998.12755707352</v>
      </c>
      <c r="AI122">
        <v>7636.1675564946172</v>
      </c>
      <c r="AK122">
        <v>21935.556847608128</v>
      </c>
      <c r="AL122">
        <v>7695.8781257226346</v>
      </c>
      <c r="AZ122">
        <v>49999.910937292734</v>
      </c>
      <c r="BA122">
        <v>3.8060112374542049E-3</v>
      </c>
      <c r="BC122">
        <v>49999.695601079366</v>
      </c>
      <c r="BD122">
        <v>2.2438873053732145E-2</v>
      </c>
      <c r="BF122">
        <v>49999.939535036872</v>
      </c>
      <c r="BG122">
        <v>1.2967120261386527E-3</v>
      </c>
      <c r="BI122">
        <v>49999.64859051862</v>
      </c>
      <c r="BJ122">
        <v>2.6971048578869394E-2</v>
      </c>
      <c r="BL122">
        <v>49999.699207033569</v>
      </c>
      <c r="BM122">
        <v>2.4145498928780547E-2</v>
      </c>
      <c r="BO122">
        <v>49999.654756443837</v>
      </c>
      <c r="BP122">
        <v>2.675003267050071E-2</v>
      </c>
      <c r="BR122">
        <v>49999.658494987343</v>
      </c>
      <c r="BS122">
        <v>2.6584024008055471E-2</v>
      </c>
      <c r="BU122">
        <v>49999.641640850816</v>
      </c>
      <c r="BV122">
        <v>2.7062602702327316E-2</v>
      </c>
      <c r="BX122">
        <v>49999.958251704746</v>
      </c>
      <c r="BY122">
        <v>9.0189874669656157E-7</v>
      </c>
    </row>
    <row r="123" spans="13:77" x14ac:dyDescent="0.35">
      <c r="M123">
        <v>22002.847066321985</v>
      </c>
      <c r="N123">
        <v>7632.9278697361415</v>
      </c>
      <c r="P123">
        <v>21998.979935274212</v>
      </c>
      <c r="Q123">
        <v>7635.7480291146512</v>
      </c>
      <c r="S123">
        <v>22002.817395731188</v>
      </c>
      <c r="T123">
        <v>7630.563330972097</v>
      </c>
      <c r="V123">
        <v>21998.429802362476</v>
      </c>
      <c r="W123">
        <v>7636.1565336151589</v>
      </c>
      <c r="Y123">
        <v>21998.288124748953</v>
      </c>
      <c r="Z123">
        <v>7636.6098696952722</v>
      </c>
      <c r="AB123">
        <v>21998.403787589934</v>
      </c>
      <c r="AC123">
        <v>7636.2421477277785</v>
      </c>
      <c r="AE123">
        <v>21998.38990417212</v>
      </c>
      <c r="AF123">
        <v>7636.2858011917397</v>
      </c>
      <c r="AH123">
        <v>21998.465787529254</v>
      </c>
      <c r="AI123">
        <v>7636.0177496037159</v>
      </c>
      <c r="AK123">
        <v>21931.746334437881</v>
      </c>
      <c r="AL123">
        <v>7689.9393088685929</v>
      </c>
      <c r="AZ123">
        <v>49999.920558952275</v>
      </c>
      <c r="BA123">
        <v>3.4077708205029139E-3</v>
      </c>
      <c r="BC123">
        <v>49999.726986355119</v>
      </c>
      <c r="BD123">
        <v>2.0090976204461521E-2</v>
      </c>
      <c r="BF123">
        <v>49999.946271907225</v>
      </c>
      <c r="BG123">
        <v>1.1610312099948608E-3</v>
      </c>
      <c r="BI123">
        <v>49999.684653216362</v>
      </c>
      <c r="BJ123">
        <v>2.4148922620168226E-2</v>
      </c>
      <c r="BL123">
        <v>49999.729906852983</v>
      </c>
      <c r="BM123">
        <v>2.1619029121761099E-2</v>
      </c>
      <c r="BO123">
        <v>49999.690146265886</v>
      </c>
      <c r="BP123">
        <v>2.3951033292166395E-2</v>
      </c>
      <c r="BR123">
        <v>49999.693481918206</v>
      </c>
      <c r="BS123">
        <v>2.3802395305779035E-2</v>
      </c>
      <c r="BU123">
        <v>49999.678487007259</v>
      </c>
      <c r="BV123">
        <v>2.4230896378141742E-2</v>
      </c>
      <c r="BX123">
        <v>49999.963045439014</v>
      </c>
      <c r="BY123">
        <v>8.0752907211945928E-7</v>
      </c>
    </row>
    <row r="124" spans="13:77" x14ac:dyDescent="0.35">
      <c r="M124">
        <v>22003.206167975342</v>
      </c>
      <c r="N124">
        <v>7633.1973065409684</v>
      </c>
      <c r="P124">
        <v>21999.283184793723</v>
      </c>
      <c r="Q124">
        <v>7635.6721110601929</v>
      </c>
      <c r="S124">
        <v>22003.734243450621</v>
      </c>
      <c r="T124">
        <v>7630.8567049451331</v>
      </c>
      <c r="V124">
        <v>21998.723416823839</v>
      </c>
      <c r="W124">
        <v>7636.0313853794451</v>
      </c>
      <c r="Y124">
        <v>21998.497845636484</v>
      </c>
      <c r="Z124">
        <v>7636.4681429127695</v>
      </c>
      <c r="AB124">
        <v>21998.681442512894</v>
      </c>
      <c r="AC124">
        <v>7636.1139289150706</v>
      </c>
      <c r="AE124">
        <v>21998.659518201242</v>
      </c>
      <c r="AF124">
        <v>7636.1559664724618</v>
      </c>
      <c r="AH124">
        <v>21998.786239085384</v>
      </c>
      <c r="AI124">
        <v>7635.8970766231923</v>
      </c>
      <c r="AK124">
        <v>21929.916581172154</v>
      </c>
      <c r="AL124">
        <v>7683.7605689625543</v>
      </c>
      <c r="AZ124">
        <v>49999.929139104061</v>
      </c>
      <c r="BA124">
        <v>3.0512002241678431E-3</v>
      </c>
      <c r="BC124">
        <v>49999.755141084395</v>
      </c>
      <c r="BD124">
        <v>1.7988754008916998E-2</v>
      </c>
      <c r="BF124">
        <v>49999.952256771838</v>
      </c>
      <c r="BG124">
        <v>1.0395473118869581E-3</v>
      </c>
      <c r="BI124">
        <v>49999.717023679768</v>
      </c>
      <c r="BJ124">
        <v>2.1622093520239142E-2</v>
      </c>
      <c r="BL124">
        <v>49999.757483232526</v>
      </c>
      <c r="BM124">
        <v>1.9356919068181551E-2</v>
      </c>
      <c r="BO124">
        <v>49999.721917441137</v>
      </c>
      <c r="BP124">
        <v>2.144491079202257E-2</v>
      </c>
      <c r="BR124">
        <v>49999.724893703271</v>
      </c>
      <c r="BS124">
        <v>2.1311825818583142E-2</v>
      </c>
      <c r="BU124">
        <v>49999.711552489636</v>
      </c>
      <c r="BV124">
        <v>2.1695489482972709E-2</v>
      </c>
      <c r="BX124">
        <v>49999.967288732863</v>
      </c>
      <c r="BY124">
        <v>7.2303372765333774E-7</v>
      </c>
    </row>
    <row r="125" spans="13:77" x14ac:dyDescent="0.35">
      <c r="M125">
        <v>22003.446182510663</v>
      </c>
      <c r="N125">
        <v>7633.4928818638045</v>
      </c>
      <c r="P125">
        <v>21999.556839827612</v>
      </c>
      <c r="Q125">
        <v>7635.6216581213075</v>
      </c>
      <c r="S125">
        <v>22004.439353703779</v>
      </c>
      <c r="T125">
        <v>7631.2211929116274</v>
      </c>
      <c r="V125">
        <v>21999.000452564906</v>
      </c>
      <c r="W125">
        <v>7635.9314728735335</v>
      </c>
      <c r="Y125">
        <v>21998.707962834429</v>
      </c>
      <c r="Z125">
        <v>7636.3450286882753</v>
      </c>
      <c r="AB125">
        <v>21998.945728450257</v>
      </c>
      <c r="AC125">
        <v>7636.0096849820493</v>
      </c>
      <c r="AE125">
        <v>21998.917396515302</v>
      </c>
      <c r="AF125">
        <v>7636.0494721437008</v>
      </c>
      <c r="AH125">
        <v>21999.084875483179</v>
      </c>
      <c r="AI125">
        <v>7635.8037672596965</v>
      </c>
      <c r="AK125">
        <v>21929.812858546666</v>
      </c>
      <c r="AL125">
        <v>7677.5067709365585</v>
      </c>
      <c r="AZ125">
        <v>49999.936790716034</v>
      </c>
      <c r="BA125">
        <v>2.7319393137114497E-3</v>
      </c>
      <c r="BC125">
        <v>49999.780397157665</v>
      </c>
      <c r="BD125">
        <v>1.6106499666603713E-2</v>
      </c>
      <c r="BF125">
        <v>49999.957573724481</v>
      </c>
      <c r="BG125">
        <v>9.3077483710830237E-4</v>
      </c>
      <c r="BI125">
        <v>49999.746078923316</v>
      </c>
      <c r="BJ125">
        <v>1.9359661987382079E-2</v>
      </c>
      <c r="BL125">
        <v>49999.782252792516</v>
      </c>
      <c r="BM125">
        <v>1.7331506821884515E-2</v>
      </c>
      <c r="BO125">
        <v>49999.750438918956</v>
      </c>
      <c r="BP125">
        <v>1.920101912078697E-2</v>
      </c>
      <c r="BR125">
        <v>49999.753094585794</v>
      </c>
      <c r="BS125">
        <v>1.908185970592375E-2</v>
      </c>
      <c r="BU125">
        <v>49999.741224308396</v>
      </c>
      <c r="BV125">
        <v>1.9425377794234883E-2</v>
      </c>
      <c r="BX125">
        <v>49999.971044790749</v>
      </c>
      <c r="BY125">
        <v>6.4737951462631114E-7</v>
      </c>
    </row>
    <row r="126" spans="13:77" x14ac:dyDescent="0.35">
      <c r="M126">
        <v>22003.579585225212</v>
      </c>
      <c r="N126">
        <v>7633.8046419445991</v>
      </c>
      <c r="P126">
        <v>21999.799566065685</v>
      </c>
      <c r="Q126">
        <v>7635.5939828161763</v>
      </c>
      <c r="S126">
        <v>22004.949134548839</v>
      </c>
      <c r="T126">
        <v>7631.6388310681596</v>
      </c>
      <c r="V126">
        <v>21999.257597221964</v>
      </c>
      <c r="W126">
        <v>7635.8551671800933</v>
      </c>
      <c r="Y126">
        <v>21998.914062378532</v>
      </c>
      <c r="Z126">
        <v>7636.2403501864555</v>
      </c>
      <c r="AB126">
        <v>21999.193126750826</v>
      </c>
      <c r="AC126">
        <v>7635.9280616555634</v>
      </c>
      <c r="AE126">
        <v>21999.159913831863</v>
      </c>
      <c r="AF126">
        <v>7635.9651036082423</v>
      </c>
      <c r="AH126">
        <v>21999.358704304304</v>
      </c>
      <c r="AI126">
        <v>7635.7357437544251</v>
      </c>
      <c r="AK126">
        <v>21931.182317295439</v>
      </c>
      <c r="AL126">
        <v>7671.3196556792118</v>
      </c>
      <c r="AZ126">
        <v>49999.943614477605</v>
      </c>
      <c r="BA126">
        <v>2.4460841824735912E-3</v>
      </c>
      <c r="BC126">
        <v>49999.803052442854</v>
      </c>
      <c r="BD126">
        <v>1.4421196348109592E-2</v>
      </c>
      <c r="BF126">
        <v>49999.962297438818</v>
      </c>
      <c r="BG126">
        <v>8.3338372669468483E-4</v>
      </c>
      <c r="BI126">
        <v>49999.77215758308</v>
      </c>
      <c r="BJ126">
        <v>1.7333962073364038E-2</v>
      </c>
      <c r="BL126">
        <v>49999.80450019506</v>
      </c>
      <c r="BM126">
        <v>1.5518024990701306E-2</v>
      </c>
      <c r="BO126">
        <v>49999.776042156147</v>
      </c>
      <c r="BP126">
        <v>1.7191919068898748E-2</v>
      </c>
      <c r="BR126">
        <v>49999.778411826621</v>
      </c>
      <c r="BS126">
        <v>1.7085228060866861E-2</v>
      </c>
      <c r="BU126">
        <v>49999.767849964439</v>
      </c>
      <c r="BV126">
        <v>1.7392801417830006E-2</v>
      </c>
      <c r="BX126">
        <v>49999.974369559655</v>
      </c>
      <c r="BY126">
        <v>5.7964134341463223E-7</v>
      </c>
    </row>
    <row r="127" spans="13:77" x14ac:dyDescent="0.35">
      <c r="M127">
        <v>22003.619233259484</v>
      </c>
      <c r="N127">
        <v>7634.1237553598557</v>
      </c>
      <c r="P127">
        <v>22000.010865801501</v>
      </c>
      <c r="Q127">
        <v>7635.5863196527953</v>
      </c>
      <c r="S127">
        <v>22005.281636807529</v>
      </c>
      <c r="T127">
        <v>7632.0931852310714</v>
      </c>
      <c r="V127">
        <v>21999.492436284308</v>
      </c>
      <c r="W127">
        <v>7635.8005889995848</v>
      </c>
      <c r="Y127">
        <v>21999.11246073131</v>
      </c>
      <c r="Z127">
        <v>7636.1535743720524</v>
      </c>
      <c r="AB127">
        <v>21999.420984624932</v>
      </c>
      <c r="AC127">
        <v>7635.8674344357742</v>
      </c>
      <c r="AE127">
        <v>21999.38429472881</v>
      </c>
      <c r="AF127">
        <v>7635.9013658100703</v>
      </c>
      <c r="AH127">
        <v>21999.605685949165</v>
      </c>
      <c r="AI127">
        <v>7635.6907090024461</v>
      </c>
      <c r="AK127">
        <v>21933.779007784757</v>
      </c>
      <c r="AL127">
        <v>7665.3183393067684</v>
      </c>
      <c r="AZ127">
        <v>49999.949700136996</v>
      </c>
      <c r="BA127">
        <v>2.1901394130742773E-3</v>
      </c>
      <c r="BC127">
        <v>49999.82337426435</v>
      </c>
      <c r="BD127">
        <v>1.2912235700824941E-2</v>
      </c>
      <c r="BF127">
        <v>49999.966494225388</v>
      </c>
      <c r="BG127">
        <v>7.4618309309889457E-4</v>
      </c>
      <c r="BI127">
        <v>49999.795563809545</v>
      </c>
      <c r="BJ127">
        <v>1.5520222812125565E-2</v>
      </c>
      <c r="BL127">
        <v>49999.824481353491</v>
      </c>
      <c r="BM127">
        <v>1.3894297834474514E-2</v>
      </c>
      <c r="BO127">
        <v>49999.79902491223</v>
      </c>
      <c r="BP127">
        <v>1.5393042679609989E-2</v>
      </c>
      <c r="BR127">
        <v>49999.801139444047</v>
      </c>
      <c r="BS127">
        <v>1.5297515406790601E-2</v>
      </c>
      <c r="BU127">
        <v>49999.791741470079</v>
      </c>
      <c r="BV127">
        <v>1.5572905276288128E-2</v>
      </c>
      <c r="BX127">
        <v>49999.977312562412</v>
      </c>
      <c r="BY127">
        <v>5.1899092131686563E-7</v>
      </c>
    </row>
    <row r="128" spans="13:77" x14ac:dyDescent="0.35">
      <c r="M128">
        <v>22003.578043401871</v>
      </c>
      <c r="N128">
        <v>7634.442531552837</v>
      </c>
      <c r="P128">
        <v>22000.190965630412</v>
      </c>
      <c r="Q128">
        <v>7635.5958938376925</v>
      </c>
      <c r="S128">
        <v>22005.455940473574</v>
      </c>
      <c r="T128">
        <v>7632.5694665114352</v>
      </c>
      <c r="V128">
        <v>21999.703371506032</v>
      </c>
      <c r="W128">
        <v>7635.76568429093</v>
      </c>
      <c r="Y128">
        <v>21999.300174023781</v>
      </c>
      <c r="Z128">
        <v>7636.0838752980999</v>
      </c>
      <c r="AB128">
        <v>21999.627443180056</v>
      </c>
      <c r="AC128">
        <v>7635.8259818731967</v>
      </c>
      <c r="AE128">
        <v>21999.588546565301</v>
      </c>
      <c r="AF128">
        <v>7635.8565553325379</v>
      </c>
      <c r="AH128">
        <v>21999.824636229365</v>
      </c>
      <c r="AI128">
        <v>7635.6662262884702</v>
      </c>
      <c r="AK128">
        <v>21937.36797882774</v>
      </c>
      <c r="AL128">
        <v>7659.6002320636362</v>
      </c>
      <c r="AZ128">
        <v>49999.95512769268</v>
      </c>
      <c r="BA128">
        <v>1.9609753340724535E-3</v>
      </c>
      <c r="BC128">
        <v>49999.841602527267</v>
      </c>
      <c r="BD128">
        <v>1.1561165814717951E-2</v>
      </c>
      <c r="BF128">
        <v>49999.970222969794</v>
      </c>
      <c r="BG128">
        <v>6.6810665775631785E-4</v>
      </c>
      <c r="BI128">
        <v>49999.816570767158</v>
      </c>
      <c r="BJ128">
        <v>1.3896265271044695E-2</v>
      </c>
      <c r="BL128">
        <v>49999.842426321447</v>
      </c>
      <c r="BM128">
        <v>1.2440470063333956E-2</v>
      </c>
      <c r="BO128">
        <v>49999.819654662293</v>
      </c>
      <c r="BP128">
        <v>1.3782392784101177E-2</v>
      </c>
      <c r="BR128">
        <v>49999.821541577294</v>
      </c>
      <c r="BS128">
        <v>1.3696861097944766E-2</v>
      </c>
      <c r="BU128">
        <v>49999.813178962206</v>
      </c>
      <c r="BV128">
        <v>1.3943435130091272E-2</v>
      </c>
      <c r="BX128">
        <v>49999.979917635377</v>
      </c>
      <c r="BY128">
        <v>4.6468662410803487E-7</v>
      </c>
    </row>
    <row r="129" spans="13:77" x14ac:dyDescent="0.35">
      <c r="M129">
        <v>22003.468715745756</v>
      </c>
      <c r="N129">
        <v>7634.7544131113427</v>
      </c>
      <c r="P129">
        <v>22000.340705604089</v>
      </c>
      <c r="Q129">
        <v>7635.6199801087923</v>
      </c>
      <c r="S129">
        <v>22005.49160935004</v>
      </c>
      <c r="T129">
        <v>7633.0545963612385</v>
      </c>
      <c r="V129">
        <v>21999.88953437332</v>
      </c>
      <c r="W129">
        <v>7635.7482924375599</v>
      </c>
      <c r="Y129">
        <v>21999.474877313522</v>
      </c>
      <c r="Z129">
        <v>7636.0301941758407</v>
      </c>
      <c r="AB129">
        <v>21999.811359564243</v>
      </c>
      <c r="AC129">
        <v>7635.801752176767</v>
      </c>
      <c r="AE129">
        <v>21999.771386024429</v>
      </c>
      <c r="AF129">
        <v>7635.8288262363749</v>
      </c>
      <c r="AH129">
        <v>22000.015125523947</v>
      </c>
      <c r="AI129">
        <v>7635.65979022177</v>
      </c>
      <c r="AK129">
        <v>21941.728516185565</v>
      </c>
      <c r="AL129">
        <v>7654.2422840083445</v>
      </c>
      <c r="AZ129">
        <v>49999.959968454721</v>
      </c>
      <c r="BA129">
        <v>1.7557897493161649E-3</v>
      </c>
      <c r="BC129">
        <v>49999.857952523067</v>
      </c>
      <c r="BD129">
        <v>1.0351465564435525E-2</v>
      </c>
      <c r="BF129">
        <v>49999.973535965481</v>
      </c>
      <c r="BG129">
        <v>5.9819971244807601E-4</v>
      </c>
      <c r="BI129">
        <v>49999.835423780256</v>
      </c>
      <c r="BJ129">
        <v>1.2442231307752466E-2</v>
      </c>
      <c r="BL129">
        <v>49999.858541893285</v>
      </c>
      <c r="BM129">
        <v>1.1138764018059168E-2</v>
      </c>
      <c r="BO129">
        <v>49999.838171665695</v>
      </c>
      <c r="BP129">
        <v>1.2340273982062165E-2</v>
      </c>
      <c r="BR129">
        <v>49999.839855511193</v>
      </c>
      <c r="BS129">
        <v>1.2263691970166888E-2</v>
      </c>
      <c r="BU129">
        <v>49999.832413948934</v>
      </c>
      <c r="BV129">
        <v>1.2484465412503731E-2</v>
      </c>
      <c r="BX129">
        <v>49999.982223581384</v>
      </c>
      <c r="BY129">
        <v>4.1606442741119394E-7</v>
      </c>
    </row>
    <row r="130" spans="13:77" x14ac:dyDescent="0.35">
      <c r="M130">
        <v>22003.303502229883</v>
      </c>
      <c r="N130">
        <v>7635.0539457629111</v>
      </c>
      <c r="P130">
        <v>22000.461431920805</v>
      </c>
      <c r="Q130">
        <v>7635.6559519238108</v>
      </c>
      <c r="S130">
        <v>22005.408215239735</v>
      </c>
      <c r="T130">
        <v>7633.5372269707896</v>
      </c>
      <c r="V130">
        <v>22000.050697141563</v>
      </c>
      <c r="W130">
        <v>7635.746206626367</v>
      </c>
      <c r="Y130">
        <v>21999.6348561663</v>
      </c>
      <c r="Z130">
        <v>7635.9912954558158</v>
      </c>
      <c r="AB130">
        <v>21999.972225691366</v>
      </c>
      <c r="AC130">
        <v>7635.7927227543514</v>
      </c>
      <c r="AE130">
        <v>21999.932161732057</v>
      </c>
      <c r="AF130">
        <v>7635.8162491948306</v>
      </c>
      <c r="AH130">
        <v>22000.177377088174</v>
      </c>
      <c r="AI130">
        <v>7635.6688886952279</v>
      </c>
      <c r="AK130">
        <v>21946.656589754581</v>
      </c>
      <c r="AL130">
        <v>7649.3024740336714</v>
      </c>
      <c r="AZ130">
        <v>49999.964285990412</v>
      </c>
      <c r="BA130">
        <v>1.5720736719323984E-3</v>
      </c>
      <c r="BC130">
        <v>49999.872617448862</v>
      </c>
      <c r="BD130">
        <v>9.2683425668981505E-3</v>
      </c>
      <c r="BF130">
        <v>49999.976479652949</v>
      </c>
      <c r="BG130">
        <v>5.3560744500643427E-4</v>
      </c>
      <c r="BI130">
        <v>49999.852343160848</v>
      </c>
      <c r="BJ130">
        <v>1.1140340713694649E-2</v>
      </c>
      <c r="BL130">
        <v>49999.87301394454</v>
      </c>
      <c r="BM130">
        <v>9.9732622617961647E-3</v>
      </c>
      <c r="BO130">
        <v>49999.854791725207</v>
      </c>
      <c r="BP130">
        <v>1.1049051776185405E-2</v>
      </c>
      <c r="BR130">
        <v>49999.856294396108</v>
      </c>
      <c r="BS130">
        <v>1.0980482970661462E-2</v>
      </c>
      <c r="BU130">
        <v>49999.849672226708</v>
      </c>
      <c r="BV130">
        <v>1.1178155547769388E-2</v>
      </c>
      <c r="BX130">
        <v>49999.984264747713</v>
      </c>
      <c r="BY130">
        <v>3.7252978698601542E-7</v>
      </c>
    </row>
    <row r="131" spans="13:77" x14ac:dyDescent="0.35">
      <c r="M131">
        <v>22003.094018307347</v>
      </c>
      <c r="N131">
        <v>7635.3367299419579</v>
      </c>
      <c r="P131">
        <v>22000.554894853711</v>
      </c>
      <c r="Q131">
        <v>7635.7013214001299</v>
      </c>
      <c r="S131">
        <v>22005.224931399509</v>
      </c>
      <c r="T131">
        <v>7634.00772304561</v>
      </c>
      <c r="V131">
        <v>22000.187183638605</v>
      </c>
      <c r="W131">
        <v>7635.7572263332531</v>
      </c>
      <c r="Y131">
        <v>21999.778952688896</v>
      </c>
      <c r="Z131">
        <v>7635.9658183451929</v>
      </c>
      <c r="AB131">
        <v>22000.110085730485</v>
      </c>
      <c r="AC131">
        <v>7635.7968524912103</v>
      </c>
      <c r="AE131">
        <v>22000.070775127715</v>
      </c>
      <c r="AF131">
        <v>7635.8168636863375</v>
      </c>
      <c r="AH131">
        <v>22000.312166742224</v>
      </c>
      <c r="AI131">
        <v>7635.6910559038261</v>
      </c>
      <c r="AK131">
        <v>21951.966583616075</v>
      </c>
      <c r="AL131">
        <v>7644.821468545023</v>
      </c>
      <c r="AZ131">
        <v>49999.968136966701</v>
      </c>
      <c r="BA131">
        <v>1.4075806438902205E-3</v>
      </c>
      <c r="BC131">
        <v>49999.885770669585</v>
      </c>
      <c r="BD131">
        <v>8.2985522826243795E-3</v>
      </c>
      <c r="BF131">
        <v>49999.979095275965</v>
      </c>
      <c r="BG131">
        <v>4.7956448659452664E-4</v>
      </c>
      <c r="BI131">
        <v>49999.867526750313</v>
      </c>
      <c r="BJ131">
        <v>9.9746737731532115E-3</v>
      </c>
      <c r="BL131">
        <v>49999.886009538204</v>
      </c>
      <c r="BM131">
        <v>8.9297129234303524E-3</v>
      </c>
      <c r="BO131">
        <v>49999.869708667575</v>
      </c>
      <c r="BP131">
        <v>9.8929369136778571E-3</v>
      </c>
      <c r="BR131">
        <v>49999.871049693553</v>
      </c>
      <c r="BS131">
        <v>9.8315428382630549E-3</v>
      </c>
      <c r="BU131">
        <v>49999.865156501168</v>
      </c>
      <c r="BV131">
        <v>1.0008531771249097E-2</v>
      </c>
      <c r="BX131">
        <v>49999.9860715377</v>
      </c>
      <c r="BY131">
        <v>3.335503686394558E-7</v>
      </c>
    </row>
    <row r="132" spans="13:77" x14ac:dyDescent="0.35">
      <c r="M132">
        <v>22002.851095351718</v>
      </c>
      <c r="N132">
        <v>7635.5993576063447</v>
      </c>
      <c r="P132">
        <v>22000.623153262397</v>
      </c>
      <c r="Q132">
        <v>7635.7537705346076</v>
      </c>
      <c r="S132">
        <v>22004.960193589126</v>
      </c>
      <c r="T132">
        <v>7634.4581109146357</v>
      </c>
      <c r="V132">
        <v>22000.299781713838</v>
      </c>
      <c r="W132">
        <v>7635.7792019871458</v>
      </c>
      <c r="Y132">
        <v>21999.906507943386</v>
      </c>
      <c r="Z132">
        <v>7635.9523233650261</v>
      </c>
      <c r="AB132">
        <v>22000.225454247604</v>
      </c>
      <c r="AC132">
        <v>7635.8121267500737</v>
      </c>
      <c r="AE132">
        <v>22000.187601481033</v>
      </c>
      <c r="AF132">
        <v>7635.8287231833065</v>
      </c>
      <c r="AH132">
        <v>22000.420725812877</v>
      </c>
      <c r="AI132">
        <v>7635.7239166367553</v>
      </c>
      <c r="AK132">
        <v>21957.49238563305</v>
      </c>
      <c r="AL132">
        <v>7640.8243858118612</v>
      </c>
      <c r="AZ132">
        <v>49999.971571900824</v>
      </c>
      <c r="BA132">
        <v>1.2602992659283584E-3</v>
      </c>
      <c r="BC132">
        <v>49999.89756774914</v>
      </c>
      <c r="BD132">
        <v>7.4302360478038015E-3</v>
      </c>
      <c r="BF132">
        <v>49999.981419464057</v>
      </c>
      <c r="BG132">
        <v>4.293855527331094E-4</v>
      </c>
      <c r="BI132">
        <v>49999.881152203816</v>
      </c>
      <c r="BJ132">
        <v>8.9309765775469081E-3</v>
      </c>
      <c r="BL132">
        <v>49999.897678820053</v>
      </c>
      <c r="BM132">
        <v>7.9953554113689086E-3</v>
      </c>
      <c r="BO132">
        <v>49999.883096573591</v>
      </c>
      <c r="BP132">
        <v>8.8577922964454166E-3</v>
      </c>
      <c r="BR132">
        <v>49999.8842933751</v>
      </c>
      <c r="BS132">
        <v>8.8028222122313315E-3</v>
      </c>
      <c r="BU132">
        <v>49999.879048741779</v>
      </c>
      <c r="BV132">
        <v>8.9612917822444235E-3</v>
      </c>
      <c r="BX132">
        <v>49999.987670863607</v>
      </c>
      <c r="BY132">
        <v>2.9864953885438933E-7</v>
      </c>
    </row>
    <row r="133" spans="13:77" x14ac:dyDescent="0.35">
      <c r="M133">
        <v>22002.584670912882</v>
      </c>
      <c r="N133">
        <v>7635.8393377540851</v>
      </c>
      <c r="P133">
        <v>22000.668486700302</v>
      </c>
      <c r="Q133">
        <v>7635.8111743341788</v>
      </c>
      <c r="S133">
        <v>22004.631425894109</v>
      </c>
      <c r="T133">
        <v>7634.8820007377544</v>
      </c>
      <c r="V133">
        <v>22000.389658903845</v>
      </c>
      <c r="W133">
        <v>7635.8100720349448</v>
      </c>
      <c r="Y133">
        <v>22000.017302465247</v>
      </c>
      <c r="Z133">
        <v>7635.9493337116664</v>
      </c>
      <c r="AB133">
        <v>22000.319236598334</v>
      </c>
      <c r="AC133">
        <v>7635.836595228865</v>
      </c>
      <c r="AE133">
        <v>22000.283412666908</v>
      </c>
      <c r="AF133">
        <v>7635.8499334290009</v>
      </c>
      <c r="AH133">
        <v>22000.504648860118</v>
      </c>
      <c r="AI133">
        <v>7635.7652222056367</v>
      </c>
      <c r="AK133">
        <v>21963.087913674208</v>
      </c>
      <c r="AL133">
        <v>7637.3226112904395</v>
      </c>
      <c r="AZ133">
        <v>49999.974635829072</v>
      </c>
      <c r="BA133">
        <v>1.1284286019051248E-3</v>
      </c>
      <c r="BC133">
        <v>49999.90814827408</v>
      </c>
      <c r="BD133">
        <v>6.6527760558132976E-3</v>
      </c>
      <c r="BF133">
        <v>49999.983484749631</v>
      </c>
      <c r="BG133">
        <v>3.84457063623955E-4</v>
      </c>
      <c r="BI133">
        <v>49999.893379043366</v>
      </c>
      <c r="BJ133">
        <v>7.9964867133434335E-3</v>
      </c>
      <c r="BL133">
        <v>49999.908156724101</v>
      </c>
      <c r="BM133">
        <v>7.1587643657716367E-3</v>
      </c>
      <c r="BO133">
        <v>49999.895111782746</v>
      </c>
      <c r="BP133">
        <v>7.930960097827195E-3</v>
      </c>
      <c r="BR133">
        <v>49999.89617989926</v>
      </c>
      <c r="BS133">
        <v>7.8817418221310848E-3</v>
      </c>
      <c r="BU133">
        <v>49999.891512297152</v>
      </c>
      <c r="BV133">
        <v>8.0236298397213281E-3</v>
      </c>
      <c r="BX133">
        <v>49999.989086547503</v>
      </c>
      <c r="BY133">
        <v>2.6740053653545252E-7</v>
      </c>
    </row>
    <row r="134" spans="13:77" x14ac:dyDescent="0.35">
      <c r="M134">
        <v>22002.303713570422</v>
      </c>
      <c r="N134">
        <v>7636.0550138256795</v>
      </c>
      <c r="P134">
        <v>22000.693315825618</v>
      </c>
      <c r="Q134">
        <v>7635.8716165626593</v>
      </c>
      <c r="S134">
        <v>22004.254827571825</v>
      </c>
      <c r="T134">
        <v>7635.2744873069987</v>
      </c>
      <c r="V134">
        <v>22000.458282589014</v>
      </c>
      <c r="W134">
        <v>7635.8478927539454</v>
      </c>
      <c r="Y134">
        <v>22000.111496394427</v>
      </c>
      <c r="Z134">
        <v>7635.9553713283531</v>
      </c>
      <c r="AB134">
        <v>22000.392652889441</v>
      </c>
      <c r="AC134">
        <v>7635.8684029394653</v>
      </c>
      <c r="AE134">
        <v>22000.359303040306</v>
      </c>
      <c r="AF134">
        <v>7635.8786840235198</v>
      </c>
      <c r="AH134">
        <v>22000.565807397812</v>
      </c>
      <c r="AI134">
        <v>7635.8128784906612</v>
      </c>
      <c r="AK134">
        <v>21968.627154298505</v>
      </c>
      <c r="AL134">
        <v>7634.31561788822</v>
      </c>
      <c r="AZ134">
        <v>49999.977368902699</v>
      </c>
      <c r="BA134">
        <v>1.0103561567852725E-3</v>
      </c>
      <c r="BC134">
        <v>49999.917637490958</v>
      </c>
      <c r="BD134">
        <v>5.956665514282011E-3</v>
      </c>
      <c r="BF134">
        <v>49999.985320027037</v>
      </c>
      <c r="BG134">
        <v>3.4422964129635439E-4</v>
      </c>
      <c r="BI134">
        <v>49999.904350502846</v>
      </c>
      <c r="BJ134">
        <v>7.1597771912538079E-3</v>
      </c>
      <c r="BL134">
        <v>49999.917564507021</v>
      </c>
      <c r="BM134">
        <v>6.4097099404464763E-3</v>
      </c>
      <c r="BO134">
        <v>49999.905894695214</v>
      </c>
      <c r="BP134">
        <v>7.1011069710462914E-3</v>
      </c>
      <c r="BR134">
        <v>49999.906847988728</v>
      </c>
      <c r="BS134">
        <v>7.0570386571016204E-3</v>
      </c>
      <c r="BU134">
        <v>49999.902693795237</v>
      </c>
      <c r="BV134">
        <v>7.1840801613391658E-3</v>
      </c>
      <c r="BX134">
        <v>49999.990339676064</v>
      </c>
      <c r="BY134">
        <v>2.3942125460104855E-7</v>
      </c>
    </row>
    <row r="135" spans="13:77" x14ac:dyDescent="0.35">
      <c r="M135">
        <v>22002.016178887759</v>
      </c>
      <c r="N135">
        <v>7636.2454758846197</v>
      </c>
      <c r="P135">
        <v>22000.700131548154</v>
      </c>
      <c r="Q135">
        <v>7635.9333988584258</v>
      </c>
      <c r="S135">
        <v>22003.845216449539</v>
      </c>
      <c r="T135">
        <v>7635.6320345890681</v>
      </c>
      <c r="V135">
        <v>22000.507345636423</v>
      </c>
      <c r="W135">
        <v>7635.8908612571104</v>
      </c>
      <c r="Y135">
        <v>22000.189570515635</v>
      </c>
      <c r="Z135">
        <v>7635.9689877159781</v>
      </c>
      <c r="AB135">
        <v>22000.447166560825</v>
      </c>
      <c r="AC135">
        <v>7635.9058146741963</v>
      </c>
      <c r="AE135">
        <v>22000.416619491243</v>
      </c>
      <c r="AF135">
        <v>7635.913273645534</v>
      </c>
      <c r="AH135">
        <v>22000.606270516852</v>
      </c>
      <c r="AI135">
        <v>7635.864966678464</v>
      </c>
      <c r="AK135">
        <v>21974.003787230125</v>
      </c>
      <c r="AL135">
        <v>7631.7927530892794</v>
      </c>
      <c r="AZ135">
        <v>49999.979806918884</v>
      </c>
      <c r="BA135">
        <v>9.046381589553191E-4</v>
      </c>
      <c r="BC135">
        <v>49999.92614777627</v>
      </c>
      <c r="BD135">
        <v>5.3333923894995664E-3</v>
      </c>
      <c r="BF135">
        <v>49999.986950960098</v>
      </c>
      <c r="BG135">
        <v>3.0821139182656839E-4</v>
      </c>
      <c r="BI135">
        <v>49999.914195185971</v>
      </c>
      <c r="BJ135">
        <v>6.4106167076024125E-3</v>
      </c>
      <c r="BL135">
        <v>49999.926011128548</v>
      </c>
      <c r="BM135">
        <v>5.7390327054314761E-3</v>
      </c>
      <c r="BO135">
        <v>49999.915571391517</v>
      </c>
      <c r="BP135">
        <v>6.3580854559325932E-3</v>
      </c>
      <c r="BR135">
        <v>49999.916422227987</v>
      </c>
      <c r="BS135">
        <v>6.3186282328321422E-3</v>
      </c>
      <c r="BU135">
        <v>49999.91272485027</v>
      </c>
      <c r="BV135">
        <v>6.4323767101764143E-3</v>
      </c>
      <c r="BX135">
        <v>49999.991448914698</v>
      </c>
      <c r="BY135">
        <v>2.1436956760844385E-7</v>
      </c>
    </row>
    <row r="136" spans="13:77" x14ac:dyDescent="0.35">
      <c r="M136">
        <v>22001.728992833869</v>
      </c>
      <c r="N136">
        <v>7636.4104701577853</v>
      </c>
      <c r="P136">
        <v>22000.691433100692</v>
      </c>
      <c r="Q136">
        <v>7635.9950440042594</v>
      </c>
      <c r="S136">
        <v>22003.415923878114</v>
      </c>
      <c r="T136">
        <v>7635.9523487538281</v>
      </c>
      <c r="V136">
        <v>22000.538698265143</v>
      </c>
      <c r="W136">
        <v>7635.9373322118809</v>
      </c>
      <c r="Y136">
        <v>22000.25226929539</v>
      </c>
      <c r="Z136">
        <v>7635.9887896163673</v>
      </c>
      <c r="AB136">
        <v>22000.484418389984</v>
      </c>
      <c r="AC136">
        <v>7635.9472334074635</v>
      </c>
      <c r="AE136">
        <v>22000.456896515978</v>
      </c>
      <c r="AF136">
        <v>7635.9521293199814</v>
      </c>
      <c r="AH136">
        <v>22000.628233043721</v>
      </c>
      <c r="AI136">
        <v>7635.9197573324209</v>
      </c>
      <c r="AK136">
        <v>21979.130465505132</v>
      </c>
      <c r="AL136">
        <v>7629.7349620422228</v>
      </c>
      <c r="AZ136">
        <v>49999.98198179387</v>
      </c>
      <c r="BA136">
        <v>8.0998190574136167E-4</v>
      </c>
      <c r="BC136">
        <v>49999.933779956125</v>
      </c>
      <c r="BD136">
        <v>4.7753353162062334E-3</v>
      </c>
      <c r="BF136">
        <v>49999.988400343929</v>
      </c>
      <c r="BG136">
        <v>2.7596189048117894E-4</v>
      </c>
      <c r="BI136">
        <v>49999.923028556128</v>
      </c>
      <c r="BJ136">
        <v>5.7398445286108513E-3</v>
      </c>
      <c r="BL136">
        <v>49999.933594493334</v>
      </c>
      <c r="BM136">
        <v>5.1385316401682075E-3</v>
      </c>
      <c r="BO136">
        <v>49999.924255088234</v>
      </c>
      <c r="BP136">
        <v>5.6928098886766471E-3</v>
      </c>
      <c r="BR136">
        <v>49999.925014499342</v>
      </c>
      <c r="BS136">
        <v>5.6574812715311108E-3</v>
      </c>
      <c r="BU136">
        <v>49999.921723595988</v>
      </c>
      <c r="BV136">
        <v>5.7593276540721869E-3</v>
      </c>
      <c r="BX136">
        <v>49999.99243078554</v>
      </c>
      <c r="BY136">
        <v>1.9193914827638711E-7</v>
      </c>
    </row>
    <row r="137" spans="13:77" x14ac:dyDescent="0.35">
      <c r="M137">
        <v>22001.448058998401</v>
      </c>
      <c r="N137">
        <v>7636.5503081976349</v>
      </c>
      <c r="P137">
        <v>22000.669675011082</v>
      </c>
      <c r="Q137">
        <v>7636.0552941372989</v>
      </c>
      <c r="S137">
        <v>22002.978735899131</v>
      </c>
      <c r="T137">
        <v>7636.2342439896393</v>
      </c>
      <c r="V137">
        <v>22000.554286633891</v>
      </c>
      <c r="W137">
        <v>7635.9858288468322</v>
      </c>
      <c r="Y137">
        <v>22000.300546802991</v>
      </c>
      <c r="Z137">
        <v>7636.0134597877868</v>
      </c>
      <c r="AB137">
        <v>22000.506166491614</v>
      </c>
      <c r="AC137">
        <v>7635.9912131397232</v>
      </c>
      <c r="AE137">
        <v>22000.481796914461</v>
      </c>
      <c r="AF137">
        <v>7635.9938202048061</v>
      </c>
      <c r="AH137">
        <v>22000.633951619002</v>
      </c>
      <c r="AI137">
        <v>7635.9757184800346</v>
      </c>
      <c r="AK137">
        <v>21983.937817026686</v>
      </c>
      <c r="AL137">
        <v>7628.1164221312983</v>
      </c>
      <c r="AZ137">
        <v>49999.983921984596</v>
      </c>
      <c r="BA137">
        <v>7.2522995623630854E-4</v>
      </c>
      <c r="BC137">
        <v>49999.940624490911</v>
      </c>
      <c r="BD137">
        <v>4.2756703996405694E-3</v>
      </c>
      <c r="BF137">
        <v>49999.989688426176</v>
      </c>
      <c r="BG137">
        <v>2.4708679623161345E-4</v>
      </c>
      <c r="BI137">
        <v>49999.930954275012</v>
      </c>
      <c r="BJ137">
        <v>5.139258467251058E-3</v>
      </c>
      <c r="BL137">
        <v>49999.940402567947</v>
      </c>
      <c r="BM137">
        <v>4.6008638473247088E-3</v>
      </c>
      <c r="BO137">
        <v>49999.932047446317</v>
      </c>
      <c r="BP137">
        <v>5.0971452968217902E-3</v>
      </c>
      <c r="BR137">
        <v>49999.932725273728</v>
      </c>
      <c r="BS137">
        <v>5.0655132865227515E-3</v>
      </c>
      <c r="BU137">
        <v>49999.929796062737</v>
      </c>
      <c r="BV137">
        <v>5.1567029620306418E-3</v>
      </c>
      <c r="BX137">
        <v>49999.993299913578</v>
      </c>
      <c r="BY137">
        <v>1.718557217483905E-7</v>
      </c>
    </row>
    <row r="138" spans="13:77" x14ac:dyDescent="0.35">
      <c r="M138">
        <v>22001.178285967682</v>
      </c>
      <c r="N138">
        <v>7636.6657776072752</v>
      </c>
      <c r="P138">
        <v>22000.637222770532</v>
      </c>
      <c r="Q138">
        <v>7636.1131046765431</v>
      </c>
      <c r="S138">
        <v>22002.543875098367</v>
      </c>
      <c r="T138">
        <v>7636.4775049364052</v>
      </c>
      <c r="V138">
        <v>22000.556098438643</v>
      </c>
      <c r="W138">
        <v>7636.0350488545046</v>
      </c>
      <c r="Y138">
        <v>22000.335516212934</v>
      </c>
      <c r="Z138">
        <v>7636.0417731615807</v>
      </c>
      <c r="AB138">
        <v>22000.514232677138</v>
      </c>
      <c r="AC138">
        <v>7636.0364667315771</v>
      </c>
      <c r="AE138">
        <v>22000.493058518317</v>
      </c>
      <c r="AF138">
        <v>7636.0370664138609</v>
      </c>
      <c r="AH138">
        <v>22000.625688860207</v>
      </c>
      <c r="AI138">
        <v>7636.0315184255887</v>
      </c>
      <c r="AK138">
        <v>21988.373228623219</v>
      </c>
      <c r="AL138">
        <v>7626.9060702414172</v>
      </c>
      <c r="AZ138">
        <v>49999.985652864401</v>
      </c>
      <c r="BA138">
        <v>6.4934597813555461E-4</v>
      </c>
      <c r="BC138">
        <v>49999.946762538777</v>
      </c>
      <c r="BD138">
        <v>3.8282877699735247E-3</v>
      </c>
      <c r="BF138">
        <v>49999.990833192176</v>
      </c>
      <c r="BG138">
        <v>2.2123302978381939E-4</v>
      </c>
      <c r="BI138">
        <v>49999.93806540536</v>
      </c>
      <c r="BJ138">
        <v>4.6015145825056593E-3</v>
      </c>
      <c r="BL138">
        <v>49999.946514385607</v>
      </c>
      <c r="BM138">
        <v>4.1194547607113522E-3</v>
      </c>
      <c r="BO138">
        <v>49999.939039746809</v>
      </c>
      <c r="BP138">
        <v>4.5638079205694206E-3</v>
      </c>
      <c r="BR138">
        <v>49999.939644770784</v>
      </c>
      <c r="BS138">
        <v>4.5354857209843023E-3</v>
      </c>
      <c r="BU138">
        <v>49999.937037414355</v>
      </c>
      <c r="BV138">
        <v>4.6171337628646151E-3</v>
      </c>
      <c r="BX138">
        <v>49999.994069244487</v>
      </c>
      <c r="BY138">
        <v>1.5387371179286628E-7</v>
      </c>
    </row>
    <row r="139" spans="13:77" x14ac:dyDescent="0.35">
      <c r="M139">
        <v>22000.923631340542</v>
      </c>
      <c r="N139">
        <v>7636.7580559544585</v>
      </c>
      <c r="P139">
        <v>22000.596316843319</v>
      </c>
      <c r="Q139">
        <v>7636.1676347203311</v>
      </c>
      <c r="S139">
        <v>22002.120017575991</v>
      </c>
      <c r="T139">
        <v>7636.6827490843953</v>
      </c>
      <c r="V139">
        <v>22000.546115620695</v>
      </c>
      <c r="W139">
        <v>7636.0838658152688</v>
      </c>
      <c r="Y139">
        <v>22000.358403410151</v>
      </c>
      <c r="Z139">
        <v>7636.072608722001</v>
      </c>
      <c r="AB139">
        <v>22000.510455353979</v>
      </c>
      <c r="AC139">
        <v>7636.0818692992216</v>
      </c>
      <c r="AE139">
        <v>22000.492447169803</v>
      </c>
      <c r="AF139">
        <v>7636.0807434200296</v>
      </c>
      <c r="AH139">
        <v>22000.605665581992</v>
      </c>
      <c r="AI139">
        <v>7636.0860240017573</v>
      </c>
      <c r="AK139">
        <v>21992.399468720796</v>
      </c>
      <c r="AL139">
        <v>7626.0690089392638</v>
      </c>
      <c r="AZ139">
        <v>49999.987197057853</v>
      </c>
      <c r="BA139">
        <v>5.8140207550786067E-4</v>
      </c>
      <c r="BC139">
        <v>49999.952266910223</v>
      </c>
      <c r="BD139">
        <v>3.4277168685604401E-3</v>
      </c>
      <c r="BF139">
        <v>49999.991850618208</v>
      </c>
      <c r="BG139">
        <v>1.9808445615831754E-4</v>
      </c>
      <c r="BI139">
        <v>49999.944445491528</v>
      </c>
      <c r="BJ139">
        <v>4.1200373742847074E-3</v>
      </c>
      <c r="BL139">
        <v>49999.952000949794</v>
      </c>
      <c r="BM139">
        <v>3.6884177491070436E-3</v>
      </c>
      <c r="BO139">
        <v>49999.945313947399</v>
      </c>
      <c r="BP139">
        <v>4.0862761437063201E-3</v>
      </c>
      <c r="BR139">
        <v>49999.945854001489</v>
      </c>
      <c r="BS139">
        <v>4.0609174316878337E-3</v>
      </c>
      <c r="BU139">
        <v>49999.943533058991</v>
      </c>
      <c r="BV139">
        <v>4.134022235154868E-3</v>
      </c>
      <c r="BX139">
        <v>49999.994750237442</v>
      </c>
      <c r="BY139">
        <v>1.3777323792919227E-7</v>
      </c>
    </row>
    <row r="140" spans="13:77" x14ac:dyDescent="0.35">
      <c r="M140">
        <v>22000.687159031713</v>
      </c>
      <c r="N140">
        <v>7636.8286291971326</v>
      </c>
      <c r="P140">
        <v>22000.549044542262</v>
      </c>
      <c r="Q140">
        <v>7636.2182346293421</v>
      </c>
      <c r="S140">
        <v>22001.714339544018</v>
      </c>
      <c r="T140">
        <v>7636.8512920030671</v>
      </c>
      <c r="V140">
        <v>22000.52627412372</v>
      </c>
      <c r="W140">
        <v>7636.1313267683527</v>
      </c>
      <c r="Y140">
        <v>22000.370505058232</v>
      </c>
      <c r="Z140">
        <v>7636.1049574896442</v>
      </c>
      <c r="AB140">
        <v>22000.49664898268</v>
      </c>
      <c r="AC140">
        <v>7636.1264577507118</v>
      </c>
      <c r="AE140">
        <v>22000.481716010374</v>
      </c>
      <c r="AF140">
        <v>7636.1238825944483</v>
      </c>
      <c r="AH140">
        <v>22000.57602088384</v>
      </c>
      <c r="AI140">
        <v>7636.1382949638792</v>
      </c>
      <c r="AK140">
        <v>21995.993199543638</v>
      </c>
      <c r="AL140">
        <v>7625.5677821830868</v>
      </c>
      <c r="AZ140">
        <v>49999.988574739138</v>
      </c>
      <c r="BA140">
        <v>5.2056744253904815E-4</v>
      </c>
      <c r="BC140">
        <v>49999.957202924998</v>
      </c>
      <c r="BD140">
        <v>3.0690595522553038E-3</v>
      </c>
      <c r="BF140">
        <v>49999.992754896295</v>
      </c>
      <c r="BG140">
        <v>1.773580190259581E-4</v>
      </c>
      <c r="BI140">
        <v>49999.950169530282</v>
      </c>
      <c r="BJ140">
        <v>3.6889393756443546E-3</v>
      </c>
      <c r="BL140">
        <v>49999.956926046892</v>
      </c>
      <c r="BM140">
        <v>3.3024821327481903E-3</v>
      </c>
      <c r="BO140">
        <v>49999.950943631811</v>
      </c>
      <c r="BP140">
        <v>3.6587107448058055E-3</v>
      </c>
      <c r="BR140">
        <v>49999.95142570512</v>
      </c>
      <c r="BS140">
        <v>3.6360054351622026E-3</v>
      </c>
      <c r="BU140">
        <v>49999.949359646751</v>
      </c>
      <c r="BV140">
        <v>3.7014609264354676E-3</v>
      </c>
      <c r="BX140">
        <v>49999.995353035825</v>
      </c>
      <c r="BY140">
        <v>1.2335742676011325E-7</v>
      </c>
    </row>
    <row r="141" spans="13:77" x14ac:dyDescent="0.35">
      <c r="M141">
        <v>22000.471106724777</v>
      </c>
      <c r="N141">
        <v>7636.8792156561376</v>
      </c>
      <c r="P141">
        <v>22000.497319200815</v>
      </c>
      <c r="Q141">
        <v>7636.264431464343</v>
      </c>
      <c r="S141">
        <v>22001.332588245248</v>
      </c>
      <c r="T141">
        <v>7636.9850177896151</v>
      </c>
      <c r="V141">
        <v>22000.498430501382</v>
      </c>
      <c r="W141">
        <v>7636.1766465443206</v>
      </c>
      <c r="Y141">
        <v>22000.373151345571</v>
      </c>
      <c r="Z141">
        <v>7636.1379270137923</v>
      </c>
      <c r="AB141">
        <v>22000.474569971491</v>
      </c>
      <c r="AC141">
        <v>7636.1694270376165</v>
      </c>
      <c r="AE141">
        <v>22000.462570998367</v>
      </c>
      <c r="AF141">
        <v>7636.1656684363379</v>
      </c>
      <c r="AH141">
        <v>22000.538779780181</v>
      </c>
      <c r="AI141">
        <v>7636.1875752075648</v>
      </c>
      <c r="AK141">
        <v>21999.143424448823</v>
      </c>
      <c r="AL141">
        <v>7625.3635150007831</v>
      </c>
      <c r="AZ141">
        <v>49999.989803897995</v>
      </c>
      <c r="BA141">
        <v>4.6609820450166253E-4</v>
      </c>
      <c r="BC141">
        <v>49999.961629181227</v>
      </c>
      <c r="BD141">
        <v>2.7479301976630235E-3</v>
      </c>
      <c r="BF141">
        <v>49999.993558633818</v>
      </c>
      <c r="BG141">
        <v>1.5880027952912357E-4</v>
      </c>
      <c r="BI141">
        <v>49999.955304842886</v>
      </c>
      <c r="BJ141">
        <v>3.3029491589077792E-3</v>
      </c>
      <c r="BL141">
        <v>49999.961346976968</v>
      </c>
      <c r="BM141">
        <v>2.9569287321363912E-3</v>
      </c>
      <c r="BO141">
        <v>49999.955994862838</v>
      </c>
      <c r="BP141">
        <v>3.2758834933660393E-3</v>
      </c>
      <c r="BR141">
        <v>49999.956425191238</v>
      </c>
      <c r="BS141">
        <v>3.2555539469940084E-3</v>
      </c>
      <c r="BU141">
        <v>49999.954585965548</v>
      </c>
      <c r="BV141">
        <v>3.3141605148621291E-3</v>
      </c>
      <c r="BX141">
        <v>49999.995886618308</v>
      </c>
      <c r="BY141">
        <v>1.10450004633159E-7</v>
      </c>
    </row>
    <row r="142" spans="13:77" x14ac:dyDescent="0.35">
      <c r="M142">
        <v>22000.276960585084</v>
      </c>
      <c r="N142">
        <v>7636.9116963036231</v>
      </c>
      <c r="P142">
        <v>22000.442866004738</v>
      </c>
      <c r="Q142">
        <v>7636.3059128945297</v>
      </c>
      <c r="S142">
        <v>22000.979172156287</v>
      </c>
      <c r="T142">
        <v>7637.0862566705846</v>
      </c>
      <c r="V142">
        <v>22000.464335064135</v>
      </c>
      <c r="W142">
        <v>7636.2191994505047</v>
      </c>
      <c r="Y142">
        <v>22000.367673496174</v>
      </c>
      <c r="Z142">
        <v>7636.1707427918891</v>
      </c>
      <c r="AB142">
        <v>22000.445888772327</v>
      </c>
      <c r="AC142">
        <v>7636.2101236805784</v>
      </c>
      <c r="AE142">
        <v>22000.436642457949</v>
      </c>
      <c r="AF142">
        <v>7636.2054330353494</v>
      </c>
      <c r="AH142">
        <v>22000.495827939103</v>
      </c>
      <c r="AI142">
        <v>7636.2332814565598</v>
      </c>
      <c r="AK142">
        <v>22001.849910669574</v>
      </c>
      <c r="AL142">
        <v>7625.4169148929632</v>
      </c>
      <c r="AZ142">
        <v>49999.990900576726</v>
      </c>
      <c r="BA142">
        <v>4.1732832172236361E-4</v>
      </c>
      <c r="BC142">
        <v>49999.965598245726</v>
      </c>
      <c r="BD142">
        <v>2.4604020728263868E-3</v>
      </c>
      <c r="BF142">
        <v>49999.994273030796</v>
      </c>
      <c r="BG142">
        <v>1.421843172644395E-4</v>
      </c>
      <c r="BI142">
        <v>49999.959911858503</v>
      </c>
      <c r="BJ142">
        <v>2.9573468752094479E-3</v>
      </c>
      <c r="BL142">
        <v>49999.965315210888</v>
      </c>
      <c r="BM142">
        <v>2.6475321609527591E-3</v>
      </c>
      <c r="BO142">
        <v>49999.960526948824</v>
      </c>
      <c r="BP142">
        <v>2.9331132176252895E-3</v>
      </c>
      <c r="BR142">
        <v>49999.960911096285</v>
      </c>
      <c r="BS142">
        <v>2.9149108464288586E-3</v>
      </c>
      <c r="BU142">
        <v>49999.959273745633</v>
      </c>
      <c r="BV142">
        <v>2.9673851298916269E-3</v>
      </c>
      <c r="BX142">
        <v>49999.996358932571</v>
      </c>
      <c r="BY142">
        <v>9.8893142193970647E-8</v>
      </c>
    </row>
    <row r="143" spans="13:77" x14ac:dyDescent="0.35">
      <c r="M143">
        <v>22000.10553461569</v>
      </c>
      <c r="N143">
        <v>7636.9280518916057</v>
      </c>
      <c r="P143">
        <v>22000.387213801401</v>
      </c>
      <c r="Q143">
        <v>7636.3425101339435</v>
      </c>
      <c r="S143">
        <v>22000.657265772152</v>
      </c>
      <c r="T143">
        <v>7637.1576712587639</v>
      </c>
      <c r="V143">
        <v>22000.425611163937</v>
      </c>
      <c r="W143">
        <v>7636.2585088692122</v>
      </c>
      <c r="Y143">
        <v>22000.355376020343</v>
      </c>
      <c r="Z143">
        <v>7636.2027470367611</v>
      </c>
      <c r="AB143">
        <v>22000.412167848008</v>
      </c>
      <c r="AC143">
        <v>7636.248037102062</v>
      </c>
      <c r="AE143">
        <v>22000.405462365557</v>
      </c>
      <c r="AF143">
        <v>7636.2426482863593</v>
      </c>
      <c r="AH143">
        <v>22000.448893012064</v>
      </c>
      <c r="AI143">
        <v>7636.2749900256003</v>
      </c>
      <c r="AK143">
        <v>22004.121622460658</v>
      </c>
      <c r="AL143">
        <v>7625.6891355721455</v>
      </c>
      <c r="AZ143">
        <v>49999.991879081448</v>
      </c>
      <c r="BA143">
        <v>3.7366144531807816E-4</v>
      </c>
      <c r="BC143">
        <v>49999.969157273605</v>
      </c>
      <c r="BD143">
        <v>2.2029593205030651E-3</v>
      </c>
      <c r="BF143">
        <v>49999.994908037239</v>
      </c>
      <c r="BG143">
        <v>1.2730695553177099E-4</v>
      </c>
      <c r="BI143">
        <v>49999.964044817876</v>
      </c>
      <c r="BJ143">
        <v>2.6479065391309506E-3</v>
      </c>
      <c r="BL143">
        <v>49999.96887698114</v>
      </c>
      <c r="BM143">
        <v>2.3705091573551227E-3</v>
      </c>
      <c r="BO143">
        <v>49999.964593132245</v>
      </c>
      <c r="BP143">
        <v>2.626208562185236E-3</v>
      </c>
      <c r="BR143">
        <v>49999.96493606337</v>
      </c>
      <c r="BS143">
        <v>2.6099107892579498E-3</v>
      </c>
      <c r="BU143">
        <v>49999.963478381993</v>
      </c>
      <c r="BV143">
        <v>2.6568944409611863E-3</v>
      </c>
      <c r="BX143">
        <v>49999.996777013723</v>
      </c>
      <c r="BY143">
        <v>8.8545524474649905E-8</v>
      </c>
    </row>
    <row r="144" spans="13:77" x14ac:dyDescent="0.35">
      <c r="M144">
        <v>21999.95705232651</v>
      </c>
      <c r="N144">
        <v>7636.9303072256189</v>
      </c>
      <c r="P144">
        <v>22000.331692180727</v>
      </c>
      <c r="Q144">
        <v>7636.3741804020583</v>
      </c>
      <c r="S144">
        <v>22000.368924654736</v>
      </c>
      <c r="T144">
        <v>7637.2021525673135</v>
      </c>
      <c r="V144">
        <v>22000.383740147106</v>
      </c>
      <c r="W144">
        <v>7636.2942352898772</v>
      </c>
      <c r="Y144">
        <v>22000.337513586001</v>
      </c>
      <c r="Z144">
        <v>7636.233395205546</v>
      </c>
      <c r="AB144">
        <v>22000.374845107406</v>
      </c>
      <c r="AC144">
        <v>7636.2827892669793</v>
      </c>
      <c r="AE144">
        <v>22000.370447004061</v>
      </c>
      <c r="AF144">
        <v>7636.2769163471467</v>
      </c>
      <c r="AH144">
        <v>22000.399531976065</v>
      </c>
      <c r="AI144">
        <v>7636.3124222144497</v>
      </c>
      <c r="AK144">
        <v>22005.975194474922</v>
      </c>
      <c r="AL144">
        <v>7626.1425060815191</v>
      </c>
      <c r="AZ144">
        <v>49999.992752170365</v>
      </c>
      <c r="BA144">
        <v>3.3456362511090506E-4</v>
      </c>
      <c r="BC144">
        <v>49999.972348564334</v>
      </c>
      <c r="BD144">
        <v>1.972453965822866E-3</v>
      </c>
      <c r="BF144">
        <v>49999.995472492941</v>
      </c>
      <c r="BG144">
        <v>1.1398627691956646E-4</v>
      </c>
      <c r="BI144">
        <v>49999.967752405428</v>
      </c>
      <c r="BJ144">
        <v>2.3708443525983433E-3</v>
      </c>
      <c r="BL144">
        <v>49999.972073813049</v>
      </c>
      <c r="BM144">
        <v>2.1224723217887678E-3</v>
      </c>
      <c r="BO144">
        <v>49999.968241208371</v>
      </c>
      <c r="BP144">
        <v>2.3514167353984664E-3</v>
      </c>
      <c r="BR144">
        <v>49999.968547353077</v>
      </c>
      <c r="BS144">
        <v>2.3368242732918635E-3</v>
      </c>
      <c r="BU144">
        <v>49999.967249583031</v>
      </c>
      <c r="BV144">
        <v>2.3788918059392283E-3</v>
      </c>
      <c r="BX144">
        <v>49999.997147089052</v>
      </c>
      <c r="BY144">
        <v>7.928062291815199E-8</v>
      </c>
    </row>
    <row r="145" spans="13:77" x14ac:dyDescent="0.35">
      <c r="M145">
        <v>21999.83122868076</v>
      </c>
      <c r="N145">
        <v>7636.9204826946425</v>
      </c>
      <c r="P145">
        <v>22000.277433115789</v>
      </c>
      <c r="Q145">
        <v>7636.4009893419015</v>
      </c>
      <c r="S145">
        <v>22000.115206846567</v>
      </c>
      <c r="T145">
        <v>7637.2227265178462</v>
      </c>
      <c r="V145">
        <v>22000.340051456784</v>
      </c>
      <c r="W145">
        <v>7636.32616325255</v>
      </c>
      <c r="Y145">
        <v>22000.315272313037</v>
      </c>
      <c r="Z145">
        <v>7636.2622506900816</v>
      </c>
      <c r="AB145">
        <v>22000.335222350725</v>
      </c>
      <c r="AC145">
        <v>7636.314123093699</v>
      </c>
      <c r="AE145">
        <v>22000.332884557814</v>
      </c>
      <c r="AF145">
        <v>7636.3079587940392</v>
      </c>
      <c r="AH145">
        <v>22000.349123869815</v>
      </c>
      <c r="AI145">
        <v>7636.3454288363218</v>
      </c>
      <c r="AK145">
        <v>22007.433470210111</v>
      </c>
      <c r="AL145">
        <v>7626.741130380753</v>
      </c>
      <c r="AZ145">
        <v>49999.993531221589</v>
      </c>
      <c r="BA145">
        <v>2.9955678055276601E-4</v>
      </c>
      <c r="BC145">
        <v>49999.975210060817</v>
      </c>
      <c r="BD145">
        <v>1.7660674225665721E-3</v>
      </c>
      <c r="BF145">
        <v>49999.995974251557</v>
      </c>
      <c r="BG145">
        <v>1.0205939884695983E-4</v>
      </c>
      <c r="BI145">
        <v>49999.971078316943</v>
      </c>
      <c r="BJ145">
        <v>2.1227724360771507E-3</v>
      </c>
      <c r="BL145">
        <v>49999.974943002337</v>
      </c>
      <c r="BM145">
        <v>1.9003886955658489E-3</v>
      </c>
      <c r="BO145">
        <v>49999.971514081</v>
      </c>
      <c r="BP145">
        <v>2.1053776197367566E-3</v>
      </c>
      <c r="BR145">
        <v>49999.971787392227</v>
      </c>
      <c r="BS145">
        <v>2.0923120335290092E-3</v>
      </c>
      <c r="BU145">
        <v>49999.970631952965</v>
      </c>
      <c r="BV145">
        <v>2.1299778452363435E-3</v>
      </c>
      <c r="BX145">
        <v>49999.997474670803</v>
      </c>
      <c r="BY145">
        <v>7.098514820906375E-8</v>
      </c>
    </row>
    <row r="146" spans="13:77" x14ac:dyDescent="0.35">
      <c r="M146">
        <v>21999.727350575817</v>
      </c>
      <c r="N146">
        <v>7636.9005530008753</v>
      </c>
      <c r="P146">
        <v>22000.225376460774</v>
      </c>
      <c r="Q146">
        <v>7636.4230937665534</v>
      </c>
      <c r="S146">
        <v>21999.896297190597</v>
      </c>
      <c r="T146">
        <v>7637.2224713517408</v>
      </c>
      <c r="V146">
        <v>22000.295717335684</v>
      </c>
      <c r="W146">
        <v>7636.3541876328272</v>
      </c>
      <c r="Y146">
        <v>22000.289755230344</v>
      </c>
      <c r="Z146">
        <v>7636.2889780480609</v>
      </c>
      <c r="AB146">
        <v>22000.294458230397</v>
      </c>
      <c r="AC146">
        <v>7636.3418900557544</v>
      </c>
      <c r="AE146">
        <v>22000.293927181818</v>
      </c>
      <c r="AF146">
        <v>7636.3356048910091</v>
      </c>
      <c r="AH146">
        <v>22000.298867284127</v>
      </c>
      <c r="AI146">
        <v>7636.3739743282222</v>
      </c>
      <c r="AK146">
        <v>22008.524125601798</v>
      </c>
      <c r="AL146">
        <v>7627.4513641708381</v>
      </c>
      <c r="AZ146">
        <v>49999.994226382732</v>
      </c>
      <c r="BA146">
        <v>2.682128548213097E-4</v>
      </c>
      <c r="BC146">
        <v>49999.977775797262</v>
      </c>
      <c r="BD146">
        <v>1.5812760273271984E-3</v>
      </c>
      <c r="BF146">
        <v>49999.99642029083</v>
      </c>
      <c r="BG146">
        <v>9.1380481861880945E-5</v>
      </c>
      <c r="BI146">
        <v>49999.974061769448</v>
      </c>
      <c r="BJ146">
        <v>1.9006574012360744E-3</v>
      </c>
      <c r="BL146">
        <v>49999.977518044434</v>
      </c>
      <c r="BM146">
        <v>1.7015426736723752E-3</v>
      </c>
      <c r="BO146">
        <v>49999.97445026171</v>
      </c>
      <c r="BP146">
        <v>1.8850826839493036E-3</v>
      </c>
      <c r="BR146">
        <v>49999.974694266857</v>
      </c>
      <c r="BS146">
        <v>1.8733842093114285E-3</v>
      </c>
      <c r="BU146">
        <v>49999.973665514772</v>
      </c>
      <c r="BV146">
        <v>1.9071088738252015E-3</v>
      </c>
      <c r="BX146">
        <v>49999.997764638283</v>
      </c>
      <c r="BY146">
        <v>6.3557664992041022E-8</v>
      </c>
    </row>
    <row r="147" spans="13:77" x14ac:dyDescent="0.35">
      <c r="M147">
        <v>21999.644354402164</v>
      </c>
      <c r="N147">
        <v>7636.872412891049</v>
      </c>
      <c r="P147">
        <v>22000.176278626965</v>
      </c>
      <c r="Q147">
        <v>7636.4407250437462</v>
      </c>
      <c r="S147">
        <v>21999.711631544313</v>
      </c>
      <c r="T147">
        <v>7637.2044460658153</v>
      </c>
      <c r="V147">
        <v>22000.251751564814</v>
      </c>
      <c r="W147">
        <v>7636.3782996490427</v>
      </c>
      <c r="Y147">
        <v>22000.261971587108</v>
      </c>
      <c r="Z147">
        <v>7636.3133351290016</v>
      </c>
      <c r="AB147">
        <v>22000.25356521182</v>
      </c>
      <c r="AC147">
        <v>7636.3660373498287</v>
      </c>
      <c r="AE147">
        <v>22000.254587053787</v>
      </c>
      <c r="AF147">
        <v>7636.3597793452636</v>
      </c>
      <c r="AH147">
        <v>22000.249781961855</v>
      </c>
      <c r="AI147">
        <v>7636.3981208339219</v>
      </c>
      <c r="AK147">
        <v>22009.278393347311</v>
      </c>
      <c r="AL147">
        <v>7628.2421770795954</v>
      </c>
      <c r="AZ147">
        <v>49999.994846704241</v>
      </c>
      <c r="BA147">
        <v>2.4014858060272205E-4</v>
      </c>
      <c r="BC147">
        <v>49999.980076301123</v>
      </c>
      <c r="BD147">
        <v>1.4158201800756783E-3</v>
      </c>
      <c r="BF147">
        <v>49999.996816810453</v>
      </c>
      <c r="BG147">
        <v>8.1818946340627519E-5</v>
      </c>
      <c r="BI147">
        <v>49999.976737959121</v>
      </c>
      <c r="BJ147">
        <v>1.7017832584634415E-3</v>
      </c>
      <c r="BL147">
        <v>49999.979829020398</v>
      </c>
      <c r="BM147">
        <v>1.5235027982692334E-3</v>
      </c>
      <c r="BO147">
        <v>49999.977084318292</v>
      </c>
      <c r="BP147">
        <v>1.68783819454755E-3</v>
      </c>
      <c r="BR147">
        <v>49999.977302165113</v>
      </c>
      <c r="BS147">
        <v>1.6773637841235168E-3</v>
      </c>
      <c r="BU147">
        <v>49999.976386179689</v>
      </c>
      <c r="BV147">
        <v>1.7075596828324256E-3</v>
      </c>
      <c r="BX147">
        <v>49999.99802131053</v>
      </c>
      <c r="BY147">
        <v>5.6907351538763145E-8</v>
      </c>
    </row>
    <row r="148" spans="13:77" x14ac:dyDescent="0.35">
      <c r="M148">
        <v>21999.580899498658</v>
      </c>
      <c r="N148">
        <v>7636.837849574169</v>
      </c>
      <c r="P148">
        <v>22000.130723790899</v>
      </c>
      <c r="Q148">
        <v>7636.4541733696942</v>
      </c>
      <c r="S148">
        <v>21999.560018321172</v>
      </c>
      <c r="T148">
        <v>7637.1716297450794</v>
      </c>
      <c r="V148">
        <v>22000.209011672829</v>
      </c>
      <c r="W148">
        <v>7636.398572922546</v>
      </c>
      <c r="Y148">
        <v>22000.232829675107</v>
      </c>
      <c r="Z148">
        <v>7636.3351644201357</v>
      </c>
      <c r="AB148">
        <v>22000.213410010736</v>
      </c>
      <c r="AC148">
        <v>7636.386594959612</v>
      </c>
      <c r="AE148">
        <v>22000.215735907266</v>
      </c>
      <c r="AF148">
        <v>7636.3804898784265</v>
      </c>
      <c r="AH148">
        <v>22000.202713871913</v>
      </c>
      <c r="AI148">
        <v>7636.4180125936446</v>
      </c>
      <c r="AK148">
        <v>22009.72989936643</v>
      </c>
      <c r="AL148">
        <v>7629.0854093665503</v>
      </c>
      <c r="AZ148">
        <v>49999.995400258274</v>
      </c>
      <c r="BA148">
        <v>2.1502079355705154E-4</v>
      </c>
      <c r="BC148">
        <v>49999.982138953754</v>
      </c>
      <c r="BD148">
        <v>1.2676767137586211E-3</v>
      </c>
      <c r="BF148">
        <v>49999.99716931898</v>
      </c>
      <c r="BG148">
        <v>7.3257875782730875E-5</v>
      </c>
      <c r="BI148">
        <v>49999.979138472554</v>
      </c>
      <c r="BJ148">
        <v>1.5237182056361646E-3</v>
      </c>
      <c r="BL148">
        <v>49999.981902943793</v>
      </c>
      <c r="BM148">
        <v>1.3640920268137081E-3</v>
      </c>
      <c r="BO148">
        <v>49999.979447277539</v>
      </c>
      <c r="BP148">
        <v>1.5112322767343012E-3</v>
      </c>
      <c r="BR148">
        <v>49999.979641775091</v>
      </c>
      <c r="BS148">
        <v>1.5018538509438274E-3</v>
      </c>
      <c r="BU148">
        <v>49999.978826168699</v>
      </c>
      <c r="BV148">
        <v>1.5288902155614508E-3</v>
      </c>
      <c r="BX148">
        <v>49999.998248510645</v>
      </c>
      <c r="BY148">
        <v>5.0952889196706528E-8</v>
      </c>
    </row>
    <row r="149" spans="13:77" x14ac:dyDescent="0.35">
      <c r="M149">
        <v>21999.535436581409</v>
      </c>
      <c r="N149">
        <v>7636.7985214175214</v>
      </c>
      <c r="P149">
        <v>22000.089137031075</v>
      </c>
      <c r="Q149">
        <v>7636.4637731280573</v>
      </c>
      <c r="S149">
        <v>21999.439755225379</v>
      </c>
      <c r="T149">
        <v>7637.1268714561193</v>
      </c>
      <c r="V149">
        <v>22000.168204061523</v>
      </c>
      <c r="W149">
        <v>7636.4151498723641</v>
      </c>
      <c r="Y149">
        <v>22000.203132796323</v>
      </c>
      <c r="Z149">
        <v>7636.3543839059093</v>
      </c>
      <c r="AB149">
        <v>22000.174716988677</v>
      </c>
      <c r="AC149">
        <v>7636.4036628990352</v>
      </c>
      <c r="AE149">
        <v>22000.178107545322</v>
      </c>
      <c r="AF149">
        <v>7636.397814898045</v>
      </c>
      <c r="AH149">
        <v>22000.158343142932</v>
      </c>
      <c r="AI149">
        <v>7636.4338609192873</v>
      </c>
      <c r="AK149">
        <v>22009.913618969938</v>
      </c>
      <c r="AL149">
        <v>7629.9559330514921</v>
      </c>
      <c r="AZ149">
        <v>49999.995894244639</v>
      </c>
      <c r="BA149">
        <v>1.9252223615890486E-4</v>
      </c>
      <c r="BC149">
        <v>49999.983988314096</v>
      </c>
      <c r="BD149">
        <v>1.1350341550455693E-3</v>
      </c>
      <c r="BF149">
        <v>49999.997482711027</v>
      </c>
      <c r="BG149">
        <v>6.5592587176666601E-5</v>
      </c>
      <c r="BI149">
        <v>49999.981291655997</v>
      </c>
      <c r="BJ149">
        <v>1.3642848920082181E-3</v>
      </c>
      <c r="BL149">
        <v>49999.983764072458</v>
      </c>
      <c r="BM149">
        <v>1.2213611112210495E-3</v>
      </c>
      <c r="BO149">
        <v>49999.981566987037</v>
      </c>
      <c r="BP149">
        <v>1.3531054219729107E-3</v>
      </c>
      <c r="BR149">
        <v>49999.981740642193</v>
      </c>
      <c r="BS149">
        <v>1.3447083028459191E-3</v>
      </c>
      <c r="BU149">
        <v>49999.981014390934</v>
      </c>
      <c r="BV149">
        <v>1.3689157304339445E-3</v>
      </c>
      <c r="BX149">
        <v>49999.998449622748</v>
      </c>
      <c r="BY149">
        <v>4.5621468040018931E-8</v>
      </c>
    </row>
    <row r="150" spans="13:77" x14ac:dyDescent="0.35">
      <c r="M150">
        <v>21999.506270463466</v>
      </c>
      <c r="N150">
        <v>7636.7559424420169</v>
      </c>
      <c r="P150">
        <v>22000.051798837994</v>
      </c>
      <c r="Q150">
        <v>7636.469889478698</v>
      </c>
      <c r="S150">
        <v>21999.348739460005</v>
      </c>
      <c r="T150">
        <v>7637.0728501933872</v>
      </c>
      <c r="V150">
        <v>22000.129891513716</v>
      </c>
      <c r="W150">
        <v>7636.4282286774078</v>
      </c>
      <c r="Y150">
        <v>22000.173577998466</v>
      </c>
      <c r="Z150">
        <v>7636.3709777018657</v>
      </c>
      <c r="AB150">
        <v>22000.13807400244</v>
      </c>
      <c r="AC150">
        <v>7636.4173988731309</v>
      </c>
      <c r="AE150">
        <v>22000.142302845779</v>
      </c>
      <c r="AF150">
        <v>7636.4118915103709</v>
      </c>
      <c r="AH150">
        <v>22000.117194272829</v>
      </c>
      <c r="AI150">
        <v>7636.4459299809841</v>
      </c>
      <c r="AK150">
        <v>22009.86495684219</v>
      </c>
      <c r="AL150">
        <v>7630.8317278463946</v>
      </c>
      <c r="AZ150">
        <v>49999.996335085278</v>
      </c>
      <c r="BA150">
        <v>1.7237780060281495E-4</v>
      </c>
      <c r="BC150">
        <v>49999.985646409106</v>
      </c>
      <c r="BD150">
        <v>1.0162705737002445E-3</v>
      </c>
      <c r="BF150">
        <v>49999.997761335821</v>
      </c>
      <c r="BG150">
        <v>5.872935095492504E-5</v>
      </c>
      <c r="BI150">
        <v>49999.983222947019</v>
      </c>
      <c r="BJ150">
        <v>1.221533793585163E-3</v>
      </c>
      <c r="BL150">
        <v>49999.98543418874</v>
      </c>
      <c r="BM150">
        <v>1.0935647625317543E-3</v>
      </c>
      <c r="BO150">
        <v>49999.983468440107</v>
      </c>
      <c r="BP150">
        <v>1.2115240815434288E-3</v>
      </c>
      <c r="BR150">
        <v>49999.983623490109</v>
      </c>
      <c r="BS150">
        <v>1.2040055904336572E-3</v>
      </c>
      <c r="BU150">
        <v>49999.982976783365</v>
      </c>
      <c r="BV150">
        <v>1.2256800859813475E-3</v>
      </c>
      <c r="BX150">
        <v>49999.998627642381</v>
      </c>
      <c r="BY150">
        <v>4.0847896563698497E-8</v>
      </c>
    </row>
    <row r="151" spans="13:77" x14ac:dyDescent="0.35">
      <c r="M151">
        <v>21999.491616601528</v>
      </c>
      <c r="N151">
        <v>7636.711472087587</v>
      </c>
      <c r="P151">
        <v>22000.018860495264</v>
      </c>
      <c r="Q151">
        <v>7636.4729062741881</v>
      </c>
      <c r="S151">
        <v>21999.284570077183</v>
      </c>
      <c r="T151">
        <v>7637.0120442353473</v>
      </c>
      <c r="V151">
        <v>22000.094502578599</v>
      </c>
      <c r="W151">
        <v>7636.4380509934572</v>
      </c>
      <c r="Y151">
        <v>22000.14475719897</v>
      </c>
      <c r="Z151">
        <v>7636.3849866901573</v>
      </c>
      <c r="AB151">
        <v>22000.103940226603</v>
      </c>
      <c r="AC151">
        <v>7636.4280065512339</v>
      </c>
      <c r="AE151">
        <v>22000.108796788994</v>
      </c>
      <c r="AF151">
        <v>7636.422904073007</v>
      </c>
      <c r="AH151">
        <v>22000.079648068931</v>
      </c>
      <c r="AI151">
        <v>7636.4545235809446</v>
      </c>
      <c r="AK151">
        <v>22009.618951866272</v>
      </c>
      <c r="AL151">
        <v>7631.693882497395</v>
      </c>
      <c r="AZ151">
        <v>49999.996728508449</v>
      </c>
      <c r="BA151">
        <v>1.5434116483156556E-4</v>
      </c>
      <c r="BC151">
        <v>49999.987132994342</v>
      </c>
      <c r="BD151">
        <v>9.0993374970719946E-4</v>
      </c>
      <c r="BF151">
        <v>49999.998009058065</v>
      </c>
      <c r="BG151">
        <v>5.2584244886148696E-5</v>
      </c>
      <c r="BI151">
        <v>49999.984955172251</v>
      </c>
      <c r="BJ151">
        <v>1.0937193744030799E-3</v>
      </c>
      <c r="BL151">
        <v>49999.986932851287</v>
      </c>
      <c r="BM151">
        <v>9.7914030961478615E-4</v>
      </c>
      <c r="BO151">
        <v>49999.985174067609</v>
      </c>
      <c r="BP151">
        <v>1.084757023172493E-3</v>
      </c>
      <c r="BR151">
        <v>49999.985312509125</v>
      </c>
      <c r="BS151">
        <v>1.0780252252019782E-3</v>
      </c>
      <c r="BU151">
        <v>49999.984736615748</v>
      </c>
      <c r="BV151">
        <v>1.0974318211992105E-3</v>
      </c>
      <c r="BX151">
        <v>49999.998785221112</v>
      </c>
      <c r="BY151">
        <v>3.6573804534523097E-8</v>
      </c>
    </row>
    <row r="152" spans="13:77" x14ac:dyDescent="0.35">
      <c r="M152">
        <v>21999.489651202188</v>
      </c>
      <c r="N152">
        <v>7636.6663096875072</v>
      </c>
      <c r="P152">
        <v>21999.990359884996</v>
      </c>
      <c r="Q152">
        <v>7636.4732153600853</v>
      </c>
      <c r="S152">
        <v>21999.244641498499</v>
      </c>
      <c r="T152">
        <v>7636.9467091656288</v>
      </c>
      <c r="V152">
        <v>22000.062342364672</v>
      </c>
      <c r="W152">
        <v>7636.4448905690688</v>
      </c>
      <c r="Y152">
        <v>22000.117160324047</v>
      </c>
      <c r="Z152">
        <v>7636.3964993506324</v>
      </c>
      <c r="AB152">
        <v>22000.072655497595</v>
      </c>
      <c r="AC152">
        <v>7636.4357246059853</v>
      </c>
      <c r="AE152">
        <v>22000.077947065951</v>
      </c>
      <c r="AF152">
        <v>7636.4310734457094</v>
      </c>
      <c r="AH152">
        <v>22000.045954817295</v>
      </c>
      <c r="AI152">
        <v>7636.4599730441932</v>
      </c>
      <c r="AK152">
        <v>22009.209605139742</v>
      </c>
      <c r="AL152">
        <v>7632.5265321454654</v>
      </c>
      <c r="AZ152">
        <v>49999.997079623827</v>
      </c>
      <c r="BA152">
        <v>1.3819178055293318E-4</v>
      </c>
      <c r="BC152">
        <v>49999.988465787814</v>
      </c>
      <c r="BD152">
        <v>8.1472341562934404E-4</v>
      </c>
      <c r="BF152">
        <v>49999.998229312048</v>
      </c>
      <c r="BG152">
        <v>4.7082127889833307E-5</v>
      </c>
      <c r="BI152">
        <v>49999.986508814771</v>
      </c>
      <c r="BJ152">
        <v>9.7927874219991273E-4</v>
      </c>
      <c r="BL152">
        <v>49999.988277621371</v>
      </c>
      <c r="BM152">
        <v>8.7668859093672233E-4</v>
      </c>
      <c r="BO152">
        <v>49999.98670400001</v>
      </c>
      <c r="BP152">
        <v>9.7125416161411733E-4</v>
      </c>
      <c r="BR152">
        <v>49999.986827615059</v>
      </c>
      <c r="BS152">
        <v>9.6522674149475147E-4</v>
      </c>
      <c r="BU152">
        <v>49999.986314764334</v>
      </c>
      <c r="BV152">
        <v>9.8260273876241014E-4</v>
      </c>
      <c r="BX152">
        <v>49999.998924706058</v>
      </c>
      <c r="BY152">
        <v>3.2746929251293886E-8</v>
      </c>
    </row>
    <row r="153" spans="13:77" x14ac:dyDescent="0.35">
      <c r="M153">
        <v>21999.498554793259</v>
      </c>
      <c r="N153">
        <v>7636.6214930750621</v>
      </c>
      <c r="P153">
        <v>21999.966237327517</v>
      </c>
      <c r="Q153">
        <v>7636.4712072780803</v>
      </c>
      <c r="S153">
        <v>21999.226227560266</v>
      </c>
      <c r="T153">
        <v>7636.8788637432208</v>
      </c>
      <c r="V153">
        <v>22000.033604310087</v>
      </c>
      <c r="W153">
        <v>7636.4490428647632</v>
      </c>
      <c r="Y153">
        <v>22000.091180102339</v>
      </c>
      <c r="Z153">
        <v>7636.4056429489647</v>
      </c>
      <c r="AB153">
        <v>22000.044450762485</v>
      </c>
      <c r="AC153">
        <v>7636.4408166332332</v>
      </c>
      <c r="AE153">
        <v>22000.050003856468</v>
      </c>
      <c r="AF153">
        <v>7636.4366470599543</v>
      </c>
      <c r="AH153">
        <v>22000.016248227861</v>
      </c>
      <c r="AI153">
        <v>7636.4626263136943</v>
      </c>
      <c r="AK153">
        <v>22008.669327247077</v>
      </c>
      <c r="AL153">
        <v>7633.3167421158687</v>
      </c>
      <c r="AZ153">
        <v>49999.997392989411</v>
      </c>
      <c r="BA153">
        <v>1.2373217641447031E-4</v>
      </c>
      <c r="BC153">
        <v>49999.989660679763</v>
      </c>
      <c r="BD153">
        <v>7.2947535704973639E-4</v>
      </c>
      <c r="BF153">
        <v>49999.99842514965</v>
      </c>
      <c r="BG153">
        <v>4.2155721225505945E-5</v>
      </c>
      <c r="BI153">
        <v>49999.98790225415</v>
      </c>
      <c r="BJ153">
        <v>8.7681253747151102E-4</v>
      </c>
      <c r="BL153">
        <v>49999.989484266225</v>
      </c>
      <c r="BM153">
        <v>7.8495684573485082E-4</v>
      </c>
      <c r="BO153">
        <v>49999.988076302732</v>
      </c>
      <c r="BP153">
        <v>8.6962760431276496E-4</v>
      </c>
      <c r="BR153">
        <v>49999.988186681796</v>
      </c>
      <c r="BS153">
        <v>8.6423085979780263E-4</v>
      </c>
      <c r="BU153">
        <v>49999.987729957567</v>
      </c>
      <c r="BV153">
        <v>8.7978872920723707E-4</v>
      </c>
      <c r="BX153">
        <v>49999.999048174817</v>
      </c>
      <c r="BY153">
        <v>2.9320476486882406E-8</v>
      </c>
    </row>
    <row r="154" spans="13:77" x14ac:dyDescent="0.35">
      <c r="M154">
        <v>21999.516549315271</v>
      </c>
      <c r="N154">
        <v>7636.5779007448273</v>
      </c>
      <c r="P154">
        <v>21999.946351121835</v>
      </c>
      <c r="Q154">
        <v>7636.4672633591817</v>
      </c>
      <c r="S154">
        <v>21999.226555730205</v>
      </c>
      <c r="T154">
        <v>7636.8102827622261</v>
      </c>
      <c r="V154">
        <v>22000.008382542957</v>
      </c>
      <c r="W154">
        <v>7636.4508157437558</v>
      </c>
      <c r="Y154">
        <v>22000.067118171191</v>
      </c>
      <c r="Z154">
        <v>7636.41257521223</v>
      </c>
      <c r="AB154">
        <v>22000.019459253828</v>
      </c>
      <c r="AC154">
        <v>7636.4435620327877</v>
      </c>
      <c r="AE154">
        <v>22000.02512040321</v>
      </c>
      <c r="AF154">
        <v>7636.439889893225</v>
      </c>
      <c r="AH154">
        <v>21999.990559752518</v>
      </c>
      <c r="AI154">
        <v>7636.4628382994979</v>
      </c>
      <c r="AK154">
        <v>22008.02849896628</v>
      </c>
      <c r="AL154">
        <v>7634.0543481734021</v>
      </c>
      <c r="AZ154">
        <v>49999.997672671227</v>
      </c>
      <c r="BA154">
        <v>1.1078554335973641E-4</v>
      </c>
      <c r="BC154">
        <v>49999.990731920938</v>
      </c>
      <c r="BD154">
        <v>6.5314717667324534E-4</v>
      </c>
      <c r="BF154">
        <v>49999.998599283004</v>
      </c>
      <c r="BG154">
        <v>3.7744785821268181E-5</v>
      </c>
      <c r="BI154">
        <v>49999.989151982008</v>
      </c>
      <c r="BJ154">
        <v>7.8506782221672013E-4</v>
      </c>
      <c r="BL154">
        <v>49999.9905669418</v>
      </c>
      <c r="BM154">
        <v>7.0282339538260414E-4</v>
      </c>
      <c r="BO154">
        <v>49999.98930718749</v>
      </c>
      <c r="BP154">
        <v>7.7863468036829756E-4</v>
      </c>
      <c r="BR154">
        <v>49999.989405750144</v>
      </c>
      <c r="BS154">
        <v>7.7380262102522243E-4</v>
      </c>
      <c r="BU154">
        <v>49999.988998996632</v>
      </c>
      <c r="BV154">
        <v>7.8773260159119404E-4</v>
      </c>
      <c r="BX154">
        <v>49999.999157466438</v>
      </c>
      <c r="BY154">
        <v>2.625254829777451E-8</v>
      </c>
    </row>
    <row r="155" spans="13:77" x14ac:dyDescent="0.35">
      <c r="M155">
        <v>21999.541928914547</v>
      </c>
      <c r="N155">
        <v>7636.5362570019051</v>
      </c>
      <c r="P155">
        <v>21999.930492508422</v>
      </c>
      <c r="Q155">
        <v>7636.4617491671543</v>
      </c>
      <c r="S155">
        <v>21999.24287139827</v>
      </c>
      <c r="T155">
        <v>7636.7424960226672</v>
      </c>
      <c r="V155">
        <v>21999.98668448886</v>
      </c>
      <c r="W155">
        <v>7636.4505212702288</v>
      </c>
      <c r="Y155">
        <v>22000.045192176538</v>
      </c>
      <c r="Z155">
        <v>7636.4174765931184</v>
      </c>
      <c r="AB155">
        <v>21999.997728052396</v>
      </c>
      <c r="AC155">
        <v>7636.4442478983101</v>
      </c>
      <c r="AE155">
        <v>22000.00336404554</v>
      </c>
      <c r="AF155">
        <v>7636.4410764025906</v>
      </c>
      <c r="AH155">
        <v>21999.968832924398</v>
      </c>
      <c r="AI155">
        <v>7636.4609624982641</v>
      </c>
      <c r="AK155">
        <v>22007.315138078524</v>
      </c>
      <c r="AL155">
        <v>7634.7317627595876</v>
      </c>
      <c r="AZ155">
        <v>49999.997922296527</v>
      </c>
      <c r="BA155">
        <v>9.919357263991667E-5</v>
      </c>
      <c r="BC155">
        <v>49999.991692291456</v>
      </c>
      <c r="BD155">
        <v>5.8480554800814199E-4</v>
      </c>
      <c r="BF155">
        <v>49999.998754122396</v>
      </c>
      <c r="BG155">
        <v>3.379538568218245E-5</v>
      </c>
      <c r="BI155">
        <v>49999.990272795498</v>
      </c>
      <c r="BJ155">
        <v>7.0292275912982587E-4</v>
      </c>
      <c r="BL155">
        <v>49999.991538356895</v>
      </c>
      <c r="BM155">
        <v>6.2928392762748189E-4</v>
      </c>
      <c r="BO155">
        <v>49999.990411202052</v>
      </c>
      <c r="BP155">
        <v>6.9716274527590466E-4</v>
      </c>
      <c r="BR155">
        <v>49999.990499215346</v>
      </c>
      <c r="BS155">
        <v>6.9283628556006101E-4</v>
      </c>
      <c r="BU155">
        <v>49999.990136953384</v>
      </c>
      <c r="BV155">
        <v>7.0530871067835523E-4</v>
      </c>
      <c r="BX155">
        <v>49999.9992542088</v>
      </c>
      <c r="BY155">
        <v>2.3505630704454803E-8</v>
      </c>
    </row>
    <row r="156" spans="13:77" x14ac:dyDescent="0.35">
      <c r="M156">
        <v>21999.573084723343</v>
      </c>
      <c r="N156">
        <v>7636.4971395536859</v>
      </c>
      <c r="P156">
        <v>21999.918399828759</v>
      </c>
      <c r="Q156">
        <v>7636.4550092302125</v>
      </c>
      <c r="S156">
        <v>21999.27249236482</v>
      </c>
      <c r="T156">
        <v>7636.6767925359291</v>
      </c>
      <c r="V156">
        <v>21999.968443427759</v>
      </c>
      <c r="W156">
        <v>7636.4484686229016</v>
      </c>
      <c r="Y156">
        <v>22000.025543573458</v>
      </c>
      <c r="Z156">
        <v>7636.4205431969285</v>
      </c>
      <c r="AB156">
        <v>21999.979229741115</v>
      </c>
      <c r="AC156">
        <v>7636.4431619366205</v>
      </c>
      <c r="AE156">
        <v>21999.984727416955</v>
      </c>
      <c r="AF156">
        <v>7636.4404834442657</v>
      </c>
      <c r="AH156">
        <v>21999.950937417965</v>
      </c>
      <c r="AI156">
        <v>7636.4573438707403</v>
      </c>
      <c r="AK156">
        <v>22006.554663802533</v>
      </c>
      <c r="AL156">
        <v>7635.3437560867487</v>
      </c>
      <c r="AZ156">
        <v>49999.998145101214</v>
      </c>
      <c r="BA156">
        <v>8.8814520044246863E-5</v>
      </c>
      <c r="BC156">
        <v>49999.992553252334</v>
      </c>
      <c r="BD156">
        <v>5.2361480276320741E-4</v>
      </c>
      <c r="BF156">
        <v>49999.998891809919</v>
      </c>
      <c r="BG156">
        <v>3.0259228371559987E-5</v>
      </c>
      <c r="BI156">
        <v>49999.991277971058</v>
      </c>
      <c r="BJ156">
        <v>6.2937289389361918E-4</v>
      </c>
      <c r="BL156">
        <v>49999.992409920698</v>
      </c>
      <c r="BM156">
        <v>5.6343921598253741E-4</v>
      </c>
      <c r="BO156">
        <v>49999.991401400621</v>
      </c>
      <c r="BP156">
        <v>6.2421557562962839E-4</v>
      </c>
      <c r="BR156">
        <v>49999.991479995522</v>
      </c>
      <c r="BS156">
        <v>6.2034181239122607E-4</v>
      </c>
      <c r="BU156">
        <v>49999.991157348013</v>
      </c>
      <c r="BV156">
        <v>6.3150919266746406E-4</v>
      </c>
      <c r="BX156">
        <v>49999.999339842856</v>
      </c>
      <c r="BY156">
        <v>2.1046134978070041E-8</v>
      </c>
    </row>
    <row r="157" spans="13:77" x14ac:dyDescent="0.35">
      <c r="M157">
        <v>21999.608523995317</v>
      </c>
      <c r="N157">
        <v>7636.4609890281381</v>
      </c>
      <c r="P157">
        <v>21999.909771705723</v>
      </c>
      <c r="Q157">
        <v>7636.4473629813647</v>
      </c>
      <c r="S157">
        <v>21999.312853834679</v>
      </c>
      <c r="T157">
        <v>7636.6142291085844</v>
      </c>
      <c r="V157">
        <v>21999.953530747389</v>
      </c>
      <c r="W157">
        <v>7636.4449581073595</v>
      </c>
      <c r="Y157">
        <v>22000.008245862962</v>
      </c>
      <c r="Z157">
        <v>7636.4219804208715</v>
      </c>
      <c r="AB157">
        <v>21999.963873895147</v>
      </c>
      <c r="AC157">
        <v>7636.4405864123592</v>
      </c>
      <c r="AE157">
        <v>21999.969139549921</v>
      </c>
      <c r="AF157">
        <v>7636.4383841814324</v>
      </c>
      <c r="AH157">
        <v>21999.93668257918</v>
      </c>
      <c r="AI157">
        <v>7636.4523129404961</v>
      </c>
      <c r="AK157">
        <v>22005.769749565174</v>
      </c>
      <c r="AL157">
        <v>7635.8872202292969</v>
      </c>
      <c r="AZ157">
        <v>49999.998343972169</v>
      </c>
      <c r="BA157">
        <v>7.9521472678868214E-5</v>
      </c>
      <c r="BC157">
        <v>49999.993325081443</v>
      </c>
      <c r="BD157">
        <v>4.6882671240534596E-4</v>
      </c>
      <c r="BF157">
        <v>49999.99901424937</v>
      </c>
      <c r="BG157">
        <v>2.7093074500651291E-5</v>
      </c>
      <c r="BI157">
        <v>49999.992179420333</v>
      </c>
      <c r="BJ157">
        <v>5.6351887283012984E-4</v>
      </c>
      <c r="BL157">
        <v>49999.993191875306</v>
      </c>
      <c r="BM157">
        <v>5.04484124102339E-4</v>
      </c>
      <c r="BO157">
        <v>49999.99228949684</v>
      </c>
      <c r="BP157">
        <v>5.589011874212042E-4</v>
      </c>
      <c r="BR157">
        <v>49999.992359682859</v>
      </c>
      <c r="BS157">
        <v>5.5543275301083361E-4</v>
      </c>
      <c r="BU157">
        <v>49999.99207230848</v>
      </c>
      <c r="BV157">
        <v>5.6543164115030551E-4</v>
      </c>
      <c r="BX157">
        <v>49999.999415644103</v>
      </c>
      <c r="BY157">
        <v>1.8843986924301535E-8</v>
      </c>
    </row>
    <row r="158" spans="13:77" x14ac:dyDescent="0.35">
      <c r="M158">
        <v>21999.646884027552</v>
      </c>
      <c r="N158">
        <v>7636.4281199384777</v>
      </c>
      <c r="P158">
        <v>21999.904279115115</v>
      </c>
      <c r="Q158">
        <v>7636.4391018143542</v>
      </c>
      <c r="S158">
        <v>21999.361544377331</v>
      </c>
      <c r="T158">
        <v>7636.5556424833194</v>
      </c>
      <c r="V158">
        <v>21999.941767683522</v>
      </c>
      <c r="W158">
        <v>7636.4402762302334</v>
      </c>
      <c r="Y158">
        <v>21999.993313030231</v>
      </c>
      <c r="Z158">
        <v>7636.4219973331737</v>
      </c>
      <c r="AB158">
        <v>21999.951518193891</v>
      </c>
      <c r="AC158">
        <v>7636.4367930932585</v>
      </c>
      <c r="AE158">
        <v>21999.956476671417</v>
      </c>
      <c r="AF158">
        <v>7636.4350429618071</v>
      </c>
      <c r="AH158">
        <v>21999.925830222914</v>
      </c>
      <c r="AI158">
        <v>7636.4461810572429</v>
      </c>
      <c r="AK158">
        <v>22004.980254318045</v>
      </c>
      <c r="AL158">
        <v>7636.3609235510467</v>
      </c>
      <c r="AZ158">
        <v>49999.998521484958</v>
      </c>
      <c r="BA158">
        <v>7.1200797100495007E-5</v>
      </c>
      <c r="BC158">
        <v>49999.994016995443</v>
      </c>
      <c r="BD158">
        <v>4.1977133892545025E-4</v>
      </c>
      <c r="BF158">
        <v>49999.999123132824</v>
      </c>
      <c r="BG158">
        <v>2.4258209006069227E-5</v>
      </c>
      <c r="BI158">
        <v>49999.992987830199</v>
      </c>
      <c r="BJ158">
        <v>5.0455544571845624E-4</v>
      </c>
      <c r="BL158">
        <v>49999.993893414765</v>
      </c>
      <c r="BM158">
        <v>4.5169776068769836E-4</v>
      </c>
      <c r="BO158">
        <v>49999.993086001145</v>
      </c>
      <c r="BP158">
        <v>5.004209289744641E-4</v>
      </c>
      <c r="BR158">
        <v>49999.993148679401</v>
      </c>
      <c r="BS158">
        <v>4.9731541203673298E-4</v>
      </c>
      <c r="BU158">
        <v>49999.992892713621</v>
      </c>
      <c r="BV158">
        <v>5.0626807259987439E-4</v>
      </c>
      <c r="BX158">
        <v>49999.999482741587</v>
      </c>
      <c r="BY158">
        <v>1.6872259142280667E-8</v>
      </c>
    </row>
    <row r="159" spans="13:77" x14ac:dyDescent="0.35">
      <c r="M159">
        <v>21999.686941345233</v>
      </c>
      <c r="N159">
        <v>7636.3987326545866</v>
      </c>
      <c r="P159">
        <v>21999.90157626057</v>
      </c>
      <c r="Q159">
        <v>7636.4304871526901</v>
      </c>
      <c r="S159">
        <v>21999.416333433222</v>
      </c>
      <c r="T159">
        <v>7636.5016642626397</v>
      </c>
      <c r="V159">
        <v>21999.932936378842</v>
      </c>
      <c r="W159">
        <v>7636.4346917817111</v>
      </c>
      <c r="Y159">
        <v>21999.980707979783</v>
      </c>
      <c r="Z159">
        <v>7636.4208018000973</v>
      </c>
      <c r="AB159">
        <v>21999.941978979896</v>
      </c>
      <c r="AC159">
        <v>7636.4320391541623</v>
      </c>
      <c r="AE159">
        <v>21999.946572510649</v>
      </c>
      <c r="AF159">
        <v>7636.4307111290018</v>
      </c>
      <c r="AH159">
        <v>21999.918106539633</v>
      </c>
      <c r="AI159">
        <v>7636.4392367522296</v>
      </c>
      <c r="AK159">
        <v>22004.203222385102</v>
      </c>
      <c r="AL159">
        <v>7636.7652619639175</v>
      </c>
      <c r="AZ159">
        <v>49999.998679937475</v>
      </c>
      <c r="BA159">
        <v>6.3750749828877514E-5</v>
      </c>
      <c r="BC159">
        <v>49999.994637259202</v>
      </c>
      <c r="BD159">
        <v>3.7584884293496545E-4</v>
      </c>
      <c r="BF159">
        <v>49999.999219964207</v>
      </c>
      <c r="BG159">
        <v>2.1719967749809444E-5</v>
      </c>
      <c r="BI159">
        <v>49999.993712788433</v>
      </c>
      <c r="BJ159">
        <v>4.5176161930477685E-4</v>
      </c>
      <c r="BL159">
        <v>49999.994522792025</v>
      </c>
      <c r="BM159">
        <v>4.0443466453258018E-4</v>
      </c>
      <c r="BO159">
        <v>49999.993800344077</v>
      </c>
      <c r="BP159">
        <v>4.4805971514240488E-4</v>
      </c>
      <c r="BR159">
        <v>49999.993856318957</v>
      </c>
      <c r="BS159">
        <v>4.4527914201504608E-4</v>
      </c>
      <c r="BU159">
        <v>49999.993628321565</v>
      </c>
      <c r="BV159">
        <v>4.5329504645688748E-4</v>
      </c>
      <c r="BX159">
        <v>49999.999542134705</v>
      </c>
      <c r="BY159">
        <v>1.5106841761874703E-8</v>
      </c>
    </row>
    <row r="160" spans="13:77" x14ac:dyDescent="0.35">
      <c r="M160">
        <v>21999.727616653305</v>
      </c>
      <c r="N160">
        <v>7636.3729259852398</v>
      </c>
      <c r="P160">
        <v>21999.901310201833</v>
      </c>
      <c r="Q160">
        <v>7636.4217494232389</v>
      </c>
      <c r="S160">
        <v>21999.475191036359</v>
      </c>
      <c r="T160">
        <v>7636.4527378971497</v>
      </c>
      <c r="V160">
        <v>21999.926790131049</v>
      </c>
      <c r="W160">
        <v>7636.42845285977</v>
      </c>
      <c r="Y160">
        <v>21999.970350793126</v>
      </c>
      <c r="Z160">
        <v>7636.4185963522823</v>
      </c>
      <c r="AB160">
        <v>21999.935041126806</v>
      </c>
      <c r="AC160">
        <v>7636.4265639841533</v>
      </c>
      <c r="AE160">
        <v>21999.939227976705</v>
      </c>
      <c r="AF160">
        <v>7636.4256237176351</v>
      </c>
      <c r="AH160">
        <v>21999.913212995078</v>
      </c>
      <c r="AI160">
        <v>7636.4317431011614</v>
      </c>
      <c r="AK160">
        <v>22003.452941844851</v>
      </c>
      <c r="AL160">
        <v>7637.1020126511421</v>
      </c>
      <c r="AZ160">
        <v>49999.998821379915</v>
      </c>
      <c r="BA160">
        <v>5.7080233247601655E-5</v>
      </c>
      <c r="BC160">
        <v>49999.995193283939</v>
      </c>
      <c r="BD160">
        <v>3.3652214892216541E-4</v>
      </c>
      <c r="BF160">
        <v>49999.999306080266</v>
      </c>
      <c r="BG160">
        <v>1.9447313653211366E-5</v>
      </c>
      <c r="BI160">
        <v>49999.994362896519</v>
      </c>
      <c r="BJ160">
        <v>4.0449184110077951E-4</v>
      </c>
      <c r="BL160">
        <v>49999.995087415009</v>
      </c>
      <c r="BM160">
        <v>3.6211691192352557E-4</v>
      </c>
      <c r="BO160">
        <v>49999.994440987</v>
      </c>
      <c r="BP160">
        <v>4.0117728334985455E-4</v>
      </c>
      <c r="BR160">
        <v>49999.994490976569</v>
      </c>
      <c r="BS160">
        <v>3.9868765372677134E-4</v>
      </c>
      <c r="BU160">
        <v>49999.994287884969</v>
      </c>
      <c r="BV160">
        <v>4.0586481900211529E-4</v>
      </c>
      <c r="BX160">
        <v>49999.999594708104</v>
      </c>
      <c r="BY160">
        <v>1.3526147633178127E-8</v>
      </c>
    </row>
    <row r="161" spans="13:77" x14ac:dyDescent="0.35">
      <c r="M161">
        <v>21999.767976073304</v>
      </c>
      <c r="N161">
        <v>7636.3507100206762</v>
      </c>
      <c r="P161">
        <v>21999.903129219514</v>
      </c>
      <c r="Q161">
        <v>7636.4130878230299</v>
      </c>
      <c r="S161">
        <v>21999.53630048619</v>
      </c>
      <c r="T161">
        <v>7636.4091370829765</v>
      </c>
      <c r="V161">
        <v>21999.92306273655</v>
      </c>
      <c r="W161">
        <v>7636.4217847597674</v>
      </c>
      <c r="Y161">
        <v>21999.962126663682</v>
      </c>
      <c r="Z161">
        <v>7636.4155747677478</v>
      </c>
      <c r="AB161">
        <v>21999.930467113067</v>
      </c>
      <c r="AC161">
        <v>7636.4205868306044</v>
      </c>
      <c r="AE161">
        <v>21999.934220097883</v>
      </c>
      <c r="AF161">
        <v>7636.4199969711544</v>
      </c>
      <c r="AH161">
        <v>21999.91083614454</v>
      </c>
      <c r="AI161">
        <v>7636.4239360015981</v>
      </c>
      <c r="AK161">
        <v>22002.74105167792</v>
      </c>
      <c r="AL161">
        <v>7637.3740950279835</v>
      </c>
      <c r="AZ161">
        <v>49999.99894764155</v>
      </c>
      <c r="BA161">
        <v>5.1107681680564634E-5</v>
      </c>
      <c r="BC161">
        <v>49999.995691715259</v>
      </c>
      <c r="BD161">
        <v>3.0131037797873783E-4</v>
      </c>
      <c r="BF161">
        <v>49999.999382669186</v>
      </c>
      <c r="BG161">
        <v>1.7412457181898274E-5</v>
      </c>
      <c r="BI161">
        <v>49999.994945870909</v>
      </c>
      <c r="BJ161">
        <v>3.6216810566547713E-4</v>
      </c>
      <c r="BL161">
        <v>49999.995593932901</v>
      </c>
      <c r="BM161">
        <v>3.2422704988070423E-4</v>
      </c>
      <c r="BO161">
        <v>49999.995015521497</v>
      </c>
      <c r="BP161">
        <v>3.5920036456015149E-4</v>
      </c>
      <c r="BR161">
        <v>49999.995060166766</v>
      </c>
      <c r="BS161">
        <v>3.5697123574043345E-4</v>
      </c>
      <c r="BU161">
        <v>49999.99487925446</v>
      </c>
      <c r="BV161">
        <v>3.6339742284352273E-4</v>
      </c>
      <c r="BX161">
        <v>49999.999641244853</v>
      </c>
      <c r="BY161">
        <v>1.2110848363321139E-8</v>
      </c>
    </row>
    <row r="162" spans="13:77" x14ac:dyDescent="0.35">
      <c r="M162">
        <v>21999.807229184415</v>
      </c>
      <c r="N162">
        <v>7636.3320189311025</v>
      </c>
      <c r="P162">
        <v>21999.906689928179</v>
      </c>
      <c r="Q162">
        <v>7636.4046707677853</v>
      </c>
      <c r="S162">
        <v>21999.598064740479</v>
      </c>
      <c r="T162">
        <v>7636.3709849800098</v>
      </c>
      <c r="V162">
        <v>21999.921476868611</v>
      </c>
      <c r="W162">
        <v>7636.4148886462617</v>
      </c>
      <c r="Y162">
        <v>21999.955893391751</v>
      </c>
      <c r="Z162">
        <v>7636.4119193373353</v>
      </c>
      <c r="AB162">
        <v>21999.928005229674</v>
      </c>
      <c r="AC162">
        <v>7636.4143052062755</v>
      </c>
      <c r="AE162">
        <v>21999.931310145559</v>
      </c>
      <c r="AF162">
        <v>7636.4140266132217</v>
      </c>
      <c r="AH162">
        <v>21999.910656317432</v>
      </c>
      <c r="AI162">
        <v>7636.4160232664663</v>
      </c>
      <c r="AK162">
        <v>22002.076688312205</v>
      </c>
      <c r="AL162">
        <v>7637.5853428732244</v>
      </c>
      <c r="AZ162">
        <v>49999.999060354574</v>
      </c>
      <c r="BA162">
        <v>4.5760064023242568E-5</v>
      </c>
      <c r="BC162">
        <v>49999.996138512142</v>
      </c>
      <c r="BD162">
        <v>2.6978296769207972E-4</v>
      </c>
      <c r="BF162">
        <v>49999.999450787131</v>
      </c>
      <c r="BG162">
        <v>1.5590516541052811E-5</v>
      </c>
      <c r="BI162">
        <v>49999.995468633904</v>
      </c>
      <c r="BJ162">
        <v>3.2427288684578151E-4</v>
      </c>
      <c r="BL162">
        <v>49999.996048313667</v>
      </c>
      <c r="BM162">
        <v>2.9030176882828703E-4</v>
      </c>
      <c r="BO162">
        <v>49999.995530758584</v>
      </c>
      <c r="BP162">
        <v>3.2161567343220706E-4</v>
      </c>
      <c r="BR162">
        <v>49999.995570631807</v>
      </c>
      <c r="BS162">
        <v>3.1961978807127891E-4</v>
      </c>
      <c r="BU162">
        <v>49999.995409471405</v>
      </c>
      <c r="BV162">
        <v>3.2537357516591007E-4</v>
      </c>
      <c r="BX162">
        <v>49999.999682438101</v>
      </c>
      <c r="BY162">
        <v>1.0843637972903085E-8</v>
      </c>
    </row>
    <row r="163" spans="13:77" x14ac:dyDescent="0.35">
      <c r="M163">
        <v>21999.844724377956</v>
      </c>
      <c r="N163">
        <v>7636.3167234623033</v>
      </c>
      <c r="P163">
        <v>21999.911663173803</v>
      </c>
      <c r="Q163">
        <v>7636.3966369129175</v>
      </c>
      <c r="S163">
        <v>21999.659107317537</v>
      </c>
      <c r="T163">
        <v>7636.3382737320935</v>
      </c>
      <c r="V163">
        <v>21999.921751457805</v>
      </c>
      <c r="W163">
        <v>7636.4079409199185</v>
      </c>
      <c r="Y163">
        <v>21999.95148834863</v>
      </c>
      <c r="Z163">
        <v>7636.4077987692463</v>
      </c>
      <c r="AB163">
        <v>21999.92739687872</v>
      </c>
      <c r="AC163">
        <v>7636.4078939806241</v>
      </c>
      <c r="AE163">
        <v>21999.930250893736</v>
      </c>
      <c r="AF163">
        <v>7636.4078867980015</v>
      </c>
      <c r="AH163">
        <v>21999.912355157659</v>
      </c>
      <c r="AI163">
        <v>7636.4081844328011</v>
      </c>
      <c r="AK163">
        <v>22001.466662739775</v>
      </c>
      <c r="AL163">
        <v>7637.7402907608057</v>
      </c>
      <c r="AZ163">
        <v>49999.999160975371</v>
      </c>
      <c r="BA163">
        <v>4.0971990733086131E-5</v>
      </c>
      <c r="BC163">
        <v>49999.996539017768</v>
      </c>
      <c r="BD163">
        <v>2.4155440730149123E-4</v>
      </c>
      <c r="BF163">
        <v>49999.999511372953</v>
      </c>
      <c r="BG163">
        <v>1.39592134259568E-5</v>
      </c>
      <c r="BI163">
        <v>49999.995937395222</v>
      </c>
      <c r="BJ163">
        <v>2.9034280955123222E-4</v>
      </c>
      <c r="BL163">
        <v>49999.99645591365</v>
      </c>
      <c r="BM163">
        <v>2.5992623732370827E-4</v>
      </c>
      <c r="BO163">
        <v>49999.995992808806</v>
      </c>
      <c r="BP163">
        <v>2.8796363195157703E-4</v>
      </c>
      <c r="BR163">
        <v>49999.99602842085</v>
      </c>
      <c r="BS163">
        <v>2.8617658476260235E-4</v>
      </c>
      <c r="BU163">
        <v>49999.995884851211</v>
      </c>
      <c r="BV163">
        <v>2.9132832802506359E-4</v>
      </c>
      <c r="BX163">
        <v>49999.99971890141</v>
      </c>
      <c r="BY163">
        <v>9.7090212820868426E-9</v>
      </c>
    </row>
    <row r="164" spans="13:77" x14ac:dyDescent="0.35">
      <c r="M164">
        <v>21999.879942015508</v>
      </c>
      <c r="N164">
        <v>7636.3046429137967</v>
      </c>
      <c r="P164">
        <v>21999.917738771543</v>
      </c>
      <c r="Q164">
        <v>7636.3890966418694</v>
      </c>
      <c r="S164">
        <v>21999.718268494395</v>
      </c>
      <c r="T164">
        <v>7636.310883840235</v>
      </c>
      <c r="V164">
        <v>21999.923608068017</v>
      </c>
      <c r="W164">
        <v>7636.4010931906978</v>
      </c>
      <c r="Y164">
        <v>21999.948734843318</v>
      </c>
      <c r="Z164">
        <v>7636.4033666824234</v>
      </c>
      <c r="AB164">
        <v>21999.928382944778</v>
      </c>
      <c r="AC164">
        <v>7636.4015050738317</v>
      </c>
      <c r="AE164">
        <v>21999.930792990435</v>
      </c>
      <c r="AF164">
        <v>7636.4017296615893</v>
      </c>
      <c r="AH164">
        <v>21999.915622031273</v>
      </c>
      <c r="AI164">
        <v>7636.4005711848222</v>
      </c>
      <c r="AK164">
        <v>22000.915660029968</v>
      </c>
      <c r="AL164">
        <v>7637.8439771656249</v>
      </c>
      <c r="AZ164">
        <v>49999.999250803492</v>
      </c>
      <c r="BA164">
        <v>3.6684914259471918E-5</v>
      </c>
      <c r="BC164">
        <v>49999.996898023084</v>
      </c>
      <c r="BD164">
        <v>2.1627952373999058E-4</v>
      </c>
      <c r="BF164">
        <v>49999.999565261234</v>
      </c>
      <c r="BG164">
        <v>1.2498600607488734E-5</v>
      </c>
      <c r="BI164">
        <v>49999.996357725235</v>
      </c>
      <c r="BJ164">
        <v>2.5996298368144899E-4</v>
      </c>
      <c r="BL164">
        <v>49999.99682154011</v>
      </c>
      <c r="BM164">
        <v>2.327290295711344E-4</v>
      </c>
      <c r="BO164">
        <v>49999.996407154125</v>
      </c>
      <c r="BP164">
        <v>2.5783274978822748E-4</v>
      </c>
      <c r="BR164">
        <v>49999.996438961083</v>
      </c>
      <c r="BS164">
        <v>2.5623268911818407E-4</v>
      </c>
      <c r="BU164">
        <v>49999.996311058028</v>
      </c>
      <c r="BV164">
        <v>2.6084538304229802E-4</v>
      </c>
      <c r="BX164">
        <v>49999.999751177886</v>
      </c>
      <c r="BY164">
        <v>8.6931244387802674E-9</v>
      </c>
    </row>
    <row r="165" spans="13:77" x14ac:dyDescent="0.35">
      <c r="M165">
        <v>21999.91248585446</v>
      </c>
      <c r="N165">
        <v>7636.2955564271642</v>
      </c>
      <c r="P165">
        <v>21999.924629155652</v>
      </c>
      <c r="Q165">
        <v>7636.3821339224169</v>
      </c>
      <c r="S165">
        <v>21999.774597569507</v>
      </c>
      <c r="T165">
        <v>7636.2886030088976</v>
      </c>
      <c r="V165">
        <v>21999.926776283086</v>
      </c>
      <c r="W165">
        <v>7636.394472768985</v>
      </c>
      <c r="Y165">
        <v>21999.947447847364</v>
      </c>
      <c r="Z165">
        <v>7636.3987606336823</v>
      </c>
      <c r="AB165">
        <v>21999.930709242893</v>
      </c>
      <c r="AC165">
        <v>7636.3952676715244</v>
      </c>
      <c r="AE165">
        <v>21999.932690439095</v>
      </c>
      <c r="AF165">
        <v>7636.3956853957297</v>
      </c>
      <c r="AH165">
        <v>21999.920159334582</v>
      </c>
      <c r="AI165">
        <v>7636.3933082924677</v>
      </c>
      <c r="AK165">
        <v>22000.426453791933</v>
      </c>
      <c r="AL165">
        <v>7637.9017659203873</v>
      </c>
      <c r="AZ165">
        <v>49999.999330998558</v>
      </c>
      <c r="BA165">
        <v>3.2846413136204382E-5</v>
      </c>
      <c r="BC165">
        <v>49999.997219823788</v>
      </c>
      <c r="BD165">
        <v>1.936492609197597E-4</v>
      </c>
      <c r="BF165">
        <v>49999.999613193897</v>
      </c>
      <c r="BG165">
        <v>1.1190818021545215E-5</v>
      </c>
      <c r="BI165">
        <v>49999.996734620639</v>
      </c>
      <c r="BJ165">
        <v>2.3276193092178167E-4</v>
      </c>
      <c r="BL165">
        <v>49999.997149507355</v>
      </c>
      <c r="BM165">
        <v>2.0837758369308447E-4</v>
      </c>
      <c r="BO165">
        <v>49999.996778712462</v>
      </c>
      <c r="BP165">
        <v>2.3085459266423451E-4</v>
      </c>
      <c r="BR165">
        <v>49999.996807121533</v>
      </c>
      <c r="BS165">
        <v>2.2942195329553422E-4</v>
      </c>
      <c r="BU165">
        <v>49999.996693171815</v>
      </c>
      <c r="BV165">
        <v>2.3355200097967016E-4</v>
      </c>
      <c r="BX165">
        <v>49999.999779748272</v>
      </c>
      <c r="BY165">
        <v>7.7835252720804239E-9</v>
      </c>
    </row>
    <row r="166" spans="13:77" x14ac:dyDescent="0.35">
      <c r="M166">
        <v>21999.9420731727</v>
      </c>
      <c r="N166">
        <v>7636.2892134517733</v>
      </c>
      <c r="P166">
        <v>21999.932072025334</v>
      </c>
      <c r="Q166">
        <v>7636.3758084384881</v>
      </c>
      <c r="S166">
        <v>21999.827341927357</v>
      </c>
      <c r="T166">
        <v>7636.2711441521169</v>
      </c>
      <c r="V166">
        <v>21999.930998137435</v>
      </c>
      <c r="W166">
        <v>7636.388183588535</v>
      </c>
      <c r="Y166">
        <v>21999.947439053285</v>
      </c>
      <c r="Z166">
        <v>7636.3941016205108</v>
      </c>
      <c r="AB166">
        <v>21999.934131065653</v>
      </c>
      <c r="AC166">
        <v>7636.3892888793871</v>
      </c>
      <c r="AE166">
        <v>21999.935705206779</v>
      </c>
      <c r="AF166">
        <v>7636.3898627657127</v>
      </c>
      <c r="AH166">
        <v>21999.925686753922</v>
      </c>
      <c r="AI166">
        <v>7636.3864949703675</v>
      </c>
      <c r="AK166">
        <v>22000.000128919633</v>
      </c>
      <c r="AL166">
        <v>7637.9191870686445</v>
      </c>
      <c r="AZ166">
        <v>49999.999402595393</v>
      </c>
      <c r="BA166">
        <v>2.9409550982577674E-5</v>
      </c>
      <c r="BC166">
        <v>49999.997508271459</v>
      </c>
      <c r="BD166">
        <v>1.7338690065064953E-4</v>
      </c>
      <c r="BF166">
        <v>49999.999655830514</v>
      </c>
      <c r="BG166">
        <v>1.0019874379894022E-5</v>
      </c>
      <c r="BI166">
        <v>49999.997072563456</v>
      </c>
      <c r="BJ166">
        <v>2.0840704237229523E-4</v>
      </c>
      <c r="BL166">
        <v>49999.997443687185</v>
      </c>
      <c r="BM166">
        <v>1.8657413522429596E-4</v>
      </c>
      <c r="BO166">
        <v>49999.997111895609</v>
      </c>
      <c r="BP166">
        <v>2.0669927720490689E-4</v>
      </c>
      <c r="BR166">
        <v>49999.997137270337</v>
      </c>
      <c r="BS166">
        <v>2.0541654111526429E-4</v>
      </c>
      <c r="BU166">
        <v>49999.997035748478</v>
      </c>
      <c r="BV166">
        <v>2.0911444395041551E-4</v>
      </c>
      <c r="BX166">
        <v>49999.999805038125</v>
      </c>
      <c r="BY166">
        <v>6.9691013965760458E-9</v>
      </c>
    </row>
    <row r="167" spans="13:77" x14ac:dyDescent="0.35">
      <c r="M167">
        <v>21999.968523987838</v>
      </c>
      <c r="N167">
        <v>7636.2853432916081</v>
      </c>
      <c r="P167">
        <v>21999.939832078922</v>
      </c>
      <c r="Q167">
        <v>7636.3701579128983</v>
      </c>
      <c r="S167">
        <v>21999.87593360048</v>
      </c>
      <c r="T167">
        <v>7636.2581623095548</v>
      </c>
      <c r="V167">
        <v>21999.936031639027</v>
      </c>
      <c r="W167">
        <v>7636.3823074787761</v>
      </c>
      <c r="Y167">
        <v>21999.948521259375</v>
      </c>
      <c r="Z167">
        <v>7636.3894940000928</v>
      </c>
      <c r="AB167">
        <v>21999.938416867117</v>
      </c>
      <c r="AC167">
        <v>7636.383654739594</v>
      </c>
      <c r="AE167">
        <v>21999.939610991682</v>
      </c>
      <c r="AF167">
        <v>7636.3843499965906</v>
      </c>
      <c r="AH167">
        <v>21999.93194454243</v>
      </c>
      <c r="AI167">
        <v>7636.3802065674035</v>
      </c>
      <c r="AK167">
        <v>21999.636306758912</v>
      </c>
      <c r="AL167">
        <v>7637.9017975971947</v>
      </c>
      <c r="AZ167">
        <v>49999.999466517438</v>
      </c>
      <c r="BA167">
        <v>2.633230257497798E-5</v>
      </c>
      <c r="BC167">
        <v>49999.997766819411</v>
      </c>
      <c r="BD167">
        <v>1.5524467898148106E-4</v>
      </c>
      <c r="BF167">
        <v>49999.999693757454</v>
      </c>
      <c r="BG167">
        <v>8.9714516320382786E-6</v>
      </c>
      <c r="BI167">
        <v>49999.997375573927</v>
      </c>
      <c r="BJ167">
        <v>1.8660051146630104E-4</v>
      </c>
      <c r="BL167">
        <v>49999.997707554154</v>
      </c>
      <c r="BM167">
        <v>1.6705207610296792E-4</v>
      </c>
      <c r="BO167">
        <v>49999.997410661214</v>
      </c>
      <c r="BP167">
        <v>1.8507143718470386E-4</v>
      </c>
      <c r="BR167">
        <v>49999.997433326193</v>
      </c>
      <c r="BS167">
        <v>1.8392291933983586E-4</v>
      </c>
      <c r="BU167">
        <v>49999.997342873845</v>
      </c>
      <c r="BV167">
        <v>1.8723389453227285E-4</v>
      </c>
      <c r="BX167">
        <v>49999.999827424122</v>
      </c>
      <c r="BY167">
        <v>6.2398942101579625E-9</v>
      </c>
    </row>
    <row r="168" spans="13:77" x14ac:dyDescent="0.35">
      <c r="M168">
        <v>21999.991749727124</v>
      </c>
      <c r="N168">
        <v>7636.2836636700804</v>
      </c>
      <c r="P168">
        <v>21999.947701934056</v>
      </c>
      <c r="Q168">
        <v>7636.3652005448594</v>
      </c>
      <c r="S168">
        <v>21999.919973974225</v>
      </c>
      <c r="T168">
        <v>7636.2492702818581</v>
      </c>
      <c r="V168">
        <v>21999.941653444661</v>
      </c>
      <c r="W168">
        <v>7636.376905708873</v>
      </c>
      <c r="Y168">
        <v>21999.950512088744</v>
      </c>
      <c r="Z168">
        <v>7636.3850257652221</v>
      </c>
      <c r="AB168">
        <v>21999.943351133807</v>
      </c>
      <c r="AC168">
        <v>7636.378431534933</v>
      </c>
      <c r="AE168">
        <v>21999.944196195091</v>
      </c>
      <c r="AF168">
        <v>7636.379215955325</v>
      </c>
      <c r="AH168">
        <v>21999.938695890043</v>
      </c>
      <c r="AI168">
        <v>7636.3744965033811</v>
      </c>
      <c r="AK168">
        <v>21999.333367647832</v>
      </c>
      <c r="AL168">
        <v>7637.855062041157</v>
      </c>
      <c r="AZ168">
        <v>49999.999523588784</v>
      </c>
      <c r="BA168">
        <v>2.3577039971135337E-5</v>
      </c>
      <c r="BC168">
        <v>49999.997998563827</v>
      </c>
      <c r="BD168">
        <v>1.3900075658911551E-4</v>
      </c>
      <c r="BF168">
        <v>49999.999727496041</v>
      </c>
      <c r="BG168">
        <v>8.0327298870894127E-6</v>
      </c>
      <c r="BI168">
        <v>49999.997647258017</v>
      </c>
      <c r="BJ168">
        <v>1.6707569244651211E-4</v>
      </c>
      <c r="BL168">
        <v>49999.997944226234</v>
      </c>
      <c r="BM168">
        <v>1.4957269463750206E-4</v>
      </c>
      <c r="BO168">
        <v>49999.997678559455</v>
      </c>
      <c r="BP168">
        <v>1.6570661184355748E-4</v>
      </c>
      <c r="BR168">
        <v>49999.997698804502</v>
      </c>
      <c r="BS168">
        <v>1.6467826840340036E-4</v>
      </c>
      <c r="BU168">
        <v>49999.997618212103</v>
      </c>
      <c r="BV168">
        <v>1.6764280188295638E-4</v>
      </c>
      <c r="BX168">
        <v>49999.999847239691</v>
      </c>
      <c r="BY168">
        <v>5.5869871223300482E-9</v>
      </c>
    </row>
    <row r="169" spans="13:77" x14ac:dyDescent="0.35">
      <c r="M169">
        <v>22000.011741663409</v>
      </c>
      <c r="N169">
        <v>7636.2838882793112</v>
      </c>
      <c r="P169">
        <v>21999.955502334156</v>
      </c>
      <c r="Q169">
        <v>7636.3609374948937</v>
      </c>
      <c r="S169">
        <v>21999.959217223506</v>
      </c>
      <c r="T169">
        <v>7636.2440528491479</v>
      </c>
      <c r="V169">
        <v>21999.947660756414</v>
      </c>
      <c r="W169">
        <v>7636.3720207316837</v>
      </c>
      <c r="Y169">
        <v>21999.953237063113</v>
      </c>
      <c r="Z169">
        <v>7636.3807691190495</v>
      </c>
      <c r="AB169">
        <v>21999.948736502407</v>
      </c>
      <c r="AC169">
        <v>7636.3736673114008</v>
      </c>
      <c r="AE169">
        <v>21999.949266152813</v>
      </c>
      <c r="AF169">
        <v>7636.3745115609718</v>
      </c>
      <c r="AH169">
        <v>21999.945728470517</v>
      </c>
      <c r="AI169">
        <v>7636.3693983763987</v>
      </c>
      <c r="AK169">
        <v>21999.088666580046</v>
      </c>
      <c r="AL169">
        <v>7637.7842525374317</v>
      </c>
      <c r="AZ169">
        <v>49999.99957454489</v>
      </c>
      <c r="BA169">
        <v>2.1110072403448376E-5</v>
      </c>
      <c r="BC169">
        <v>49999.998206280623</v>
      </c>
      <c r="BD169">
        <v>1.2445650616955985E-4</v>
      </c>
      <c r="BF169">
        <v>49999.999757509766</v>
      </c>
      <c r="BG169">
        <v>7.1922306548279764E-6</v>
      </c>
      <c r="BI169">
        <v>49999.997890850034</v>
      </c>
      <c r="BJ169">
        <v>1.495938398706294E-4</v>
      </c>
      <c r="BL169">
        <v>49999.998156501337</v>
      </c>
      <c r="BM169">
        <v>1.3392225658542857E-4</v>
      </c>
      <c r="BO169">
        <v>49999.997918774905</v>
      </c>
      <c r="BP169">
        <v>1.4836801211029591E-4</v>
      </c>
      <c r="BR169">
        <v>49999.997936858781</v>
      </c>
      <c r="BS169">
        <v>1.4744726870350006E-4</v>
      </c>
      <c r="BU169">
        <v>49999.997865049227</v>
      </c>
      <c r="BV169">
        <v>1.5010161017843093E-4</v>
      </c>
      <c r="BX169">
        <v>49999.99986477998</v>
      </c>
      <c r="BY169">
        <v>5.0023965240211361E-9</v>
      </c>
    </row>
    <row r="170" spans="13:77" x14ac:dyDescent="0.35">
      <c r="M170">
        <v>22000.028559391125</v>
      </c>
      <c r="N170">
        <v>7636.2857333062848</v>
      </c>
      <c r="P170">
        <v>21999.963081741535</v>
      </c>
      <c r="Q170">
        <v>7636.3573553586848</v>
      </c>
      <c r="S170">
        <v>21999.993553010627</v>
      </c>
      <c r="T170">
        <v>7636.2420794857871</v>
      </c>
      <c r="V170">
        <v>21999.953872514132</v>
      </c>
      <c r="W170">
        <v>7636.3676780621445</v>
      </c>
      <c r="Y170">
        <v>21999.956532062206</v>
      </c>
      <c r="Z170">
        <v>7636.3767812929354</v>
      </c>
      <c r="AB170">
        <v>21999.954395190707</v>
      </c>
      <c r="AC170">
        <v>7636.3693935556685</v>
      </c>
      <c r="AE170">
        <v>21999.954644688376</v>
      </c>
      <c r="AF170">
        <v>7636.3702713602306</v>
      </c>
      <c r="AH170">
        <v>21999.952855254032</v>
      </c>
      <c r="AI170">
        <v>7636.3649281722164</v>
      </c>
      <c r="AK170">
        <v>21998.898738511143</v>
      </c>
      <c r="AL170">
        <v>7637.6943675553794</v>
      </c>
      <c r="AZ170">
        <v>49999.999620042108</v>
      </c>
      <c r="BA170">
        <v>1.8901234315284858E-5</v>
      </c>
      <c r="BC170">
        <v>49999.998392458569</v>
      </c>
      <c r="BD170">
        <v>1.1143408366166609E-4</v>
      </c>
      <c r="BF170">
        <v>49999.999784210733</v>
      </c>
      <c r="BG170">
        <v>6.4396764891351027E-6</v>
      </c>
      <c r="BI170">
        <v>49999.998109250861</v>
      </c>
      <c r="BJ170">
        <v>1.3394118927739494E-4</v>
      </c>
      <c r="BL170">
        <v>49999.998346890068</v>
      </c>
      <c r="BM170">
        <v>1.1990939165231352E-4</v>
      </c>
      <c r="BO170">
        <v>49999.998134164103</v>
      </c>
      <c r="BP170">
        <v>1.328436251909109E-4</v>
      </c>
      <c r="BR170">
        <v>49999.998150317864</v>
      </c>
      <c r="BS170">
        <v>1.3201922315776983E-4</v>
      </c>
      <c r="BU170">
        <v>49999.998086331965</v>
      </c>
      <c r="BV170">
        <v>1.3439582936969064E-4</v>
      </c>
      <c r="BX170">
        <v>49999.999880306241</v>
      </c>
      <c r="BY170">
        <v>4.4789741656989673E-9</v>
      </c>
    </row>
    <row r="171" spans="13:77" x14ac:dyDescent="0.35">
      <c r="M171">
        <v>22000.042319575288</v>
      </c>
      <c r="N171">
        <v>7636.2889229506209</v>
      </c>
      <c r="P171">
        <v>21999.970315415467</v>
      </c>
      <c r="Q171">
        <v>7636.3544285802072</v>
      </c>
      <c r="S171">
        <v>22000.022988911049</v>
      </c>
      <c r="T171">
        <v>7636.2429155284408</v>
      </c>
      <c r="V171">
        <v>21999.960129962408</v>
      </c>
      <c r="W171">
        <v>7636.3638882314362</v>
      </c>
      <c r="Y171">
        <v>21999.960245207847</v>
      </c>
      <c r="Z171">
        <v>7636.373105554806</v>
      </c>
      <c r="AB171">
        <v>21999.960169812792</v>
      </c>
      <c r="AC171">
        <v>7636.365626969935</v>
      </c>
      <c r="AE171">
        <v>21999.960175055228</v>
      </c>
      <c r="AF171">
        <v>7636.3665152114418</v>
      </c>
      <c r="AH171">
        <v>21999.959914676248</v>
      </c>
      <c r="AI171">
        <v>7636.3610865148539</v>
      </c>
      <c r="AK171">
        <v>21998.759490557375</v>
      </c>
      <c r="AL171">
        <v>7637.5900682545398</v>
      </c>
      <c r="AZ171">
        <v>49999.999660666224</v>
      </c>
      <c r="BA171">
        <v>1.6923516502845085E-5</v>
      </c>
      <c r="BC171">
        <v>49999.998559328917</v>
      </c>
      <c r="BD171">
        <v>9.977425360467411E-5</v>
      </c>
      <c r="BF171">
        <v>49999.999807965345</v>
      </c>
      <c r="BG171">
        <v>5.765865317542553E-6</v>
      </c>
      <c r="BI171">
        <v>49999.998305062269</v>
      </c>
      <c r="BJ171">
        <v>1.1992634331585065E-4</v>
      </c>
      <c r="BL171">
        <v>49999.998517645188</v>
      </c>
      <c r="BM171">
        <v>1.0736275345310566E-4</v>
      </c>
      <c r="BO171">
        <v>49999.998327289308</v>
      </c>
      <c r="BP171">
        <v>1.1894362211693065E-4</v>
      </c>
      <c r="BR171">
        <v>49999.998341719256</v>
      </c>
      <c r="BS171">
        <v>1.1820548084061863E-4</v>
      </c>
      <c r="BU171">
        <v>49999.998284702808</v>
      </c>
      <c r="BV171">
        <v>1.2033341243960627E-4</v>
      </c>
      <c r="BX171">
        <v>49999.999894049739</v>
      </c>
      <c r="BY171">
        <v>4.0103197500857308E-9</v>
      </c>
    </row>
    <row r="172" spans="13:77" x14ac:dyDescent="0.35">
      <c r="M172">
        <v>22000.0531851667</v>
      </c>
      <c r="N172">
        <v>7636.2931939674145</v>
      </c>
      <c r="P172">
        <v>21999.977104069916</v>
      </c>
      <c r="Q172">
        <v>7636.3521217630041</v>
      </c>
      <c r="S172">
        <v>22000.047632971204</v>
      </c>
      <c r="T172">
        <v>7636.2461317927582</v>
      </c>
      <c r="V172">
        <v>21999.966296672039</v>
      </c>
      <c r="W172">
        <v>7636.3606487652996</v>
      </c>
      <c r="Y172">
        <v>21999.964238218043</v>
      </c>
      <c r="Z172">
        <v>7636.3697723591767</v>
      </c>
      <c r="AB172">
        <v>21999.965923651896</v>
      </c>
      <c r="AC172">
        <v>7636.3623712930876</v>
      </c>
      <c r="AE172">
        <v>21999.965720338001</v>
      </c>
      <c r="AF172">
        <v>7636.3632500262256</v>
      </c>
      <c r="AH172">
        <v>21999.966770254621</v>
      </c>
      <c r="AI172">
        <v>7636.3578609057149</v>
      </c>
      <c r="AK172">
        <v>21998.666379015449</v>
      </c>
      <c r="AL172">
        <v>7637.4756312039226</v>
      </c>
      <c r="AZ172">
        <v>49999.999696940053</v>
      </c>
      <c r="BA172">
        <v>1.5152735852262633E-5</v>
      </c>
      <c r="BC172">
        <v>49999.998708892039</v>
      </c>
      <c r="BD172">
        <v>8.9334442038379867E-5</v>
      </c>
      <c r="BF172">
        <v>49999.999829099412</v>
      </c>
      <c r="BG172">
        <v>5.1625579202283941E-6</v>
      </c>
      <c r="BI172">
        <v>49999.998480617702</v>
      </c>
      <c r="BJ172">
        <v>1.0737793137573288E-4</v>
      </c>
      <c r="BL172">
        <v>49999.998670788031</v>
      </c>
      <c r="BM172">
        <v>9.6128924322262216E-5</v>
      </c>
      <c r="BO172">
        <v>49999.998500448732</v>
      </c>
      <c r="BP172">
        <v>1.0649803655374153E-4</v>
      </c>
      <c r="BR172">
        <v>49999.998513339095</v>
      </c>
      <c r="BS172">
        <v>1.0583713019646226E-4</v>
      </c>
      <c r="BU172">
        <v>49999.998462531345</v>
      </c>
      <c r="BV172">
        <v>1.0774240708927733E-4</v>
      </c>
      <c r="BX172">
        <v>49999.999906215169</v>
      </c>
      <c r="BY172">
        <v>3.5907026706768977E-9</v>
      </c>
    </row>
    <row r="173" spans="13:77" x14ac:dyDescent="0.35">
      <c r="M173">
        <v>22000.06135523854</v>
      </c>
      <c r="N173">
        <v>7636.2982992839006</v>
      </c>
      <c r="P173">
        <v>21999.983372200277</v>
      </c>
      <c r="Q173">
        <v>7636.3503918466349</v>
      </c>
      <c r="S173">
        <v>22000.067676740422</v>
      </c>
      <c r="T173">
        <v>7636.2513126668346</v>
      </c>
      <c r="V173">
        <v>21999.972258095466</v>
      </c>
      <c r="W173">
        <v>7636.3579461419477</v>
      </c>
      <c r="Y173">
        <v>21999.968387280656</v>
      </c>
      <c r="Z173">
        <v>7636.3668005942327</v>
      </c>
      <c r="AB173">
        <v>21999.971540464729</v>
      </c>
      <c r="AC173">
        <v>7636.3596191236293</v>
      </c>
      <c r="AE173">
        <v>21999.971163383798</v>
      </c>
      <c r="AF173">
        <v>7636.3604715242</v>
      </c>
      <c r="AH173">
        <v>21999.973309740963</v>
      </c>
      <c r="AI173">
        <v>7636.3552279065034</v>
      </c>
      <c r="AK173">
        <v>21998.61456975414</v>
      </c>
      <c r="AL173">
        <v>7637.354916041023</v>
      </c>
      <c r="AZ173">
        <v>49999.999729330215</v>
      </c>
      <c r="BA173">
        <v>1.3567239633552539E-5</v>
      </c>
      <c r="BC173">
        <v>49999.998842941284</v>
      </c>
      <c r="BD173">
        <v>7.9986993137083981E-5</v>
      </c>
      <c r="BF173">
        <v>49999.99984790264</v>
      </c>
      <c r="BG173">
        <v>4.6223771825742845E-6</v>
      </c>
      <c r="BI173">
        <v>49999.998638009922</v>
      </c>
      <c r="BJ173">
        <v>9.614251410128978E-5</v>
      </c>
      <c r="BL173">
        <v>49999.998808132208</v>
      </c>
      <c r="BM173">
        <v>8.6070539352984171E-5</v>
      </c>
      <c r="BO173">
        <v>49999.998655703719</v>
      </c>
      <c r="BP173">
        <v>9.5354686485652797E-5</v>
      </c>
      <c r="BR173">
        <v>49999.998667219006</v>
      </c>
      <c r="BS173">
        <v>9.4762933622444503E-5</v>
      </c>
      <c r="BU173">
        <v>49999.998621942432</v>
      </c>
      <c r="BV173">
        <v>9.6468853139034474E-5</v>
      </c>
      <c r="BX173">
        <v>49999.999916983732</v>
      </c>
      <c r="BY173">
        <v>3.2149919390981265E-9</v>
      </c>
    </row>
    <row r="174" spans="13:77" x14ac:dyDescent="0.35">
      <c r="M174">
        <v>22000.067055563984</v>
      </c>
      <c r="N174">
        <v>7636.3040107507359</v>
      </c>
      <c r="P174">
        <v>21999.989066162416</v>
      </c>
      <c r="Q174">
        <v>7636.3491901229363</v>
      </c>
      <c r="S174">
        <v>22000.083379059204</v>
      </c>
      <c r="T174">
        <v>7636.2580627370025</v>
      </c>
      <c r="V174">
        <v>21999.977920733738</v>
      </c>
      <c r="W174">
        <v>7636.3557576919802</v>
      </c>
      <c r="Y174">
        <v>21999.972583499031</v>
      </c>
      <c r="Z174">
        <v>7636.3641988858708</v>
      </c>
      <c r="AB174">
        <v>21999.976923890026</v>
      </c>
      <c r="AC174">
        <v>7636.3573537063212</v>
      </c>
      <c r="AE174">
        <v>21999.976406333852</v>
      </c>
      <c r="AF174">
        <v>7636.3581659624824</v>
      </c>
      <c r="AH174">
        <v>21999.979443895842</v>
      </c>
      <c r="AI174">
        <v>7636.3531552289132</v>
      </c>
      <c r="AK174">
        <v>21998.599081088716</v>
      </c>
      <c r="AL174">
        <v>7637.2313465457237</v>
      </c>
      <c r="AZ174">
        <v>49999.999758253209</v>
      </c>
      <c r="BA174">
        <v>1.2147640735571998E-5</v>
      </c>
      <c r="BC174">
        <v>49999.99896308437</v>
      </c>
      <c r="BD174">
        <v>7.1617608259713162E-5</v>
      </c>
      <c r="BF174">
        <v>49999.999864632628</v>
      </c>
      <c r="BG174">
        <v>4.13871788936516E-6</v>
      </c>
      <c r="BI174">
        <v>49999.998779115784</v>
      </c>
      <c r="BJ174">
        <v>8.6082707165223589E-5</v>
      </c>
      <c r="BL174">
        <v>49999.99893130493</v>
      </c>
      <c r="BM174">
        <v>7.7064606726604917E-5</v>
      </c>
      <c r="BO174">
        <v>49999.99879490312</v>
      </c>
      <c r="BP174">
        <v>8.5377313364376744E-5</v>
      </c>
      <c r="BR174">
        <v>49999.998805190233</v>
      </c>
      <c r="BS174">
        <v>8.4847478165030557E-5</v>
      </c>
      <c r="BU174">
        <v>49999.998764841403</v>
      </c>
      <c r="BV174">
        <v>8.6374899933818042E-5</v>
      </c>
      <c r="BX174">
        <v>49999.999926515819</v>
      </c>
      <c r="BY174">
        <v>2.8785934444664785E-9</v>
      </c>
    </row>
    <row r="175" spans="13:77" x14ac:dyDescent="0.35">
      <c r="M175">
        <v>22000.070530021509</v>
      </c>
      <c r="N175">
        <v>7636.3101210977193</v>
      </c>
      <c r="P175">
        <v>21999.9941520801</v>
      </c>
      <c r="Q175">
        <v>7636.3484640737861</v>
      </c>
      <c r="S175">
        <v>22000.095050828946</v>
      </c>
      <c r="T175">
        <v>7636.2660120237742</v>
      </c>
      <c r="V175">
        <v>21999.983210989223</v>
      </c>
      <c r="W175">
        <v>7636.3540534094109</v>
      </c>
      <c r="Y175">
        <v>21999.976732963045</v>
      </c>
      <c r="Z175">
        <v>7636.3619669233331</v>
      </c>
      <c r="AB175">
        <v>21999.981996531631</v>
      </c>
      <c r="AC175">
        <v>7636.3555506508155</v>
      </c>
      <c r="AE175">
        <v>21999.981369823821</v>
      </c>
      <c r="AF175">
        <v>7636.3563118078155</v>
      </c>
      <c r="AH175">
        <v>21999.985104965632</v>
      </c>
      <c r="AI175">
        <v>7636.3516037014424</v>
      </c>
      <c r="AK175">
        <v>21998.614908745036</v>
      </c>
      <c r="AL175">
        <v>7637.1079035488119</v>
      </c>
      <c r="AZ175">
        <v>49999.999784080777</v>
      </c>
      <c r="BA175">
        <v>1.0876580604499546E-5</v>
      </c>
      <c r="BC175">
        <v>49999.999070762577</v>
      </c>
      <c r="BD175">
        <v>6.4123948329072546E-5</v>
      </c>
      <c r="BF175">
        <v>49999.999879518451</v>
      </c>
      <c r="BG175">
        <v>3.7056659576132815E-6</v>
      </c>
      <c r="BI175">
        <v>49999.998905618471</v>
      </c>
      <c r="BJ175">
        <v>7.7075501360554557E-5</v>
      </c>
      <c r="BL175">
        <v>49999.99904176611</v>
      </c>
      <c r="BM175">
        <v>6.9001003793391584E-5</v>
      </c>
      <c r="BO175">
        <v>49999.998919705147</v>
      </c>
      <c r="BP175">
        <v>7.644391596671941E-5</v>
      </c>
      <c r="BR175">
        <v>49999.998928895271</v>
      </c>
      <c r="BS175">
        <v>7.596951971747792E-5</v>
      </c>
      <c r="BU175">
        <v>49999.998892936725</v>
      </c>
      <c r="BV175">
        <v>7.7337120732853519E-5</v>
      </c>
      <c r="BX175">
        <v>49999.999934953412</v>
      </c>
      <c r="BY175">
        <v>2.5773937775764566E-9</v>
      </c>
    </row>
    <row r="176" spans="13:77" x14ac:dyDescent="0.35">
      <c r="M176">
        <v>22000.072032884738</v>
      </c>
      <c r="N176">
        <v>7636.3164451700159</v>
      </c>
      <c r="P176">
        <v>21999.998613649386</v>
      </c>
      <c r="Q176">
        <v>7636.3481590184365</v>
      </c>
      <c r="S176">
        <v>22000.103040934962</v>
      </c>
      <c r="T176">
        <v>7636.2748199231291</v>
      </c>
      <c r="V176">
        <v>21999.988073773933</v>
      </c>
      <c r="W176">
        <v>7636.3527976492896</v>
      </c>
      <c r="Y176">
        <v>21999.980756499044</v>
      </c>
      <c r="Z176">
        <v>7636.3600967757684</v>
      </c>
      <c r="AB176">
        <v>21999.986698782814</v>
      </c>
      <c r="AC176">
        <v>7636.3541795566225</v>
      </c>
      <c r="AE176">
        <v>21999.985991917925</v>
      </c>
      <c r="AF176">
        <v>7636.3548813250663</v>
      </c>
      <c r="AH176">
        <v>21999.990244937384</v>
      </c>
      <c r="AI176">
        <v>7636.3505290905641</v>
      </c>
      <c r="AK176">
        <v>21998.657132950695</v>
      </c>
      <c r="AL176">
        <v>7636.9871280810084</v>
      </c>
      <c r="AZ176">
        <v>49999.999807144748</v>
      </c>
      <c r="BA176">
        <v>9.7385169870921783E-6</v>
      </c>
      <c r="BC176">
        <v>49999.999167267961</v>
      </c>
      <c r="BD176">
        <v>5.7414382450356489E-5</v>
      </c>
      <c r="BF176">
        <v>49999.99989276383</v>
      </c>
      <c r="BG176">
        <v>3.3179261204022385E-6</v>
      </c>
      <c r="BI176">
        <v>49999.999019027448</v>
      </c>
      <c r="BJ176">
        <v>6.9010758468757843E-5</v>
      </c>
      <c r="BL176">
        <v>49999.999140825545</v>
      </c>
      <c r="BM176">
        <v>6.1781130515085959E-5</v>
      </c>
      <c r="BO176">
        <v>49999.999031597014</v>
      </c>
      <c r="BP176">
        <v>6.8445258588161395E-5</v>
      </c>
      <c r="BR176">
        <v>49999.999039807291</v>
      </c>
      <c r="BS176">
        <v>6.8020500471297952E-5</v>
      </c>
      <c r="BU176">
        <v>49999.999007760314</v>
      </c>
      <c r="BV176">
        <v>6.9245003472248888E-5</v>
      </c>
      <c r="BX176">
        <v>49999.999942422175</v>
      </c>
      <c r="BY176">
        <v>2.3077099330047331E-9</v>
      </c>
    </row>
    <row r="177" spans="13:77" x14ac:dyDescent="0.35">
      <c r="M177">
        <v>22000.071822027006</v>
      </c>
      <c r="N177">
        <v>7636.3228205247196</v>
      </c>
      <c r="P177">
        <v>22000.002449900559</v>
      </c>
      <c r="Q177">
        <v>7636.3482195641827</v>
      </c>
      <c r="S177">
        <v>22000.10772344553</v>
      </c>
      <c r="T177">
        <v>7636.2841779612108</v>
      </c>
      <c r="V177">
        <v>21999.992470938112</v>
      </c>
      <c r="W177">
        <v>7636.3519506933644</v>
      </c>
      <c r="Y177">
        <v>21999.984589150929</v>
      </c>
      <c r="Z177">
        <v>7636.3585741737625</v>
      </c>
      <c r="AB177">
        <v>21999.990987454119</v>
      </c>
      <c r="AC177">
        <v>7636.3532055244614</v>
      </c>
      <c r="AE177">
        <v>21999.990226837977</v>
      </c>
      <c r="AF177">
        <v>7636.3538420614232</v>
      </c>
      <c r="AH177">
        <v>21999.994833640274</v>
      </c>
      <c r="AI177">
        <v>7636.3498837598645</v>
      </c>
      <c r="AK177">
        <v>21998.721008056684</v>
      </c>
      <c r="AL177">
        <v>7636.8711331901313</v>
      </c>
      <c r="AZ177">
        <v>49999.999827741303</v>
      </c>
      <c r="BA177">
        <v>8.7195338832879297E-6</v>
      </c>
      <c r="BC177">
        <v>49999.99925375879</v>
      </c>
      <c r="BD177">
        <v>5.1406867467240498E-5</v>
      </c>
      <c r="BF177">
        <v>49999.999904549928</v>
      </c>
      <c r="BG177">
        <v>2.9707571774838781E-6</v>
      </c>
      <c r="BI177">
        <v>49999.999120696368</v>
      </c>
      <c r="BJ177">
        <v>6.1789864511897983E-5</v>
      </c>
      <c r="BL177">
        <v>49999.999229658293</v>
      </c>
      <c r="BM177">
        <v>5.5316703803711569E-5</v>
      </c>
      <c r="BO177">
        <v>49999.999131912518</v>
      </c>
      <c r="BP177">
        <v>6.1283535330767538E-5</v>
      </c>
      <c r="BR177">
        <v>49999.999139247571</v>
      </c>
      <c r="BS177">
        <v>6.0903221493351529E-5</v>
      </c>
      <c r="BU177">
        <v>49999.999110685763</v>
      </c>
      <c r="BV177">
        <v>6.199959944580731E-5</v>
      </c>
      <c r="BX177">
        <v>49999.999949033358</v>
      </c>
      <c r="BY177">
        <v>2.0662442741014083E-9</v>
      </c>
    </row>
    <row r="178" spans="13:77" x14ac:dyDescent="0.35">
      <c r="M178">
        <v>22000.070153047436</v>
      </c>
      <c r="N178">
        <v>7636.3291074691442</v>
      </c>
      <c r="P178">
        <v>22000.005672970281</v>
      </c>
      <c r="Q178">
        <v>7636.3485908591356</v>
      </c>
      <c r="S178">
        <v>22000.109486165289</v>
      </c>
      <c r="T178">
        <v>7636.293811479246</v>
      </c>
      <c r="V178">
        <v>21999.996379578039</v>
      </c>
      <c r="W178">
        <v>7636.3514701706599</v>
      </c>
      <c r="Y178">
        <v>21999.988179442549</v>
      </c>
      <c r="Z178">
        <v>7636.3573797344061</v>
      </c>
      <c r="AB178">
        <v>21999.994834262037</v>
      </c>
      <c r="AC178">
        <v>7636.3525905393071</v>
      </c>
      <c r="AE178">
        <v>21999.994043543786</v>
      </c>
      <c r="AF178">
        <v>7636.353158210818</v>
      </c>
      <c r="AH178">
        <v>21999.99885675549</v>
      </c>
      <c r="AI178">
        <v>7636.3496181564924</v>
      </c>
      <c r="AK178">
        <v>21998.802035396471</v>
      </c>
      <c r="AL178">
        <v>7636.7616229055366</v>
      </c>
      <c r="AZ178">
        <v>49999.999846134837</v>
      </c>
      <c r="BA178">
        <v>7.8071713842930454E-6</v>
      </c>
      <c r="BC178">
        <v>49999.999331273379</v>
      </c>
      <c r="BD178">
        <v>4.6027944754963712E-5</v>
      </c>
      <c r="BF178">
        <v>49999.999915037857</v>
      </c>
      <c r="BG178">
        <v>2.6599140208858895E-6</v>
      </c>
      <c r="BI178">
        <v>49999.999211839124</v>
      </c>
      <c r="BJ178">
        <v>5.5324523920957041E-5</v>
      </c>
      <c r="BL178">
        <v>49999.99930931854</v>
      </c>
      <c r="BM178">
        <v>4.9528678014033857E-5</v>
      </c>
      <c r="BO178">
        <v>49999.999221847866</v>
      </c>
      <c r="BP178">
        <v>5.4871174152566198E-5</v>
      </c>
      <c r="BR178">
        <v>49999.999228401124</v>
      </c>
      <c r="BS178">
        <v>5.4530654197078712E-5</v>
      </c>
      <c r="BU178">
        <v>49999.999202944666</v>
      </c>
      <c r="BV178">
        <v>5.5512313380353378E-5</v>
      </c>
      <c r="BX178">
        <v>49999.999954885432</v>
      </c>
      <c r="BY178">
        <v>1.8500442101891546E-9</v>
      </c>
    </row>
    <row r="179" spans="13:77" x14ac:dyDescent="0.35">
      <c r="M179">
        <v>22000.067274305231</v>
      </c>
      <c r="N179">
        <v>7636.3351886218697</v>
      </c>
      <c r="P179">
        <v>22000.008305928586</v>
      </c>
      <c r="Q179">
        <v>7636.3492196501156</v>
      </c>
      <c r="S179">
        <v>22000.108720581778</v>
      </c>
      <c r="T179">
        <v>7636.3034803705405</v>
      </c>
      <c r="V179">
        <v>21999.999790275826</v>
      </c>
      <c r="W179">
        <v>7636.3513123247949</v>
      </c>
      <c r="Y179">
        <v>21999.991488468764</v>
      </c>
      <c r="Z179">
        <v>7636.356490112782</v>
      </c>
      <c r="AB179">
        <v>21999.998224230181</v>
      </c>
      <c r="AC179">
        <v>7636.3522947152833</v>
      </c>
      <c r="AE179">
        <v>21999.997424216115</v>
      </c>
      <c r="AF179">
        <v>7636.3527918478403</v>
      </c>
      <c r="AH179">
        <v>22000.002313789202</v>
      </c>
      <c r="AI179">
        <v>7636.3496821194321</v>
      </c>
      <c r="AK179">
        <v>21998.896020333366</v>
      </c>
      <c r="AL179">
        <v>7636.6599169046412</v>
      </c>
      <c r="AZ179">
        <v>49999.999862561359</v>
      </c>
      <c r="BA179">
        <v>6.990273315448684E-6</v>
      </c>
      <c r="BC179">
        <v>49999.999400742483</v>
      </c>
      <c r="BD179">
        <v>4.1211841983368663E-5</v>
      </c>
      <c r="BF179">
        <v>49999.99992437091</v>
      </c>
      <c r="BG179">
        <v>2.3815957266312248E-6</v>
      </c>
      <c r="BI179">
        <v>49999.999293544271</v>
      </c>
      <c r="BJ179">
        <v>4.9535679875657521E-5</v>
      </c>
      <c r="BL179">
        <v>49999.999380751979</v>
      </c>
      <c r="BM179">
        <v>4.4346278389649277E-5</v>
      </c>
      <c r="BO179">
        <v>49999.999302475822</v>
      </c>
      <c r="BP179">
        <v>4.9129766054523584E-5</v>
      </c>
      <c r="BR179">
        <v>49999.999308330727</v>
      </c>
      <c r="BS179">
        <v>4.8824876174741435E-5</v>
      </c>
      <c r="BU179">
        <v>49999.999285641279</v>
      </c>
      <c r="BV179">
        <v>4.9703820110824589E-5</v>
      </c>
      <c r="BX179">
        <v>49999.999960065557</v>
      </c>
      <c r="BY179">
        <v>1.656466092911496E-9</v>
      </c>
    </row>
    <row r="180" spans="13:77" x14ac:dyDescent="0.35">
      <c r="M180">
        <v>22000.063422831983</v>
      </c>
      <c r="N180">
        <v>7636.3409680756013</v>
      </c>
      <c r="P180">
        <v>22000.010380697804</v>
      </c>
      <c r="Q180">
        <v>7636.3500551523321</v>
      </c>
      <c r="S180">
        <v>22000.105813209277</v>
      </c>
      <c r="T180">
        <v>7636.3129789932118</v>
      </c>
      <c r="V180">
        <v>22000.002705317675</v>
      </c>
      <c r="W180">
        <v>7636.3514331242377</v>
      </c>
      <c r="Y180">
        <v>21999.994488859145</v>
      </c>
      <c r="Z180">
        <v>7636.3558790667785</v>
      </c>
      <c r="AB180">
        <v>22000.001154048976</v>
      </c>
      <c r="AC180">
        <v>7636.3522773968416</v>
      </c>
      <c r="AE180">
        <v>22000.000362687944</v>
      </c>
      <c r="AF180">
        <v>7636.3527040246972</v>
      </c>
      <c r="AH180">
        <v>22000.005216056088</v>
      </c>
      <c r="AI180">
        <v>7636.3500260085939</v>
      </c>
      <c r="AK180">
        <v>21998.999114635066</v>
      </c>
      <c r="AL180">
        <v>7636.5669795309741</v>
      </c>
      <c r="AZ180">
        <v>49999.999877231559</v>
      </c>
      <c r="BA180">
        <v>6.2588508208854614E-6</v>
      </c>
      <c r="BC180">
        <v>49999.999463000451</v>
      </c>
      <c r="BD180">
        <v>3.6899668866421546E-5</v>
      </c>
      <c r="BF180">
        <v>49999.999932676525</v>
      </c>
      <c r="BG180">
        <v>2.1323990778457184E-6</v>
      </c>
      <c r="BI180">
        <v>49999.999366787932</v>
      </c>
      <c r="BJ180">
        <v>4.4352547613888146E-5</v>
      </c>
      <c r="BL180">
        <v>49999.999444806977</v>
      </c>
      <c r="BM180">
        <v>3.9706135643859069E-5</v>
      </c>
      <c r="BO180">
        <v>49999.999374758438</v>
      </c>
      <c r="BP180">
        <v>4.398910631140315E-5</v>
      </c>
      <c r="BR180">
        <v>49999.999379989516</v>
      </c>
      <c r="BS180">
        <v>4.3716118378226715E-5</v>
      </c>
      <c r="BU180">
        <v>49999.999359765687</v>
      </c>
      <c r="BV180">
        <v>4.4503094608424052E-5</v>
      </c>
      <c r="BX180">
        <v>49999.999964650888</v>
      </c>
      <c r="BY180">
        <v>1.4831428902623616E-9</v>
      </c>
    </row>
    <row r="181" spans="13:77" x14ac:dyDescent="0.35">
      <c r="M181">
        <v>22000.058821078048</v>
      </c>
      <c r="N181">
        <v>7636.3463702375539</v>
      </c>
      <c r="P181">
        <v>22000.011936092997</v>
      </c>
      <c r="Q181">
        <v>7636.3510497403886</v>
      </c>
      <c r="S181">
        <v>22000.10113830465</v>
      </c>
      <c r="T181">
        <v>7636.3221353812496</v>
      </c>
      <c r="V181">
        <v>22000.005136930675</v>
      </c>
      <c r="W181">
        <v>7636.3517892155014</v>
      </c>
      <c r="Y181">
        <v>21999.99716365444</v>
      </c>
      <c r="Z181">
        <v>7636.3555184258712</v>
      </c>
      <c r="AB181">
        <v>22000.003630433937</v>
      </c>
      <c r="AC181">
        <v>7636.3524981144601</v>
      </c>
      <c r="AE181">
        <v>22000.002862864119</v>
      </c>
      <c r="AF181">
        <v>7636.3528557285617</v>
      </c>
      <c r="AH181">
        <v>22000.00758471365</v>
      </c>
      <c r="AI181">
        <v>7636.3506016575811</v>
      </c>
      <c r="AK181">
        <v>21999.107845451123</v>
      </c>
      <c r="AL181">
        <v>7636.4834519219266</v>
      </c>
      <c r="AZ181">
        <v>49999.999890333522</v>
      </c>
      <c r="BA181">
        <v>5.6039602219071203E-6</v>
      </c>
      <c r="BC181">
        <v>49999.999518795194</v>
      </c>
      <c r="BD181">
        <v>3.3038697063988383E-5</v>
      </c>
      <c r="BF181">
        <v>49999.999940068054</v>
      </c>
      <c r="BG181">
        <v>1.9092769509441827E-6</v>
      </c>
      <c r="BI181">
        <v>49999.999432445395</v>
      </c>
      <c r="BJ181">
        <v>3.9711748890216306E-5</v>
      </c>
      <c r="BL181">
        <v>49999.999502244551</v>
      </c>
      <c r="BM181">
        <v>3.5551511093143799E-5</v>
      </c>
      <c r="BO181">
        <v>49999.999439558458</v>
      </c>
      <c r="BP181">
        <v>3.9386336022856118E-5</v>
      </c>
      <c r="BR181">
        <v>49999.999444232271</v>
      </c>
      <c r="BS181">
        <v>3.9141911997511537E-5</v>
      </c>
      <c r="BU181">
        <v>49999.999426205562</v>
      </c>
      <c r="BV181">
        <v>3.9846543501194927E-5</v>
      </c>
      <c r="BX181">
        <v>49999.999968709722</v>
      </c>
      <c r="BY181">
        <v>1.3279552430217534E-9</v>
      </c>
    </row>
    <row r="182" spans="13:77" x14ac:dyDescent="0.35">
      <c r="M182">
        <v>22000.053674438193</v>
      </c>
      <c r="N182">
        <v>7636.3513384186663</v>
      </c>
      <c r="P182">
        <v>22000.013016006786</v>
      </c>
      <c r="Q182">
        <v>7636.3521594724934</v>
      </c>
      <c r="S182">
        <v>22000.09505190506</v>
      </c>
      <c r="T182">
        <v>7636.3308098731068</v>
      </c>
      <c r="V182">
        <v>22000.007105571996</v>
      </c>
      <c r="W182">
        <v>7636.3523387225496</v>
      </c>
      <c r="Y182">
        <v>21999.999505131906</v>
      </c>
      <c r="Z182">
        <v>7636.3553789578564</v>
      </c>
      <c r="AB182">
        <v>22000.005668516795</v>
      </c>
      <c r="AC182">
        <v>7636.3529173963898</v>
      </c>
      <c r="AE182">
        <v>22000.004937163885</v>
      </c>
      <c r="AF182">
        <v>7636.3532086999194</v>
      </c>
      <c r="AH182">
        <v>22000.009448880646</v>
      </c>
      <c r="AI182">
        <v>7636.3513631562364</v>
      </c>
      <c r="AK182">
        <v>21999.219132259128</v>
      </c>
      <c r="AL182">
        <v>7636.4096861228181</v>
      </c>
      <c r="AZ182">
        <v>49999.999902035153</v>
      </c>
      <c r="BA182">
        <v>5.0175936555809414E-6</v>
      </c>
      <c r="BC182">
        <v>49999.999568797117</v>
      </c>
      <c r="BD182">
        <v>2.9581715430642229E-5</v>
      </c>
      <c r="BF182">
        <v>49999.999946646305</v>
      </c>
      <c r="BG182">
        <v>1.709501056049974E-6</v>
      </c>
      <c r="BI182">
        <v>49999.999491301533</v>
      </c>
      <c r="BJ182">
        <v>3.5556536999806238E-5</v>
      </c>
      <c r="BL182">
        <v>49999.999553747359</v>
      </c>
      <c r="BM182">
        <v>3.1831602868317205E-5</v>
      </c>
      <c r="BO182">
        <v>49999.999497649565</v>
      </c>
      <c r="BP182">
        <v>3.5265173487789383E-5</v>
      </c>
      <c r="BR182">
        <v>49999.999501825558</v>
      </c>
      <c r="BS182">
        <v>3.5046324604977978E-5</v>
      </c>
      <c r="BU182">
        <v>49999.999485756773</v>
      </c>
      <c r="BV182">
        <v>3.5677227467410858E-5</v>
      </c>
      <c r="BX182">
        <v>49999.999972302518</v>
      </c>
      <c r="BY182">
        <v>1.1890055496817249E-9</v>
      </c>
    </row>
    <row r="183" spans="13:77" x14ac:dyDescent="0.35">
      <c r="M183">
        <v>22000.048169493555</v>
      </c>
      <c r="N183">
        <v>7636.3558332377143</v>
      </c>
      <c r="P183">
        <v>22000.013667755007</v>
      </c>
      <c r="Q183">
        <v>7636.353344461455</v>
      </c>
      <c r="S183">
        <v>22000.087887117417</v>
      </c>
      <c r="T183">
        <v>7636.3388932716098</v>
      </c>
      <c r="V183">
        <v>22000.008638298255</v>
      </c>
      <c r="W183">
        <v>7636.3530418983783</v>
      </c>
      <c r="Y183">
        <v>22000.001513611376</v>
      </c>
      <c r="Z183">
        <v>7636.355431130537</v>
      </c>
      <c r="AB183">
        <v>22000.007290297966</v>
      </c>
      <c r="AC183">
        <v>7636.3534974407112</v>
      </c>
      <c r="AE183">
        <v>22000.00660501522</v>
      </c>
      <c r="AF183">
        <v>7636.3537261153306</v>
      </c>
      <c r="AH183">
        <v>22000.010843866276</v>
      </c>
      <c r="AI183">
        <v>7636.3522674716869</v>
      </c>
      <c r="AK183">
        <v>21999.330293193976</v>
      </c>
      <c r="AL183">
        <v>7636.3457801881641</v>
      </c>
      <c r="AZ183">
        <v>49999.999912486361</v>
      </c>
      <c r="BA183">
        <v>4.4925811562862961E-6</v>
      </c>
      <c r="BC183">
        <v>49999.99961360715</v>
      </c>
      <c r="BD183">
        <v>2.6486452727607597E-5</v>
      </c>
      <c r="BF183">
        <v>49999.999952500955</v>
      </c>
      <c r="BG183">
        <v>1.5306285760456995E-6</v>
      </c>
      <c r="BI183">
        <v>49999.999544060105</v>
      </c>
      <c r="BJ183">
        <v>3.1836102891481364E-5</v>
      </c>
      <c r="BL183">
        <v>49999.999599927745</v>
      </c>
      <c r="BM183">
        <v>2.8500924719842164E-5</v>
      </c>
      <c r="BO183">
        <v>49999.999549725537</v>
      </c>
      <c r="BP183">
        <v>3.157522600340142E-5</v>
      </c>
      <c r="BR183">
        <v>49999.999553456808</v>
      </c>
      <c r="BS183">
        <v>3.137927622529543E-5</v>
      </c>
      <c r="BU183">
        <v>49999.999539132848</v>
      </c>
      <c r="BV183">
        <v>3.1944164993354785E-5</v>
      </c>
      <c r="BX183">
        <v>49999.99997548278</v>
      </c>
      <c r="BY183">
        <v>1.0645947629786173E-9</v>
      </c>
    </row>
    <row r="184" spans="13:77" x14ac:dyDescent="0.35">
      <c r="M184">
        <v>22000.042472901383</v>
      </c>
      <c r="N184">
        <v>7636.3598309005356</v>
      </c>
      <c r="P184">
        <v>22000.013940593908</v>
      </c>
      <c r="Q184">
        <v>7636.3545691072331</v>
      </c>
      <c r="S184">
        <v>22000.079950573738</v>
      </c>
      <c r="T184">
        <v>7636.3463046420256</v>
      </c>
      <c r="V184">
        <v>22000.009767237108</v>
      </c>
      <c r="W184">
        <v>7636.3538616369397</v>
      </c>
      <c r="Y184">
        <v>22000.003196269587</v>
      </c>
      <c r="Z184">
        <v>7636.3556457679661</v>
      </c>
      <c r="AB184">
        <v>22000.008523183507</v>
      </c>
      <c r="AC184">
        <v>7636.3542026542509</v>
      </c>
      <c r="AE184">
        <v>22000.007891424568</v>
      </c>
      <c r="AF184">
        <v>7636.3543731403306</v>
      </c>
      <c r="AH184">
        <v>22000.011809530653</v>
      </c>
      <c r="AI184">
        <v>7636.3532749187034</v>
      </c>
      <c r="AK184">
        <v>21999.439042186768</v>
      </c>
      <c r="AL184">
        <v>7636.2916133975905</v>
      </c>
      <c r="AZ184">
        <v>49999.999921820963</v>
      </c>
      <c r="BA184">
        <v>4.022502982894898E-6</v>
      </c>
      <c r="BC184">
        <v>49999.999653763953</v>
      </c>
      <c r="BD184">
        <v>2.3715060738875737E-5</v>
      </c>
      <c r="BF184">
        <v>49999.999957711778</v>
      </c>
      <c r="BG184">
        <v>1.3704722963243871E-6</v>
      </c>
      <c r="BI184">
        <v>49999.999591352142</v>
      </c>
      <c r="BJ184">
        <v>2.8504953885213564E-5</v>
      </c>
      <c r="BL184">
        <v>49999.99964133498</v>
      </c>
      <c r="BM184">
        <v>2.5518749821460464E-5</v>
      </c>
      <c r="BO184">
        <v>49999.99959640851</v>
      </c>
      <c r="BP184">
        <v>2.8271373673696309E-5</v>
      </c>
      <c r="BR184">
        <v>49999.999599742485</v>
      </c>
      <c r="BS184">
        <v>2.8095926967903316E-5</v>
      </c>
      <c r="BU184">
        <v>49999.999586973492</v>
      </c>
      <c r="BV184">
        <v>2.8601708981968924E-5</v>
      </c>
      <c r="BX184">
        <v>49999.999978297878</v>
      </c>
      <c r="BY184">
        <v>9.5320161430445219E-10</v>
      </c>
    </row>
    <row r="185" spans="13:77" x14ac:dyDescent="0.35">
      <c r="M185">
        <v>22000.036730860604</v>
      </c>
      <c r="N185">
        <v>7636.3633214083484</v>
      </c>
      <c r="P185">
        <v>22000.0138844145</v>
      </c>
      <c r="Q185">
        <v>7636.3558022065135</v>
      </c>
      <c r="S185">
        <v>22000.071519955018</v>
      </c>
      <c r="T185">
        <v>7636.3529888469684</v>
      </c>
      <c r="V185">
        <v>22000.010528177765</v>
      </c>
      <c r="W185">
        <v>7636.3547638552709</v>
      </c>
      <c r="Y185">
        <v>22000.004565986179</v>
      </c>
      <c r="Z185">
        <v>7636.3559946030973</v>
      </c>
      <c r="AB185">
        <v>22000.009398624472</v>
      </c>
      <c r="AC185">
        <v>7636.3550000667055</v>
      </c>
      <c r="AE185">
        <v>22000.00882564062</v>
      </c>
      <c r="AF185">
        <v>7636.3551173600436</v>
      </c>
      <c r="AH185">
        <v>22000.01238879126</v>
      </c>
      <c r="AI185">
        <v>7636.3543494916985</v>
      </c>
      <c r="AK185">
        <v>21999.543478320713</v>
      </c>
      <c r="AL185">
        <v>7636.2468808398535</v>
      </c>
      <c r="AZ185">
        <v>49999.999930158439</v>
      </c>
      <c r="BA185">
        <v>3.601611119537828E-6</v>
      </c>
      <c r="BC185">
        <v>49999.999689750344</v>
      </c>
      <c r="BD185">
        <v>2.1233651471135933E-5</v>
      </c>
      <c r="BF185">
        <v>49999.999962349721</v>
      </c>
      <c r="BG185">
        <v>1.2270738599940048E-6</v>
      </c>
      <c r="BI185">
        <v>49999.999633743457</v>
      </c>
      <c r="BJ185">
        <v>2.5522357397116876E-5</v>
      </c>
      <c r="BL185">
        <v>49999.999678461732</v>
      </c>
      <c r="BM185">
        <v>2.2848612771075996E-5</v>
      </c>
      <c r="BO185">
        <v>49999.999638256355</v>
      </c>
      <c r="BP185">
        <v>2.5313217692805612E-5</v>
      </c>
      <c r="BR185">
        <v>49999.999641235394</v>
      </c>
      <c r="BS185">
        <v>2.5156128734182732E-5</v>
      </c>
      <c r="BU185">
        <v>49999.999629852209</v>
      </c>
      <c r="BV185">
        <v>2.5608988589666644E-5</v>
      </c>
      <c r="BX185">
        <v>49999.99998078974</v>
      </c>
      <c r="BY185">
        <v>8.5346401195797657E-10</v>
      </c>
    </row>
    <row r="186" spans="13:77" x14ac:dyDescent="0.35">
      <c r="M186">
        <v>22000.031069079901</v>
      </c>
      <c r="N186">
        <v>7636.3663067427051</v>
      </c>
      <c r="P186">
        <v>22000.013548615148</v>
      </c>
      <c r="Q186">
        <v>7636.357016955074</v>
      </c>
      <c r="S186">
        <v>22000.062842478306</v>
      </c>
      <c r="T186">
        <v>7636.3589139078167</v>
      </c>
      <c r="V186">
        <v>22000.010959292227</v>
      </c>
      <c r="W186">
        <v>7636.3557177569264</v>
      </c>
      <c r="Y186">
        <v>22000.005640240648</v>
      </c>
      <c r="Z186">
        <v>7636.3564507305791</v>
      </c>
      <c r="AB186">
        <v>22000.009950871867</v>
      </c>
      <c r="AC186">
        <v>7636.3558596296789</v>
      </c>
      <c r="AE186">
        <v>22000.009439926012</v>
      </c>
      <c r="AF186">
        <v>7636.3559290964986</v>
      </c>
      <c r="AH186">
        <v>22000.012626284963</v>
      </c>
      <c r="AI186">
        <v>7636.3554590717713</v>
      </c>
      <c r="AK186">
        <v>21999.642068766032</v>
      </c>
      <c r="AL186">
        <v>7636.211126741222</v>
      </c>
      <c r="AZ186">
        <v>49999.999937605477</v>
      </c>
      <c r="BA186">
        <v>3.2247589900871323E-6</v>
      </c>
      <c r="BC186">
        <v>49999.999721999084</v>
      </c>
      <c r="BD186">
        <v>1.9011882778495084E-5</v>
      </c>
      <c r="BF186">
        <v>49999.999966477895</v>
      </c>
      <c r="BG186">
        <v>1.0986798215056032E-6</v>
      </c>
      <c r="BI186">
        <v>49999.99967174136</v>
      </c>
      <c r="BJ186">
        <v>2.2851842869923384E-5</v>
      </c>
      <c r="BL186">
        <v>49999.999711749908</v>
      </c>
      <c r="BM186">
        <v>2.0457863699456502E-5</v>
      </c>
      <c r="BO186">
        <v>49999.999675769308</v>
      </c>
      <c r="BP186">
        <v>2.2664586356834271E-5</v>
      </c>
      <c r="BR186">
        <v>49999.999678431246</v>
      </c>
      <c r="BS186">
        <v>2.2523934294899616E-5</v>
      </c>
      <c r="BU186">
        <v>49999.999668283162</v>
      </c>
      <c r="BV186">
        <v>2.2929409466195552E-5</v>
      </c>
      <c r="BX186">
        <v>49999.999982995483</v>
      </c>
      <c r="BY186">
        <v>7.6416238577711277E-10</v>
      </c>
    </row>
    <row r="187" spans="13:77" x14ac:dyDescent="0.35">
      <c r="M187">
        <v>22000.025593175273</v>
      </c>
      <c r="N187">
        <v>7636.3687990681365</v>
      </c>
      <c r="P187">
        <v>22000.012981149652</v>
      </c>
      <c r="Q187">
        <v>7636.3581908585948</v>
      </c>
      <c r="S187">
        <v>22000.054134237162</v>
      </c>
      <c r="T187">
        <v>7636.3640682727846</v>
      </c>
      <c r="V187">
        <v>22000.011099994586</v>
      </c>
      <c r="W187">
        <v>7636.3566959886575</v>
      </c>
      <c r="Y187">
        <v>22000.006440075613</v>
      </c>
      <c r="Z187">
        <v>7636.3569889649352</v>
      </c>
      <c r="AB187">
        <v>22000.010215856088</v>
      </c>
      <c r="AC187">
        <v>7636.3567544112993</v>
      </c>
      <c r="AE187">
        <v>22000.00976844662</v>
      </c>
      <c r="AF187">
        <v>7636.356781622696</v>
      </c>
      <c r="AH187">
        <v>22000.012567190541</v>
      </c>
      <c r="AI187">
        <v>7636.356575522821</v>
      </c>
      <c r="AK187">
        <v>21999.733626588873</v>
      </c>
      <c r="AL187">
        <v>7636.1837760321359</v>
      </c>
      <c r="AZ187">
        <v>49999.99994425731</v>
      </c>
      <c r="BA187">
        <v>2.8873385269154076E-6</v>
      </c>
      <c r="BC187">
        <v>49999.999750898074</v>
      </c>
      <c r="BD187">
        <v>1.7022587345087253E-5</v>
      </c>
      <c r="BF187">
        <v>49999.999970152458</v>
      </c>
      <c r="BG187">
        <v>9.8372020589390259E-7</v>
      </c>
      <c r="BI187">
        <v>49999.999705800707</v>
      </c>
      <c r="BJ187">
        <v>2.046075581864521E-5</v>
      </c>
      <c r="BL187">
        <v>49999.99974159585</v>
      </c>
      <c r="BM187">
        <v>1.831726903448384E-5</v>
      </c>
      <c r="BO187">
        <v>49999.99970939591</v>
      </c>
      <c r="BP187">
        <v>2.0293092763840822E-5</v>
      </c>
      <c r="BR187">
        <v>49999.999711774552</v>
      </c>
      <c r="BS187">
        <v>2.016715773501522E-5</v>
      </c>
      <c r="BU187">
        <v>49999.999702727277</v>
      </c>
      <c r="BV187">
        <v>2.0530206286583188E-5</v>
      </c>
      <c r="BX187">
        <v>49999.999984947957</v>
      </c>
      <c r="BY187">
        <v>6.8420477449450594E-10</v>
      </c>
    </row>
    <row r="188" spans="13:77" x14ac:dyDescent="0.35">
      <c r="M188">
        <v>22000.02038942591</v>
      </c>
      <c r="N188">
        <v>7636.370818987155</v>
      </c>
      <c r="P188">
        <v>22000.012227744828</v>
      </c>
      <c r="Q188">
        <v>7636.3593055671963</v>
      </c>
      <c r="S188">
        <v>22000.045580284084</v>
      </c>
      <c r="T188">
        <v>7636.3684580619556</v>
      </c>
      <c r="V188">
        <v>22000.010989941791</v>
      </c>
      <c r="W188">
        <v>7636.3576747027391</v>
      </c>
      <c r="Y188">
        <v>22000.006989138212</v>
      </c>
      <c r="Z188">
        <v>7636.3575861105865</v>
      </c>
      <c r="AB188">
        <v>22000.01023019581</v>
      </c>
      <c r="AC188">
        <v>7636.3576606977049</v>
      </c>
      <c r="AE188">
        <v>22000.009846284196</v>
      </c>
      <c r="AF188">
        <v>7636.35765128411</v>
      </c>
      <c r="AH188">
        <v>22000.012256212576</v>
      </c>
      <c r="AI188">
        <v>7636.3576746910003</v>
      </c>
      <c r="AK188">
        <v>21999.817284645527</v>
      </c>
      <c r="AL188">
        <v>7636.1641637568173</v>
      </c>
      <c r="AZ188">
        <v>49999.999950198981</v>
      </c>
      <c r="BA188">
        <v>2.5852238244233808E-6</v>
      </c>
      <c r="BC188">
        <v>49999.99977679499</v>
      </c>
      <c r="BD188">
        <v>1.5241440488846995E-5</v>
      </c>
      <c r="BF188">
        <v>49999.999973423357</v>
      </c>
      <c r="BG188">
        <v>8.8078931145724668E-7</v>
      </c>
      <c r="BI188">
        <v>49999.999736329322</v>
      </c>
      <c r="BJ188">
        <v>1.8319858538381611E-5</v>
      </c>
      <c r="BL188">
        <v>49999.999768355039</v>
      </c>
      <c r="BM188">
        <v>1.6400654039178006E-5</v>
      </c>
      <c r="BO188">
        <v>49999.999739538354</v>
      </c>
      <c r="BP188">
        <v>1.8169738793595242E-5</v>
      </c>
      <c r="BR188">
        <v>49999.999741663887</v>
      </c>
      <c r="BS188">
        <v>1.8056980891070534E-5</v>
      </c>
      <c r="BU188">
        <v>49999.99973359776</v>
      </c>
      <c r="BV188">
        <v>1.8382042103614707E-5</v>
      </c>
      <c r="BX188">
        <v>49999.999986676245</v>
      </c>
      <c r="BY188">
        <v>6.1261347346751421E-10</v>
      </c>
    </row>
    <row r="189" spans="13:77" x14ac:dyDescent="0.35">
      <c r="M189">
        <v>22000.015525820145</v>
      </c>
      <c r="N189">
        <v>7636.3723938761277</v>
      </c>
      <c r="P189">
        <v>22000.011331278958</v>
      </c>
      <c r="Q189">
        <v>7636.3603466483055</v>
      </c>
      <c r="S189">
        <v>22000.037335344441</v>
      </c>
      <c r="T189">
        <v>7636.3721043497844</v>
      </c>
      <c r="V189">
        <v>22000.010668175866</v>
      </c>
      <c r="W189">
        <v>7636.3586335374848</v>
      </c>
      <c r="Y189">
        <v>22000.007312808029</v>
      </c>
      <c r="Z189">
        <v>7636.3582211510256</v>
      </c>
      <c r="AB189">
        <v>22000.010030337897</v>
      </c>
      <c r="AC189">
        <v>7636.3585580129256</v>
      </c>
      <c r="AE189">
        <v>22000.009708574802</v>
      </c>
      <c r="AF189">
        <v>7636.358517538677</v>
      </c>
      <c r="AH189">
        <v>22000.011736724155</v>
      </c>
      <c r="AI189">
        <v>7636.3587363216884</v>
      </c>
      <c r="AK189">
        <v>21999.892466676527</v>
      </c>
      <c r="AL189">
        <v>7636.1515620331547</v>
      </c>
      <c r="AZ189">
        <v>49999.999955506428</v>
      </c>
      <c r="BA189">
        <v>2.3147206883426711E-6</v>
      </c>
      <c r="BC189">
        <v>49999.99980000146</v>
      </c>
      <c r="BD189">
        <v>1.3646662724418151E-5</v>
      </c>
      <c r="BF189">
        <v>49999.999976335035</v>
      </c>
      <c r="BG189">
        <v>7.8862852113615025E-7</v>
      </c>
      <c r="BI189">
        <v>49999.999763692846</v>
      </c>
      <c r="BJ189">
        <v>1.6402972591806103E-5</v>
      </c>
      <c r="BL189">
        <v>49999.999792346309</v>
      </c>
      <c r="BM189">
        <v>1.4684582752522094E-5</v>
      </c>
      <c r="BO189">
        <v>49999.999766557266</v>
      </c>
      <c r="BP189">
        <v>1.62685605246582E-5</v>
      </c>
      <c r="BR189">
        <v>49999.999768456655</v>
      </c>
      <c r="BS189">
        <v>1.6167600968739836E-5</v>
      </c>
      <c r="BU189">
        <v>49999.999761265055</v>
      </c>
      <c r="BV189">
        <v>1.6458649621804836E-5</v>
      </c>
      <c r="BX189">
        <v>49999.999988206087</v>
      </c>
      <c r="BY189">
        <v>5.4851307951391545E-10</v>
      </c>
    </row>
    <row r="190" spans="13:77" x14ac:dyDescent="0.35">
      <c r="M190">
        <v>22000.011053327304</v>
      </c>
      <c r="N190">
        <v>7636.3735563246573</v>
      </c>
      <c r="P190">
        <v>22000.010331310412</v>
      </c>
      <c r="Q190">
        <v>7636.3613033116062</v>
      </c>
      <c r="S190">
        <v>22000.02952505448</v>
      </c>
      <c r="T190">
        <v>7636.3750405359178</v>
      </c>
      <c r="V190">
        <v>22000.010172404629</v>
      </c>
      <c r="W190">
        <v>7636.35955552834</v>
      </c>
      <c r="Y190">
        <v>22000.007437416945</v>
      </c>
      <c r="Z190">
        <v>7636.3588753650911</v>
      </c>
      <c r="AB190">
        <v>22000.009651826957</v>
      </c>
      <c r="AC190">
        <v>7636.3594290687306</v>
      </c>
      <c r="AE190">
        <v>22000.009389772375</v>
      </c>
      <c r="AF190">
        <v>7636.3593629264005</v>
      </c>
      <c r="AH190">
        <v>22000.011050062825</v>
      </c>
      <c r="AI190">
        <v>7636.3597439077939</v>
      </c>
      <c r="AK190">
        <v>21999.958856609908</v>
      </c>
      <c r="AL190">
        <v>7636.1452043638046</v>
      </c>
      <c r="AZ190">
        <v>49999.999960247449</v>
      </c>
      <c r="BA190">
        <v>2.0725214639132325E-6</v>
      </c>
      <c r="BC190">
        <v>49999.99982079678</v>
      </c>
      <c r="BD190">
        <v>1.2218753448197733E-5</v>
      </c>
      <c r="BF190">
        <v>49999.99997892703</v>
      </c>
      <c r="BG190">
        <v>7.0611091241161724E-7</v>
      </c>
      <c r="BI190">
        <v>49999.999788219095</v>
      </c>
      <c r="BJ190">
        <v>1.4686658704742659E-5</v>
      </c>
      <c r="BL190">
        <v>49999.999813855604</v>
      </c>
      <c r="BM190">
        <v>1.3148071419469444E-5</v>
      </c>
      <c r="BO190">
        <v>49999.999790775975</v>
      </c>
      <c r="BP190">
        <v>1.4566310753013287E-5</v>
      </c>
      <c r="BR190">
        <v>49999.999792473318</v>
      </c>
      <c r="BS190">
        <v>1.447591503169192E-5</v>
      </c>
      <c r="BU190">
        <v>49999.999786061235</v>
      </c>
      <c r="BV190">
        <v>1.4736510006434355E-5</v>
      </c>
      <c r="BX190">
        <v>49999.999989560274</v>
      </c>
      <c r="BY190">
        <v>4.9111978666811882E-10</v>
      </c>
    </row>
    <row r="191" spans="13:77" x14ac:dyDescent="0.35">
      <c r="M191">
        <v>22000.007007335949</v>
      </c>
      <c r="N191">
        <v>7636.3743426956662</v>
      </c>
      <c r="P191">
        <v>22000.009263744203</v>
      </c>
      <c r="Q191">
        <v>7636.3621680988035</v>
      </c>
      <c r="S191">
        <v>22000.022247620982</v>
      </c>
      <c r="T191">
        <v>7636.3773098458914</v>
      </c>
      <c r="V191">
        <v>22000.009538415514</v>
      </c>
      <c r="W191">
        <v>7636.3604269615871</v>
      </c>
      <c r="Y191">
        <v>22000.007389563605</v>
      </c>
      <c r="Z191">
        <v>7636.3595323786039</v>
      </c>
      <c r="AB191">
        <v>22000.009128700698</v>
      </c>
      <c r="AC191">
        <v>7636.360259655733</v>
      </c>
      <c r="AE191">
        <v>22000.008923034427</v>
      </c>
      <c r="AF191">
        <v>7636.36017297951</v>
      </c>
      <c r="AH191">
        <v>22000.010234971996</v>
      </c>
      <c r="AI191">
        <v>7636.3606844826072</v>
      </c>
      <c r="AK191">
        <v>22000.01636697198</v>
      </c>
      <c r="AL191">
        <v>7636.1443071834256</v>
      </c>
      <c r="AZ191">
        <v>49999.99996448258</v>
      </c>
      <c r="BA191">
        <v>1.8556645905839542E-6</v>
      </c>
      <c r="BC191">
        <v>49999.999839431286</v>
      </c>
      <c r="BD191">
        <v>1.0940252489070047E-5</v>
      </c>
      <c r="BF191">
        <v>49999.999981234512</v>
      </c>
      <c r="BG191">
        <v>6.3222747753632358E-7</v>
      </c>
      <c r="BI191">
        <v>49999.999810201974</v>
      </c>
      <c r="BJ191">
        <v>1.3149930155658922E-5</v>
      </c>
      <c r="BL191">
        <v>49999.999833139365</v>
      </c>
      <c r="BM191">
        <v>1.1772331906013637E-5</v>
      </c>
      <c r="BO191">
        <v>49999.999812484391</v>
      </c>
      <c r="BP191">
        <v>1.3042174730154378E-5</v>
      </c>
      <c r="BR191">
        <v>49999.99981400121</v>
      </c>
      <c r="BS191">
        <v>1.2961237503752794E-5</v>
      </c>
      <c r="BU191">
        <v>49999.999808283974</v>
      </c>
      <c r="BV191">
        <v>1.3194565300193111E-5</v>
      </c>
      <c r="BX191">
        <v>49999.999990758974</v>
      </c>
      <c r="BY191">
        <v>4.3973180196865961E-10</v>
      </c>
    </row>
    <row r="192" spans="13:77" x14ac:dyDescent="0.35">
      <c r="M192">
        <v>22000.003409204313</v>
      </c>
      <c r="N192">
        <v>7636.3747918183308</v>
      </c>
      <c r="P192">
        <v>22000.008160623183</v>
      </c>
      <c r="Q192">
        <v>7636.3629365497782</v>
      </c>
      <c r="S192">
        <v>22000.015575806294</v>
      </c>
      <c r="T192">
        <v>7636.3789629944977</v>
      </c>
      <c r="V192">
        <v>22000.008799615145</v>
      </c>
      <c r="W192">
        <v>7636.36123718209</v>
      </c>
      <c r="Y192">
        <v>22000.00719552287</v>
      </c>
      <c r="Z192">
        <v>7636.3601781597754</v>
      </c>
      <c r="AB192">
        <v>22000.008493005156</v>
      </c>
      <c r="AC192">
        <v>7636.3610384866306</v>
      </c>
      <c r="AE192">
        <v>22000.008339724674</v>
      </c>
      <c r="AF192">
        <v>7636.3609360837527</v>
      </c>
      <c r="AH192">
        <v>22000.009327177977</v>
      </c>
      <c r="AI192">
        <v>7636.3615483696158</v>
      </c>
      <c r="AK192">
        <v>22000.065107190792</v>
      </c>
      <c r="AL192">
        <v>7636.1480886009977</v>
      </c>
      <c r="AZ192">
        <v>49999.999968265882</v>
      </c>
      <c r="BA192">
        <v>1.6614983886798384E-6</v>
      </c>
      <c r="BC192">
        <v>49999.999856129332</v>
      </c>
      <c r="BD192">
        <v>9.795526609122281E-6</v>
      </c>
      <c r="BF192">
        <v>49999.999983288777</v>
      </c>
      <c r="BG192">
        <v>5.6607478560257096E-7</v>
      </c>
      <c r="BI192">
        <v>49999.999829904977</v>
      </c>
      <c r="BJ192">
        <v>1.1773996154461593E-5</v>
      </c>
      <c r="BL192">
        <v>49999.999850427586</v>
      </c>
      <c r="BM192">
        <v>1.0540541961853355E-5</v>
      </c>
      <c r="BO192">
        <v>49999.999831942449</v>
      </c>
      <c r="BP192">
        <v>1.1677515644731483E-5</v>
      </c>
      <c r="BR192">
        <v>49999.999833297967</v>
      </c>
      <c r="BS192">
        <v>1.1605047230043916E-5</v>
      </c>
      <c r="BU192">
        <v>49999.999828200118</v>
      </c>
      <c r="BV192">
        <v>1.1813960930918809E-5</v>
      </c>
      <c r="BX192">
        <v>49999.999991820034</v>
      </c>
      <c r="BY192">
        <v>3.9372076408326313E-10</v>
      </c>
    </row>
    <row r="193" spans="13:77" x14ac:dyDescent="0.35">
      <c r="M193">
        <v>22000.000267874326</v>
      </c>
      <c r="N193">
        <v>7636.3749438215027</v>
      </c>
      <c r="P193">
        <v>22000.00705002989</v>
      </c>
      <c r="Q193">
        <v>7636.3636068555325</v>
      </c>
      <c r="S193">
        <v>22000.009559149905</v>
      </c>
      <c r="T193">
        <v>7636.3800560364143</v>
      </c>
      <c r="V193">
        <v>22000.007986685752</v>
      </c>
      <c r="W193">
        <v>7636.3619783658232</v>
      </c>
      <c r="Y193">
        <v>22000.00688074854</v>
      </c>
      <c r="Z193">
        <v>7636.3608009667296</v>
      </c>
      <c r="AB193">
        <v>22000.00777442228</v>
      </c>
      <c r="AC193">
        <v>7636.3617570018459</v>
      </c>
      <c r="AE193">
        <v>22000.007669025752</v>
      </c>
      <c r="AF193">
        <v>7636.3616433008665</v>
      </c>
      <c r="AH193">
        <v>22000.008359091607</v>
      </c>
      <c r="AI193">
        <v>7636.3623289007828</v>
      </c>
      <c r="AK193">
        <v>22000.105352464725</v>
      </c>
      <c r="AL193">
        <v>7636.1557843602177</v>
      </c>
      <c r="AZ193">
        <v>49999.999971645637</v>
      </c>
      <c r="BA193">
        <v>1.4876486352267707E-6</v>
      </c>
      <c r="BC193">
        <v>49999.999871092012</v>
      </c>
      <c r="BD193">
        <v>8.7705783437163208E-6</v>
      </c>
      <c r="BF193">
        <v>49999.999985117676</v>
      </c>
      <c r="BG193">
        <v>5.0684393558139599E-7</v>
      </c>
      <c r="BI193">
        <v>49999.99984756433</v>
      </c>
      <c r="BJ193">
        <v>1.0542032072682368E-5</v>
      </c>
      <c r="BL193">
        <v>49999.999865926511</v>
      </c>
      <c r="BM193">
        <v>9.4376395214712372E-6</v>
      </c>
      <c r="BO193">
        <v>49999.999849383181</v>
      </c>
      <c r="BP193">
        <v>1.0455646735556707E-5</v>
      </c>
      <c r="BR193">
        <v>49999.999850594577</v>
      </c>
      <c r="BS193">
        <v>1.0390761004211362E-5</v>
      </c>
      <c r="BU193">
        <v>49999.999846048879</v>
      </c>
      <c r="BV193">
        <v>1.057781516186887E-5</v>
      </c>
      <c r="BX193">
        <v>49999.999992759258</v>
      </c>
      <c r="BY193">
        <v>3.5252405984024731E-10</v>
      </c>
    </row>
    <row r="194" spans="13:77" x14ac:dyDescent="0.35">
      <c r="M194">
        <v>21999.997581506439</v>
      </c>
      <c r="N194">
        <v>7636.3748391112003</v>
      </c>
      <c r="P194">
        <v>22000.005956084911</v>
      </c>
      <c r="Q194">
        <v>7636.3641795070425</v>
      </c>
      <c r="S194">
        <v>22000.004226345813</v>
      </c>
      <c r="T194">
        <v>7636.3806484212137</v>
      </c>
      <c r="V194">
        <v>22000.007127348461</v>
      </c>
      <c r="W194">
        <v>7636.3626452670405</v>
      </c>
      <c r="Y194">
        <v>22000.006469466007</v>
      </c>
      <c r="Z194">
        <v>7636.3613912552391</v>
      </c>
      <c r="AB194">
        <v>22000.007000001133</v>
      </c>
      <c r="AC194">
        <v>7636.3624091471047</v>
      </c>
      <c r="AE194">
        <v>22000.006937653943</v>
      </c>
      <c r="AF194">
        <v>7636.3622881615938</v>
      </c>
      <c r="AH194">
        <v>22000.007359622334</v>
      </c>
      <c r="AI194">
        <v>7636.3630221137537</v>
      </c>
      <c r="AK194">
        <v>22000.137513758342</v>
      </c>
      <c r="AL194">
        <v>7636.1666610951361</v>
      </c>
      <c r="AZ194">
        <v>49999.999974664941</v>
      </c>
      <c r="BA194">
        <v>1.331989532457927E-6</v>
      </c>
      <c r="BC194">
        <v>49999.99988449955</v>
      </c>
      <c r="BD194">
        <v>7.8528748434526605E-6</v>
      </c>
      <c r="BF194">
        <v>49999.999986745985</v>
      </c>
      <c r="BG194">
        <v>4.5381066525293837E-7</v>
      </c>
      <c r="BI194">
        <v>49999.9998633918</v>
      </c>
      <c r="BJ194">
        <v>9.4389737154764266E-6</v>
      </c>
      <c r="BL194">
        <v>49999.999879821116</v>
      </c>
      <c r="BM194">
        <v>8.4501385283828197E-6</v>
      </c>
      <c r="BO194">
        <v>49999.999865015532</v>
      </c>
      <c r="BP194">
        <v>9.3616272494150609E-6</v>
      </c>
      <c r="BR194">
        <v>49999.999866098151</v>
      </c>
      <c r="BS194">
        <v>9.3035307924834922E-6</v>
      </c>
      <c r="BU194">
        <v>49999.999862044679</v>
      </c>
      <c r="BV194">
        <v>9.471012665410673E-6</v>
      </c>
      <c r="BX194">
        <v>49999.999993590645</v>
      </c>
      <c r="BY194">
        <v>3.1563794471444299E-10</v>
      </c>
    </row>
    <row r="195" spans="13:77" x14ac:dyDescent="0.35">
      <c r="M195">
        <v>21999.995339098336</v>
      </c>
      <c r="N195">
        <v>7636.3745174922542</v>
      </c>
      <c r="P195">
        <v>22000.004899027634</v>
      </c>
      <c r="Q195">
        <v>7636.3646569479088</v>
      </c>
      <c r="S195">
        <v>21999.999587703562</v>
      </c>
      <c r="T195">
        <v>7636.3808012631207</v>
      </c>
      <c r="V195">
        <v>22000.00624622266</v>
      </c>
      <c r="W195">
        <v>7636.3632349490626</v>
      </c>
      <c r="Y195">
        <v>22000.005984350089</v>
      </c>
      <c r="Z195">
        <v>7636.361941554429</v>
      </c>
      <c r="AB195">
        <v>22000.00619398307</v>
      </c>
      <c r="AC195">
        <v>7636.3629911316848</v>
      </c>
      <c r="AE195">
        <v>22000.006169666842</v>
      </c>
      <c r="AF195">
        <v>7636.362866437853</v>
      </c>
      <c r="AH195">
        <v>22000.006354092158</v>
      </c>
      <c r="AI195">
        <v>7636.3636264373599</v>
      </c>
      <c r="AK195">
        <v>22000.162109382036</v>
      </c>
      <c r="AL195">
        <v>7636.1800270028552</v>
      </c>
      <c r="AZ195">
        <v>49999.999977362299</v>
      </c>
      <c r="BA195">
        <v>1.1926177140108576E-6</v>
      </c>
      <c r="BC195">
        <v>49999.999896513458</v>
      </c>
      <c r="BD195">
        <v>7.0311946251414443E-6</v>
      </c>
      <c r="BF195">
        <v>49999.999988195748</v>
      </c>
      <c r="BG195">
        <v>4.0632649508216935E-7</v>
      </c>
      <c r="BI195">
        <v>49999.999877577247</v>
      </c>
      <c r="BJ195">
        <v>8.4513331198338559E-6</v>
      </c>
      <c r="BL195">
        <v>49999.999892277265</v>
      </c>
      <c r="BM195">
        <v>7.5659640304925939E-6</v>
      </c>
      <c r="BO195">
        <v>49999.999879026829</v>
      </c>
      <c r="BP195">
        <v>8.382079748694326E-6</v>
      </c>
      <c r="BR195">
        <v>49999.999879994371</v>
      </c>
      <c r="BS195">
        <v>8.3300621750547537E-6</v>
      </c>
      <c r="BU195">
        <v>49999.999876379719</v>
      </c>
      <c r="BV195">
        <v>8.4800196959918096E-6</v>
      </c>
      <c r="BX195">
        <v>49999.999994326572</v>
      </c>
      <c r="BY195">
        <v>2.8261138314639618E-10</v>
      </c>
    </row>
    <row r="196" spans="13:77" x14ac:dyDescent="0.35">
      <c r="M196">
        <v>21999.993522056287</v>
      </c>
      <c r="N196">
        <v>7636.3740174311824</v>
      </c>
      <c r="P196">
        <v>22000.003895365608</v>
      </c>
      <c r="Q196">
        <v>7636.3650432374397</v>
      </c>
      <c r="S196">
        <v>21999.995637629665</v>
      </c>
      <c r="T196">
        <v>7636.380575829904</v>
      </c>
      <c r="V196">
        <v>22000.005364770292</v>
      </c>
      <c r="W196">
        <v>7636.3637465066577</v>
      </c>
      <c r="Y196">
        <v>22000.005446282245</v>
      </c>
      <c r="Z196">
        <v>7636.3624463177157</v>
      </c>
      <c r="AB196">
        <v>22000.005377710782</v>
      </c>
      <c r="AC196">
        <v>7636.3635011751694</v>
      </c>
      <c r="AE196">
        <v>22000.005386354347</v>
      </c>
      <c r="AF196">
        <v>7636.3633759018421</v>
      </c>
      <c r="AH196">
        <v>22000.005364236567</v>
      </c>
      <c r="AI196">
        <v>7636.3641423736444</v>
      </c>
      <c r="AK196">
        <v>22000.17973851223</v>
      </c>
      <c r="AL196">
        <v>7636.1952400907085</v>
      </c>
      <c r="AZ196">
        <v>49999.999979772088</v>
      </c>
      <c r="BA196">
        <v>1.0678289709685301E-6</v>
      </c>
      <c r="BC196">
        <v>49999.999907278499</v>
      </c>
      <c r="BD196">
        <v>6.295490357883362E-6</v>
      </c>
      <c r="BF196">
        <v>49999.99998948659</v>
      </c>
      <c r="BG196">
        <v>3.6381079874917196E-7</v>
      </c>
      <c r="BI196">
        <v>49999.999890290863</v>
      </c>
      <c r="BJ196">
        <v>7.5670336266227229E-6</v>
      </c>
      <c r="BL196">
        <v>49999.999903443699</v>
      </c>
      <c r="BM196">
        <v>6.7743045301374944E-6</v>
      </c>
      <c r="BO196">
        <v>49999.999891585001</v>
      </c>
      <c r="BP196">
        <v>7.505026534909522E-6</v>
      </c>
      <c r="BR196">
        <v>49999.999892449719</v>
      </c>
      <c r="BS196">
        <v>7.4584517847344591E-6</v>
      </c>
      <c r="BU196">
        <v>49999.999889226281</v>
      </c>
      <c r="BV196">
        <v>7.5927186023637038E-6</v>
      </c>
      <c r="BX196">
        <v>49999.999994977996</v>
      </c>
      <c r="BY196">
        <v>2.5304053337558498E-10</v>
      </c>
    </row>
    <row r="197" spans="13:77" x14ac:dyDescent="0.35">
      <c r="M197">
        <v>21999.992105693549</v>
      </c>
      <c r="N197">
        <v>7636.3733754548794</v>
      </c>
      <c r="P197">
        <v>22000.002958079382</v>
      </c>
      <c r="Q197">
        <v>7636.3653437296352</v>
      </c>
      <c r="S197">
        <v>21999.992357074934</v>
      </c>
      <c r="T197">
        <v>7636.3800322501211</v>
      </c>
      <c r="V197">
        <v>22000.004501313771</v>
      </c>
      <c r="W197">
        <v>7636.364180786999</v>
      </c>
      <c r="Y197">
        <v>22000.004874180548</v>
      </c>
      <c r="Z197">
        <v>7636.3629017557005</v>
      </c>
      <c r="AB197">
        <v>22000.00456961073</v>
      </c>
      <c r="AC197">
        <v>7636.3639392496552</v>
      </c>
      <c r="AE197">
        <v>22000.004606203023</v>
      </c>
      <c r="AF197">
        <v>7636.3638160789906</v>
      </c>
      <c r="AH197">
        <v>22000.004408279678</v>
      </c>
      <c r="AI197">
        <v>7636.3645721835273</v>
      </c>
      <c r="AK197">
        <v>22000.191056916559</v>
      </c>
      <c r="AL197">
        <v>7636.2117141824792</v>
      </c>
      <c r="AZ197">
        <v>49999.999981925015</v>
      </c>
      <c r="BA197">
        <v>9.5609741315529447E-7</v>
      </c>
      <c r="BC197">
        <v>49999.999916924404</v>
      </c>
      <c r="BD197">
        <v>5.6367660064372068E-6</v>
      </c>
      <c r="BF197">
        <v>49999.999990635974</v>
      </c>
      <c r="BG197">
        <v>3.2574370337410204E-7</v>
      </c>
      <c r="BI197">
        <v>49999.999901685223</v>
      </c>
      <c r="BJ197">
        <v>6.7752622097589447E-6</v>
      </c>
      <c r="BL197">
        <v>49999.999913453808</v>
      </c>
      <c r="BM197">
        <v>6.0654797833848848E-6</v>
      </c>
      <c r="BO197">
        <v>49999.999902840616</v>
      </c>
      <c r="BP197">
        <v>6.7197431879427929E-6</v>
      </c>
      <c r="BR197">
        <v>49999.999903613447</v>
      </c>
      <c r="BS197">
        <v>6.6780417550941166E-6</v>
      </c>
      <c r="BU197">
        <v>49999.999900738803</v>
      </c>
      <c r="BV197">
        <v>6.7982596555083981E-6</v>
      </c>
      <c r="BX197">
        <v>49999.999995554623</v>
      </c>
      <c r="BY197">
        <v>2.2656380934936432E-10</v>
      </c>
    </row>
    <row r="198" spans="13:77" x14ac:dyDescent="0.35">
      <c r="M198">
        <v>21999.991060635402</v>
      </c>
      <c r="N198">
        <v>7636.3726256776663</v>
      </c>
      <c r="P198">
        <v>22000.002096870448</v>
      </c>
      <c r="Q198">
        <v>7636.3655647723845</v>
      </c>
      <c r="S198">
        <v>21999.989715902037</v>
      </c>
      <c r="T198">
        <v>7636.3792284334922</v>
      </c>
      <c r="V198">
        <v>22000.003671116378</v>
      </c>
      <c r="W198">
        <v>7636.3645401152016</v>
      </c>
      <c r="Y198">
        <v>22000.004284895305</v>
      </c>
      <c r="Z198">
        <v>7636.3633056571325</v>
      </c>
      <c r="AB198">
        <v>22000.003785238656</v>
      </c>
      <c r="AC198">
        <v>7636.3643068234123</v>
      </c>
      <c r="AE198">
        <v>22000.00384492378</v>
      </c>
      <c r="AF198">
        <v>7636.3641880007763</v>
      </c>
      <c r="AH198">
        <v>22000.003501071176</v>
      </c>
      <c r="AI198">
        <v>7636.3649195820808</v>
      </c>
      <c r="AK198">
        <v>22000.196755063931</v>
      </c>
      <c r="AL198">
        <v>7636.2289228875852</v>
      </c>
      <c r="AZ198">
        <v>49999.999983848487</v>
      </c>
      <c r="BA198">
        <v>8.5605681087651665E-7</v>
      </c>
      <c r="BC198">
        <v>49999.999925567441</v>
      </c>
      <c r="BD198">
        <v>5.0469668296088498E-6</v>
      </c>
      <c r="BF198">
        <v>49999.999991659424</v>
      </c>
      <c r="BG198">
        <v>2.9165973262228899E-7</v>
      </c>
      <c r="BI198">
        <v>49999.999911897103</v>
      </c>
      <c r="BJ198">
        <v>6.0663372568148045E-6</v>
      </c>
      <c r="BL198">
        <v>49999.999922427196</v>
      </c>
      <c r="BM198">
        <v>5.4308224320624634E-6</v>
      </c>
      <c r="BO198">
        <v>49999.999912928652</v>
      </c>
      <c r="BP198">
        <v>6.0166274301070505E-6</v>
      </c>
      <c r="BR198">
        <v>49999.999913619373</v>
      </c>
      <c r="BS198">
        <v>5.9792893983355787E-6</v>
      </c>
      <c r="BU198">
        <v>49999.999911055696</v>
      </c>
      <c r="BV198">
        <v>6.0869283804512409E-6</v>
      </c>
      <c r="BX198">
        <v>49999.999996065038</v>
      </c>
      <c r="BY198">
        <v>2.0285745932571221E-10</v>
      </c>
    </row>
    <row r="199" spans="13:77" x14ac:dyDescent="0.35">
      <c r="M199">
        <v>21999.990354115427</v>
      </c>
      <c r="N199">
        <v>7636.3717994476992</v>
      </c>
      <c r="P199">
        <v>22000.001318440816</v>
      </c>
      <c r="Q199">
        <v>7636.3657134301548</v>
      </c>
      <c r="S199">
        <v>21999.987675135839</v>
      </c>
      <c r="T199">
        <v>7636.3782191955606</v>
      </c>
      <c r="V199">
        <v>22000.00288651427</v>
      </c>
      <c r="W199">
        <v>7636.3648280294556</v>
      </c>
      <c r="Y199">
        <v>22000.003693162853</v>
      </c>
      <c r="Z199">
        <v>7636.3636572033984</v>
      </c>
      <c r="AB199">
        <v>22000.003037377908</v>
      </c>
      <c r="AC199">
        <v>7636.3646066111096</v>
      </c>
      <c r="AE199">
        <v>22000.003115533073</v>
      </c>
      <c r="AF199">
        <v>7636.3644939625538</v>
      </c>
      <c r="AH199">
        <v>22000.002654273132</v>
      </c>
      <c r="AI199">
        <v>7636.3651894483319</v>
      </c>
      <c r="AK199">
        <v>22000.197538723703</v>
      </c>
      <c r="AL199">
        <v>7636.246401749444</v>
      </c>
      <c r="AZ199">
        <v>49999.999985567003</v>
      </c>
      <c r="BA199">
        <v>7.6648388895262893E-7</v>
      </c>
      <c r="BC199">
        <v>49999.999933311803</v>
      </c>
      <c r="BD199">
        <v>4.5188808885849637E-6</v>
      </c>
      <c r="BF199">
        <v>49999.999992570774</v>
      </c>
      <c r="BG199">
        <v>2.6114211495871616E-7</v>
      </c>
      <c r="BI199">
        <v>49999.999921049101</v>
      </c>
      <c r="BJ199">
        <v>5.4315901843149808E-6</v>
      </c>
      <c r="BL199">
        <v>49999.999930471109</v>
      </c>
      <c r="BM199">
        <v>4.8625720211413172E-6</v>
      </c>
      <c r="BO199">
        <v>49999.999921970106</v>
      </c>
      <c r="BP199">
        <v>5.3870817115305093E-6</v>
      </c>
      <c r="BR199">
        <v>49999.999922587449</v>
      </c>
      <c r="BS199">
        <v>5.3536505193281811E-6</v>
      </c>
      <c r="BU199">
        <v>49999.999920301037</v>
      </c>
      <c r="BV199">
        <v>5.4500267697205526E-6</v>
      </c>
      <c r="BX199">
        <v>49999.999996516846</v>
      </c>
      <c r="BY199">
        <v>1.8163160710587165E-10</v>
      </c>
    </row>
    <row r="200" spans="13:77" x14ac:dyDescent="0.35">
      <c r="M200">
        <v>21999.989951152045</v>
      </c>
      <c r="N200">
        <v>7636.3709251025639</v>
      </c>
      <c r="P200">
        <v>22000.000626793779</v>
      </c>
      <c r="Q200">
        <v>7636.3657972324818</v>
      </c>
      <c r="S200">
        <v>21999.986189067076</v>
      </c>
      <c r="T200">
        <v>7636.3770555748251</v>
      </c>
      <c r="V200">
        <v>22000.002157089846</v>
      </c>
      <c r="W200">
        <v>7636.3650490298314</v>
      </c>
      <c r="Y200">
        <v>22000.003111609924</v>
      </c>
      <c r="Z200">
        <v>7636.3639567813379</v>
      </c>
      <c r="AB200">
        <v>22000.002336180853</v>
      </c>
      <c r="AC200">
        <v>7636.3648423348104</v>
      </c>
      <c r="AE200">
        <v>22000.00242847803</v>
      </c>
      <c r="AF200">
        <v>7636.3647372906871</v>
      </c>
      <c r="AH200">
        <v>22000.00187658552</v>
      </c>
      <c r="AI200">
        <v>7636.3653875534719</v>
      </c>
      <c r="AK200">
        <v>22000.194112091322</v>
      </c>
      <c r="AL200">
        <v>7636.2637487952934</v>
      </c>
      <c r="AZ200">
        <v>49999.999987102427</v>
      </c>
      <c r="BA200">
        <v>6.8628336877059216E-7</v>
      </c>
      <c r="BC200">
        <v>49999.999940250877</v>
      </c>
      <c r="BD200">
        <v>4.0460508608760516E-6</v>
      </c>
      <c r="BF200">
        <v>49999.999993382327</v>
      </c>
      <c r="BG200">
        <v>2.3381768745442737E-7</v>
      </c>
      <c r="BI200">
        <v>49999.999929251135</v>
      </c>
      <c r="BJ200">
        <v>4.8632594401366958E-6</v>
      </c>
      <c r="BL200">
        <v>49999.999937681721</v>
      </c>
      <c r="BM200">
        <v>4.3537801055389009E-6</v>
      </c>
      <c r="BO200">
        <v>49999.999930073463</v>
      </c>
      <c r="BP200">
        <v>4.823408081140761E-6</v>
      </c>
      <c r="BR200">
        <v>49999.999930625228</v>
      </c>
      <c r="BS200">
        <v>4.7934749390033311E-6</v>
      </c>
      <c r="BU200">
        <v>49999.999928586039</v>
      </c>
      <c r="BV200">
        <v>4.8797669259573069E-6</v>
      </c>
      <c r="BX200">
        <v>49999.999996916784</v>
      </c>
      <c r="BY200">
        <v>1.6262670748992349E-10</v>
      </c>
    </row>
    <row r="201" spans="13:77" x14ac:dyDescent="0.35">
      <c r="M201">
        <v>21999.989815598514</v>
      </c>
      <c r="N201">
        <v>7636.3700278231154</v>
      </c>
      <c r="P201">
        <v>22000.000023546541</v>
      </c>
      <c r="Q201">
        <v>7636.3658239496835</v>
      </c>
      <c r="S201">
        <v>21999.985207187241</v>
      </c>
      <c r="T201">
        <v>7636.3757843282974</v>
      </c>
      <c r="V201">
        <v>22000.001489876773</v>
      </c>
      <c r="W201">
        <v>7636.3652083439774</v>
      </c>
      <c r="Y201">
        <v>22000.002550801146</v>
      </c>
      <c r="Z201">
        <v>7636.3642057985035</v>
      </c>
      <c r="AB201">
        <v>22000.001689344077</v>
      </c>
      <c r="AC201">
        <v>7636.3650184991247</v>
      </c>
      <c r="AE201">
        <v>22000.001791796531</v>
      </c>
      <c r="AF201">
        <v>7636.3649221224405</v>
      </c>
      <c r="AH201">
        <v>22000.001174000092</v>
      </c>
      <c r="AI201">
        <v>7636.365520310419</v>
      </c>
      <c r="AK201">
        <v>22000.187163419927</v>
      </c>
      <c r="AL201">
        <v>7636.2806237102905</v>
      </c>
      <c r="AZ201">
        <v>49999.999988474294</v>
      </c>
      <c r="BA201">
        <v>6.1447457545015142E-7</v>
      </c>
      <c r="BC201">
        <v>49999.999946468342</v>
      </c>
      <c r="BD201">
        <v>3.6226950815482072E-6</v>
      </c>
      <c r="BF201">
        <v>49999.999994105041</v>
      </c>
      <c r="BG201">
        <v>2.093523328296865E-7</v>
      </c>
      <c r="BI201">
        <v>49999.999936601722</v>
      </c>
      <c r="BJ201">
        <v>4.3543955968975279E-6</v>
      </c>
      <c r="BL201">
        <v>49999.99994414526</v>
      </c>
      <c r="BM201">
        <v>3.898225286007851E-6</v>
      </c>
      <c r="BO201">
        <v>49999.999937335961</v>
      </c>
      <c r="BP201">
        <v>4.3187140577528119E-6</v>
      </c>
      <c r="BR201">
        <v>49999.999937829132</v>
      </c>
      <c r="BS201">
        <v>4.2919129495885225E-6</v>
      </c>
      <c r="BU201">
        <v>49999.999936010376</v>
      </c>
      <c r="BV201">
        <v>4.369175833158919E-6</v>
      </c>
      <c r="BX201">
        <v>49999.999997270796</v>
      </c>
      <c r="BY201">
        <v>1.4561037261335557E-10</v>
      </c>
    </row>
    <row r="202" spans="13:77" x14ac:dyDescent="0.35">
      <c r="M202">
        <v>21999.989911063145</v>
      </c>
      <c r="N202">
        <v>7636.3691295741946</v>
      </c>
      <c r="P202">
        <v>21999.999508246503</v>
      </c>
      <c r="Q202">
        <v>7636.3658013964659</v>
      </c>
      <c r="S202">
        <v>21999.984675939315</v>
      </c>
      <c r="T202">
        <v>7636.374447589772</v>
      </c>
      <c r="V202">
        <v>22000.000889587805</v>
      </c>
      <c r="W202">
        <v>7636.365311712073</v>
      </c>
      <c r="Y202">
        <v>22000.00201932231</v>
      </c>
      <c r="Z202">
        <v>7636.3644065043436</v>
      </c>
      <c r="AB202">
        <v>22000.001102308845</v>
      </c>
      <c r="AC202">
        <v>7636.3651401830957</v>
      </c>
      <c r="AE202">
        <v>22000.001211303748</v>
      </c>
      <c r="AF202">
        <v>7636.3650532013244</v>
      </c>
      <c r="AH202">
        <v>22000.000550073171</v>
      </c>
      <c r="AI202">
        <v>7636.3655945467835</v>
      </c>
      <c r="AK202">
        <v>22000.177353088537</v>
      </c>
      <c r="AL202">
        <v>7636.2967458545736</v>
      </c>
      <c r="AZ202">
        <v>49999.999989700053</v>
      </c>
      <c r="BA202">
        <v>5.5017944636015716E-7</v>
      </c>
      <c r="BC202">
        <v>49999.999952039187</v>
      </c>
      <c r="BD202">
        <v>3.2436368462523885E-6</v>
      </c>
      <c r="BF202">
        <v>49999.999994748658</v>
      </c>
      <c r="BG202">
        <v>1.8744689393902566E-7</v>
      </c>
      <c r="BI202">
        <v>49999.999943189177</v>
      </c>
      <c r="BJ202">
        <v>3.8987763758327717E-6</v>
      </c>
      <c r="BL202">
        <v>49999.999949939047</v>
      </c>
      <c r="BM202">
        <v>3.490337135187348E-6</v>
      </c>
      <c r="BO202">
        <v>49999.999943844778</v>
      </c>
      <c r="BP202">
        <v>3.8668283502725139E-6</v>
      </c>
      <c r="BR202">
        <v>49999.999944285584</v>
      </c>
      <c r="BS202">
        <v>3.8428315578350084E-6</v>
      </c>
      <c r="BU202">
        <v>49999.99994266338</v>
      </c>
      <c r="BV202">
        <v>3.9120100921199108E-6</v>
      </c>
      <c r="BX202">
        <v>49999.999997584164</v>
      </c>
      <c r="BY202">
        <v>1.3037453035774652E-10</v>
      </c>
    </row>
    <row r="203" spans="13:77" x14ac:dyDescent="0.35">
      <c r="M203">
        <v>21999.990201699697</v>
      </c>
      <c r="N203">
        <v>7636.368249120711</v>
      </c>
      <c r="P203">
        <v>21999.999078684061</v>
      </c>
      <c r="Q203">
        <v>7636.3657372633979</v>
      </c>
      <c r="S203">
        <v>21999.984540275051</v>
      </c>
      <c r="T203">
        <v>7636.3730826740521</v>
      </c>
      <c r="V203">
        <v>22000.00035885732</v>
      </c>
      <c r="W203">
        <v>7636.3653651926852</v>
      </c>
      <c r="Y203">
        <v>22000.001523892461</v>
      </c>
      <c r="Z203">
        <v>7636.3645618201472</v>
      </c>
      <c r="AB203">
        <v>22000.000578478914</v>
      </c>
      <c r="AC203">
        <v>7636.3652128506883</v>
      </c>
      <c r="AE203">
        <v>22000.000690797435</v>
      </c>
      <c r="AF203">
        <v>7636.3651356898799</v>
      </c>
      <c r="AH203">
        <v>22000.000006208953</v>
      </c>
      <c r="AI203">
        <v>7636.3656173025256</v>
      </c>
      <c r="AK203">
        <v>22000.165303997055</v>
      </c>
      <c r="AL203">
        <v>7636.3118913339322</v>
      </c>
      <c r="AZ203">
        <v>49999.999990795288</v>
      </c>
      <c r="BA203">
        <v>4.9261179435563881E-7</v>
      </c>
      <c r="BC203">
        <v>49999.999957030625</v>
      </c>
      <c r="BD203">
        <v>2.9042411115835454E-6</v>
      </c>
      <c r="BF203">
        <v>49999.99999532185</v>
      </c>
      <c r="BG203">
        <v>1.6783351574137298E-7</v>
      </c>
      <c r="BI203">
        <v>49999.999949092664</v>
      </c>
      <c r="BJ203">
        <v>3.4908305620921663E-6</v>
      </c>
      <c r="BL203">
        <v>49999.999955132407</v>
      </c>
      <c r="BM203">
        <v>3.125128083600805E-6</v>
      </c>
      <c r="BO203">
        <v>49999.999949678058</v>
      </c>
      <c r="BP203">
        <v>3.4622253964597465E-6</v>
      </c>
      <c r="BR203">
        <v>49999.999950072066</v>
      </c>
      <c r="BS203">
        <v>3.4407394920789384E-6</v>
      </c>
      <c r="BU203">
        <v>49999.999948625133</v>
      </c>
      <c r="BV203">
        <v>3.5026795774723368E-6</v>
      </c>
      <c r="BX203">
        <v>49999.999997861545</v>
      </c>
      <c r="BY203">
        <v>1.1673288008921541E-10</v>
      </c>
    </row>
    <row r="204" spans="13:77" x14ac:dyDescent="0.35">
      <c r="M204">
        <v>21999.990652870598</v>
      </c>
      <c r="N204">
        <v>7636.3674021077104</v>
      </c>
      <c r="P204">
        <v>21999.998731195999</v>
      </c>
      <c r="Q204">
        <v>7636.365638975667</v>
      </c>
      <c r="S204">
        <v>21999.984745014866</v>
      </c>
      <c r="T204">
        <v>7636.3717220097869</v>
      </c>
      <c r="V204">
        <v>21999.999898491387</v>
      </c>
      <c r="W204">
        <v>7636.3653749904852</v>
      </c>
      <c r="Y204">
        <v>22000.001069498267</v>
      </c>
      <c r="Z204">
        <v>7636.3646751799843</v>
      </c>
      <c r="AB204">
        <v>22000.000119448661</v>
      </c>
      <c r="AC204">
        <v>7636.3652421810812</v>
      </c>
      <c r="AE204">
        <v>22000.000232274939</v>
      </c>
      <c r="AF204">
        <v>7636.3651750012159</v>
      </c>
      <c r="AH204">
        <v>21999.999541945897</v>
      </c>
      <c r="AI204">
        <v>7636.3655956528673</v>
      </c>
      <c r="AK204">
        <v>22000.151594146228</v>
      </c>
      <c r="AL204">
        <v>7636.3258893234606</v>
      </c>
      <c r="AZ204">
        <v>49999.999991773911</v>
      </c>
      <c r="BA204">
        <v>4.4106769444877343E-7</v>
      </c>
      <c r="BC204">
        <v>49999.999961502872</v>
      </c>
      <c r="BD204">
        <v>2.6003578187549387E-6</v>
      </c>
      <c r="BF204">
        <v>49999.999995832346</v>
      </c>
      <c r="BG204">
        <v>1.5027237002564962E-7</v>
      </c>
      <c r="BI204">
        <v>49999.999954383136</v>
      </c>
      <c r="BJ204">
        <v>3.1255698811082645E-6</v>
      </c>
      <c r="BL204">
        <v>49999.999959787499</v>
      </c>
      <c r="BM204">
        <v>2.7981324327162187E-6</v>
      </c>
      <c r="BO204">
        <v>49999.999954905856</v>
      </c>
      <c r="BP204">
        <v>3.0999577975272451E-6</v>
      </c>
      <c r="BR204">
        <v>49999.999955258041</v>
      </c>
      <c r="BS204">
        <v>3.0807200561380904E-6</v>
      </c>
      <c r="BU204">
        <v>49999.999953967403</v>
      </c>
      <c r="BV204">
        <v>3.1361790828203246E-6</v>
      </c>
      <c r="BX204">
        <v>49999.99999810708</v>
      </c>
      <c r="BY204">
        <v>1.0451861461394826E-10</v>
      </c>
    </row>
    <row r="205" spans="13:77" x14ac:dyDescent="0.35">
      <c r="M205">
        <v>21999.991231687858</v>
      </c>
      <c r="N205">
        <v>7636.3666011933865</v>
      </c>
      <c r="P205">
        <v>21999.998460954532</v>
      </c>
      <c r="Q205">
        <v>7636.3655135780409</v>
      </c>
      <c r="S205">
        <v>21999.985236011104</v>
      </c>
      <c r="T205">
        <v>7636.370393183458</v>
      </c>
      <c r="V205">
        <v>21999.999507719094</v>
      </c>
      <c r="W205">
        <v>7636.3653473061941</v>
      </c>
      <c r="Y205">
        <v>22000.000659544585</v>
      </c>
      <c r="Z205">
        <v>7636.3647503843413</v>
      </c>
      <c r="AB205">
        <v>21999.999725235284</v>
      </c>
      <c r="AC205">
        <v>7636.3652339193723</v>
      </c>
      <c r="AE205">
        <v>21999.99983615573</v>
      </c>
      <c r="AF205">
        <v>7636.3651766500489</v>
      </c>
      <c r="AH205">
        <v>21999.999155239806</v>
      </c>
      <c r="AI205">
        <v>7636.3655365564382</v>
      </c>
      <c r="AK205">
        <v>22000.136751236088</v>
      </c>
      <c r="AL205">
        <v>7636.3386178298888</v>
      </c>
      <c r="AZ205">
        <v>49999.999992648358</v>
      </c>
      <c r="BA205">
        <v>3.9491687636400742E-7</v>
      </c>
      <c r="BC205">
        <v>49999.999965509909</v>
      </c>
      <c r="BD205">
        <v>2.3282711475615065E-6</v>
      </c>
      <c r="BF205">
        <v>49999.999996287013</v>
      </c>
      <c r="BG205">
        <v>1.3454872284247707E-7</v>
      </c>
      <c r="BI205">
        <v>49999.999959124194</v>
      </c>
      <c r="BJ205">
        <v>2.798528003035032E-6</v>
      </c>
      <c r="BL205">
        <v>49999.999963960057</v>
      </c>
      <c r="BM205">
        <v>2.5053517493337568E-6</v>
      </c>
      <c r="BO205">
        <v>49999.999959590969</v>
      </c>
      <c r="BP205">
        <v>2.7755958223995836E-6</v>
      </c>
      <c r="BR205">
        <v>49999.99995990577</v>
      </c>
      <c r="BS205">
        <v>2.7583710089958037E-6</v>
      </c>
      <c r="BU205">
        <v>49999.99995875451</v>
      </c>
      <c r="BV205">
        <v>2.8080271181398481E-6</v>
      </c>
      <c r="BX205">
        <v>49999.99999832442</v>
      </c>
      <c r="BY205">
        <v>9.3582380495358576E-11</v>
      </c>
    </row>
    <row r="206" spans="13:77" x14ac:dyDescent="0.35">
      <c r="M206">
        <v>21999.991907438442</v>
      </c>
      <c r="N206">
        <v>7636.3658562245191</v>
      </c>
      <c r="P206">
        <v>21999.998262238121</v>
      </c>
      <c r="Q206">
        <v>7636.3653676445838</v>
      </c>
      <c r="S206">
        <v>21999.985961119346</v>
      </c>
      <c r="T206">
        <v>7636.3691190773061</v>
      </c>
      <c r="V206">
        <v>21999.999184439701</v>
      </c>
      <c r="W206">
        <v>7636.3652882086035</v>
      </c>
      <c r="Y206">
        <v>22000.000296015769</v>
      </c>
      <c r="Z206">
        <v>7636.3647914676076</v>
      </c>
      <c r="AB206">
        <v>21999.99939450965</v>
      </c>
      <c r="AC206">
        <v>7636.3651937478062</v>
      </c>
      <c r="AE206">
        <v>21999.999501504022</v>
      </c>
      <c r="AF206">
        <v>7636.3651461234749</v>
      </c>
      <c r="AH206">
        <v>21999.998842738223</v>
      </c>
      <c r="AI206">
        <v>7636.3654467281003</v>
      </c>
      <c r="AK206">
        <v>22000.121249099098</v>
      </c>
      <c r="AL206">
        <v>7636.3499990626751</v>
      </c>
      <c r="AZ206">
        <v>49999.99999342973</v>
      </c>
      <c r="BA206">
        <v>3.5359501772732397E-7</v>
      </c>
      <c r="BC206">
        <v>49999.999969100092</v>
      </c>
      <c r="BD206">
        <v>2.0846540801204625E-6</v>
      </c>
      <c r="BF206">
        <v>49999.999996691971</v>
      </c>
      <c r="BG206">
        <v>1.2047030878317391E-7</v>
      </c>
      <c r="BI206">
        <v>49999.999963372858</v>
      </c>
      <c r="BJ206">
        <v>2.5057059294158201E-6</v>
      </c>
      <c r="BL206">
        <v>49999.999967700045</v>
      </c>
      <c r="BM206">
        <v>2.2432059735946882E-6</v>
      </c>
      <c r="BO206">
        <v>49999.999963789676</v>
      </c>
      <c r="BP206">
        <v>2.4851732419031588E-6</v>
      </c>
      <c r="BR206">
        <v>49999.999964071067</v>
      </c>
      <c r="BS206">
        <v>2.4697507351335768E-6</v>
      </c>
      <c r="BU206">
        <v>49999.999963044109</v>
      </c>
      <c r="BV206">
        <v>2.5142111110712445E-6</v>
      </c>
      <c r="BX206">
        <v>49999.999998516811</v>
      </c>
      <c r="BY206">
        <v>8.3790451792074496E-11</v>
      </c>
    </row>
    <row r="207" spans="13:77" x14ac:dyDescent="0.35">
      <c r="M207">
        <v>21999.992651902157</v>
      </c>
      <c r="N207">
        <v>7636.3651744444796</v>
      </c>
      <c r="P207">
        <v>21999.998128681123</v>
      </c>
      <c r="Q207">
        <v>7636.3652072113628</v>
      </c>
      <c r="S207">
        <v>21999.986870985835</v>
      </c>
      <c r="T207">
        <v>7636.3679180845684</v>
      </c>
      <c r="V207">
        <v>21999.99892546115</v>
      </c>
      <c r="W207">
        <v>7636.3652035280984</v>
      </c>
      <c r="Y207">
        <v>21999.99997964278</v>
      </c>
      <c r="Z207">
        <v>7636.3648025801449</v>
      </c>
      <c r="AB207">
        <v>21999.999124821235</v>
      </c>
      <c r="AC207">
        <v>7636.3651271771814</v>
      </c>
      <c r="AE207">
        <v>21999.999226246851</v>
      </c>
      <c r="AF207">
        <v>7636.3650887712602</v>
      </c>
      <c r="AH207">
        <v>21999.998600041727</v>
      </c>
      <c r="AI207">
        <v>7636.3653325354662</v>
      </c>
      <c r="AK207">
        <v>22000.105505772968</v>
      </c>
      <c r="AL207">
        <v>7636.3599945671758</v>
      </c>
      <c r="AZ207">
        <v>49999.999994127953</v>
      </c>
      <c r="BA207">
        <v>3.1659684365241442E-7</v>
      </c>
      <c r="BC207">
        <v>49999.999972316764</v>
      </c>
      <c r="BD207">
        <v>1.8665277188041538E-6</v>
      </c>
      <c r="BF207">
        <v>49999.99999705267</v>
      </c>
      <c r="BG207">
        <v>1.0786497999928423E-7</v>
      </c>
      <c r="BI207">
        <v>49999.999967180222</v>
      </c>
      <c r="BJ207">
        <v>2.2435230942804229E-6</v>
      </c>
      <c r="BL207">
        <v>49999.999971052268</v>
      </c>
      <c r="BM207">
        <v>2.0084896427707274E-6</v>
      </c>
      <c r="BO207">
        <v>49999.999967552438</v>
      </c>
      <c r="BP207">
        <v>2.2251388305590952E-6</v>
      </c>
      <c r="BR207">
        <v>49999.999967803968</v>
      </c>
      <c r="BS207">
        <v>2.2113300472945254E-6</v>
      </c>
      <c r="BU207">
        <v>49999.999966887866</v>
      </c>
      <c r="BV207">
        <v>2.2511383420374557E-6</v>
      </c>
      <c r="BX207">
        <v>49999.999998687112</v>
      </c>
      <c r="BY207">
        <v>7.5023094885609361E-11</v>
      </c>
    </row>
    <row r="208" spans="13:77" x14ac:dyDescent="0.35">
      <c r="M208">
        <v>21999.993439571292</v>
      </c>
      <c r="N208">
        <v>7636.3645607247172</v>
      </c>
      <c r="P208">
        <v>21999.998053500185</v>
      </c>
      <c r="Q208">
        <v>7636.3650377301801</v>
      </c>
      <c r="S208">
        <v>21999.987919661562</v>
      </c>
      <c r="T208">
        <v>7636.3668043862353</v>
      </c>
      <c r="V208">
        <v>21999.99872672623</v>
      </c>
      <c r="W208">
        <v>7636.3650987707279</v>
      </c>
      <c r="Y208">
        <v>21999.999710071766</v>
      </c>
      <c r="Z208">
        <v>7636.3647878852407</v>
      </c>
      <c r="AB208">
        <v>21999.998912813313</v>
      </c>
      <c r="AC208">
        <v>7636.3650394577335</v>
      </c>
      <c r="AE208">
        <v>21999.999007383758</v>
      </c>
      <c r="AF208">
        <v>7636.3650097150567</v>
      </c>
      <c r="AH208">
        <v>21999.998421948625</v>
      </c>
      <c r="AI208">
        <v>7636.3651999177919</v>
      </c>
      <c r="AK208">
        <v>22000.089883012792</v>
      </c>
      <c r="AL208">
        <v>7636.368600255656</v>
      </c>
      <c r="AZ208">
        <v>49999.999994751881</v>
      </c>
      <c r="BA208">
        <v>2.8346994834696021E-7</v>
      </c>
      <c r="BC208">
        <v>49999.999975198756</v>
      </c>
      <c r="BD208">
        <v>1.6712248609134765E-6</v>
      </c>
      <c r="BF208">
        <v>49999.999997373954</v>
      </c>
      <c r="BG208">
        <v>9.6578601215348878E-8</v>
      </c>
      <c r="BI208">
        <v>49999.999970592085</v>
      </c>
      <c r="BJ208">
        <v>2.0087735817457735E-6</v>
      </c>
      <c r="BL208">
        <v>49999.999974056882</v>
      </c>
      <c r="BM208">
        <v>1.7983326955475485E-6</v>
      </c>
      <c r="BO208">
        <v>49999.99997092448</v>
      </c>
      <c r="BP208">
        <v>1.9923129429532429E-6</v>
      </c>
      <c r="BR208">
        <v>49999.999971149322</v>
      </c>
      <c r="BS208">
        <v>1.9799490323320825E-6</v>
      </c>
      <c r="BU208">
        <v>49999.999970332086</v>
      </c>
      <c r="BV208">
        <v>2.0155920132329882E-6</v>
      </c>
      <c r="BX208">
        <v>49999.999998837855</v>
      </c>
      <c r="BY208">
        <v>6.7173104403176614E-11</v>
      </c>
    </row>
    <row r="209" spans="13:77" x14ac:dyDescent="0.35">
      <c r="M209">
        <v>21999.994247781782</v>
      </c>
      <c r="N209">
        <v>7636.3640178114847</v>
      </c>
      <c r="P209">
        <v>21999.998029696115</v>
      </c>
      <c r="Q209">
        <v>7636.364864041192</v>
      </c>
      <c r="S209">
        <v>21999.989065055772</v>
      </c>
      <c r="T209">
        <v>7636.3657882745565</v>
      </c>
      <c r="V209">
        <v>21999.998583523524</v>
      </c>
      <c r="W209">
        <v>7636.364979051601</v>
      </c>
      <c r="Y209">
        <v>21999.99948603044</v>
      </c>
      <c r="Z209">
        <v>7636.3647514708955</v>
      </c>
      <c r="AB209">
        <v>21999.9987544254</v>
      </c>
      <c r="AC209">
        <v>7636.3649355084835</v>
      </c>
      <c r="AE209">
        <v>21999.998841184974</v>
      </c>
      <c r="AF209">
        <v>7636.3649137756629</v>
      </c>
      <c r="AH209">
        <v>21999.998302680415</v>
      </c>
      <c r="AI209">
        <v>7636.365054325639</v>
      </c>
      <c r="AK209">
        <v>22000.074687041622</v>
      </c>
      <c r="AL209">
        <v>7636.3758414541362</v>
      </c>
      <c r="AZ209">
        <v>49999.999995309438</v>
      </c>
      <c r="BA209">
        <v>2.5380926319094187E-7</v>
      </c>
      <c r="BC209">
        <v>49999.99997778087</v>
      </c>
      <c r="BD209">
        <v>1.4963573846906639E-6</v>
      </c>
      <c r="BF209">
        <v>49999.999997660139</v>
      </c>
      <c r="BG209">
        <v>8.6473164995583887E-8</v>
      </c>
      <c r="BI209">
        <v>49999.999973649501</v>
      </c>
      <c r="BJ209">
        <v>1.7985869247583558E-6</v>
      </c>
      <c r="BL209">
        <v>49999.999976749903</v>
      </c>
      <c r="BM209">
        <v>1.6101653775255513E-6</v>
      </c>
      <c r="BO209">
        <v>49999.999973946346</v>
      </c>
      <c r="BP209">
        <v>1.7838486337083132E-6</v>
      </c>
      <c r="BR209">
        <v>49999.999974147329</v>
      </c>
      <c r="BS209">
        <v>1.7727784124641139E-6</v>
      </c>
      <c r="BU209">
        <v>49999.999973418271</v>
      </c>
      <c r="BV209">
        <v>1.8046919143044856E-6</v>
      </c>
      <c r="BX209">
        <v>49999.999998971289</v>
      </c>
      <c r="BY209">
        <v>6.0144492333224999E-11</v>
      </c>
    </row>
    <row r="210" spans="13:77" x14ac:dyDescent="0.35">
      <c r="M210">
        <v>21999.995056766231</v>
      </c>
      <c r="N210">
        <v>7636.3635465804555</v>
      </c>
      <c r="P210">
        <v>21999.998050230632</v>
      </c>
      <c r="Q210">
        <v>7636.3646903622321</v>
      </c>
      <c r="S210">
        <v>21999.990269242982</v>
      </c>
      <c r="T210">
        <v>7636.3648765097496</v>
      </c>
      <c r="V210">
        <v>21999.998490680999</v>
      </c>
      <c r="W210">
        <v>7636.3648490461474</v>
      </c>
      <c r="Y210">
        <v>21999.999305489095</v>
      </c>
      <c r="Z210">
        <v>7636.364697276108</v>
      </c>
      <c r="AB210">
        <v>21999.998645080606</v>
      </c>
      <c r="AC210">
        <v>7636.3648198638102</v>
      </c>
      <c r="AE210">
        <v>21999.998723375651</v>
      </c>
      <c r="AF210">
        <v>7636.3648054171817</v>
      </c>
      <c r="AH210">
        <v>21999.998236086136</v>
      </c>
      <c r="AI210">
        <v>7636.3649006795122</v>
      </c>
      <c r="AK210">
        <v>22000.0601703424</v>
      </c>
      <c r="AL210">
        <v>7636.3817680654556</v>
      </c>
      <c r="AZ210">
        <v>49999.999995807688</v>
      </c>
      <c r="BA210">
        <v>2.2725210364381313E-7</v>
      </c>
      <c r="BC210">
        <v>49999.999980094297</v>
      </c>
      <c r="BD210">
        <v>1.3397870478745253E-6</v>
      </c>
      <c r="BF210">
        <v>49999.999997915067</v>
      </c>
      <c r="BG210">
        <v>7.7425104218348114E-8</v>
      </c>
      <c r="BI210">
        <v>49999.999976389263</v>
      </c>
      <c r="BJ210">
        <v>1.6103930056336641E-6</v>
      </c>
      <c r="BL210">
        <v>49999.999979163615</v>
      </c>
      <c r="BM210">
        <v>1.4416868188097744E-6</v>
      </c>
      <c r="BO210">
        <v>49999.999976654362</v>
      </c>
      <c r="BP210">
        <v>1.5971968456413969E-6</v>
      </c>
      <c r="BR210">
        <v>49999.999976834028</v>
      </c>
      <c r="BS210">
        <v>1.5872849494660392E-6</v>
      </c>
      <c r="BU210">
        <v>49999.999976183615</v>
      </c>
      <c r="BV210">
        <v>1.6158592037511768E-6</v>
      </c>
      <c r="BX210">
        <v>49999.999999089407</v>
      </c>
      <c r="BY210">
        <v>5.3851314304477981E-11</v>
      </c>
    </row>
    <row r="211" spans="13:77" x14ac:dyDescent="0.35">
      <c r="M211">
        <v>21999.995849639072</v>
      </c>
      <c r="N211">
        <v>7636.3631462927942</v>
      </c>
      <c r="P211">
        <v>21999.998108178021</v>
      </c>
      <c r="Q211">
        <v>7636.3645202925954</v>
      </c>
      <c r="S211">
        <v>21999.991498638639</v>
      </c>
      <c r="T211">
        <v>7636.3640726976382</v>
      </c>
      <c r="V211">
        <v>21999.998442740743</v>
      </c>
      <c r="W211">
        <v>7636.3647129576457</v>
      </c>
      <c r="Y211">
        <v>21999.999165813719</v>
      </c>
      <c r="Z211">
        <v>7636.3646290310553</v>
      </c>
      <c r="AB211">
        <v>21999.998579856237</v>
      </c>
      <c r="AC211">
        <v>7636.364696635831</v>
      </c>
      <c r="AE211">
        <v>21999.998649304405</v>
      </c>
      <c r="AF211">
        <v>7636.3646887067589</v>
      </c>
      <c r="AH211">
        <v>21999.998215824504</v>
      </c>
      <c r="AI211">
        <v>7636.3647433455553</v>
      </c>
      <c r="AK211">
        <v>22000.0465343014</v>
      </c>
      <c r="AL211">
        <v>7636.386449931807</v>
      </c>
      <c r="AZ211">
        <v>49999.999996252947</v>
      </c>
      <c r="BA211">
        <v>2.0347373441517532E-7</v>
      </c>
      <c r="BC211">
        <v>49999.999982166977</v>
      </c>
      <c r="BD211">
        <v>1.1995993417290611E-6</v>
      </c>
      <c r="BF211">
        <v>49999.999998142164</v>
      </c>
      <c r="BG211">
        <v>6.9323781123697111E-8</v>
      </c>
      <c r="BI211">
        <v>49999.999978844353</v>
      </c>
      <c r="BJ211">
        <v>1.4418906292039316E-6</v>
      </c>
      <c r="BL211">
        <v>49999.999981326953</v>
      </c>
      <c r="BM211">
        <v>1.2908368994623886E-6</v>
      </c>
      <c r="BO211">
        <v>49999.999979081105</v>
      </c>
      <c r="BP211">
        <v>1.4300752404350368E-6</v>
      </c>
      <c r="BR211">
        <v>49999.999979241715</v>
      </c>
      <c r="BS211">
        <v>1.4212004687727651E-6</v>
      </c>
      <c r="BU211">
        <v>49999.99997866145</v>
      </c>
      <c r="BV211">
        <v>1.4467848753996316E-6</v>
      </c>
      <c r="BX211">
        <v>49999.999999193962</v>
      </c>
      <c r="BY211">
        <v>4.8216618676467325E-11</v>
      </c>
    </row>
    <row r="212" spans="13:77" x14ac:dyDescent="0.35">
      <c r="M212">
        <v>21999.996612324176</v>
      </c>
      <c r="N212">
        <v>7636.3628148471589</v>
      </c>
      <c r="P212">
        <v>21999.998196852215</v>
      </c>
      <c r="Q212">
        <v>7636.3643568290945</v>
      </c>
      <c r="S212">
        <v>21999.992724059019</v>
      </c>
      <c r="T212">
        <v>7636.3633776773313</v>
      </c>
      <c r="V212">
        <v>21999.998434114044</v>
      </c>
      <c r="W212">
        <v>7636.3645744992918</v>
      </c>
      <c r="Y212">
        <v>21999.999063909199</v>
      </c>
      <c r="Z212">
        <v>7636.3645502103673</v>
      </c>
      <c r="AB212">
        <v>21999.998553636542</v>
      </c>
      <c r="AC212">
        <v>7636.3645694910501</v>
      </c>
      <c r="AE212">
        <v>21999.998614094951</v>
      </c>
      <c r="AF212">
        <v>7636.3645672884559</v>
      </c>
      <c r="AH212">
        <v>21999.998235523271</v>
      </c>
      <c r="AI212">
        <v>7636.3645861262958</v>
      </c>
      <c r="AK212">
        <v>22000.033932523598</v>
      </c>
      <c r="AL212">
        <v>7636.3899724636685</v>
      </c>
      <c r="AZ212">
        <v>49999.999996650855</v>
      </c>
      <c r="BA212">
        <v>1.8218339867080269E-7</v>
      </c>
      <c r="BC212">
        <v>49999.999984023947</v>
      </c>
      <c r="BD212">
        <v>1.0740800808380594E-6</v>
      </c>
      <c r="BF212">
        <v>49999.999998344472</v>
      </c>
      <c r="BG212">
        <v>6.2070134458418502E-8</v>
      </c>
      <c r="BI212">
        <v>49999.999981044319</v>
      </c>
      <c r="BJ212">
        <v>1.2910193842932471E-6</v>
      </c>
      <c r="BL212">
        <v>49999.999983265872</v>
      </c>
      <c r="BM212">
        <v>1.155771058794489E-6</v>
      </c>
      <c r="BO212">
        <v>49999.999981255765</v>
      </c>
      <c r="BP212">
        <v>1.2804402906899036E-6</v>
      </c>
      <c r="BR212">
        <v>49999.999981399342</v>
      </c>
      <c r="BS212">
        <v>1.2724941247227168E-6</v>
      </c>
      <c r="BU212">
        <v>49999.999980881643</v>
      </c>
      <c r="BV212">
        <v>1.2954015243675559E-6</v>
      </c>
      <c r="BX212">
        <v>49999.999999286512</v>
      </c>
      <c r="BY212">
        <v>4.3171505591263733E-11</v>
      </c>
    </row>
    <row r="213" spans="13:77" x14ac:dyDescent="0.35">
      <c r="M213">
        <v>21999.997333434814</v>
      </c>
      <c r="N213">
        <v>7636.3625490230115</v>
      </c>
      <c r="P213">
        <v>21999.998309910276</v>
      </c>
      <c r="Q213">
        <v>7636.364202392253</v>
      </c>
      <c r="S213">
        <v>21999.993920681118</v>
      </c>
      <c r="T213">
        <v>7636.3627899094217</v>
      </c>
      <c r="V213">
        <v>21999.998459216433</v>
      </c>
      <c r="W213">
        <v>7636.3644368890646</v>
      </c>
      <c r="Y213">
        <v>21999.998996351085</v>
      </c>
      <c r="Z213">
        <v>7636.3644639985559</v>
      </c>
      <c r="AB213">
        <v>21999.99856124707</v>
      </c>
      <c r="AC213">
        <v>7636.364441639671</v>
      </c>
      <c r="AE213">
        <v>21999.998612780168</v>
      </c>
      <c r="AF213">
        <v>7636.364444369724</v>
      </c>
      <c r="AH213">
        <v>21999.998288915885</v>
      </c>
      <c r="AI213">
        <v>7636.3644322644368</v>
      </c>
      <c r="AK213">
        <v>22000.022474652666</v>
      </c>
      <c r="AL213">
        <v>7636.3924325867101</v>
      </c>
      <c r="AZ213">
        <v>49999.99999700646</v>
      </c>
      <c r="BA213">
        <v>1.6312076271999506E-7</v>
      </c>
      <c r="BC213">
        <v>49999.999985687646</v>
      </c>
      <c r="BD213">
        <v>9.6169444241065385E-7</v>
      </c>
      <c r="BF213">
        <v>49999.999998524705</v>
      </c>
      <c r="BG213">
        <v>5.5575468176126271E-8</v>
      </c>
      <c r="BI213">
        <v>49999.999983015659</v>
      </c>
      <c r="BJ213">
        <v>1.1559344494481418E-6</v>
      </c>
      <c r="BL213">
        <v>49999.999985003626</v>
      </c>
      <c r="BM213">
        <v>1.0348377404705511E-6</v>
      </c>
      <c r="BO213">
        <v>49999.999983204507</v>
      </c>
      <c r="BP213">
        <v>1.1464622921066143E-6</v>
      </c>
      <c r="BR213">
        <v>49999.999983332862</v>
      </c>
      <c r="BS213">
        <v>1.1393475678092505E-6</v>
      </c>
      <c r="BU213">
        <v>49999.99998287097</v>
      </c>
      <c r="BV213">
        <v>1.1598580672768205E-6</v>
      </c>
      <c r="BX213">
        <v>49999.999999368432</v>
      </c>
      <c r="BY213">
        <v>3.865428448068948E-11</v>
      </c>
    </row>
    <row r="214" spans="13:77" x14ac:dyDescent="0.35">
      <c r="M214">
        <v>21999.998004115481</v>
      </c>
      <c r="N214">
        <v>7636.3623447114569</v>
      </c>
      <c r="P214">
        <v>21999.998441433603</v>
      </c>
      <c r="Q214">
        <v>7636.3640588606031</v>
      </c>
      <c r="S214">
        <v>21999.995067918015</v>
      </c>
      <c r="T214">
        <v>7636.3623058565918</v>
      </c>
      <c r="V214">
        <v>21999.998512582832</v>
      </c>
      <c r="W214">
        <v>7636.3643028556071</v>
      </c>
      <c r="Y214">
        <v>21999.998959504868</v>
      </c>
      <c r="Z214">
        <v>7636.3643732665205</v>
      </c>
      <c r="AB214">
        <v>21999.998597570564</v>
      </c>
      <c r="AC214">
        <v>7636.3643158359337</v>
      </c>
      <c r="AE214">
        <v>21999.998640418391</v>
      </c>
      <c r="AF214">
        <v>7636.3643227189132</v>
      </c>
      <c r="AH214">
        <v>21999.99836995592</v>
      </c>
      <c r="AI214">
        <v>7636.3642844576971</v>
      </c>
      <c r="AK214">
        <v>22000.012230542434</v>
      </c>
      <c r="AL214">
        <v>7636.3939350441105</v>
      </c>
      <c r="AZ214">
        <v>49999.999997324259</v>
      </c>
      <c r="BA214">
        <v>1.4605273271065143E-7</v>
      </c>
      <c r="BC214">
        <v>49999.999987178177</v>
      </c>
      <c r="BD214">
        <v>8.6106819879491749E-7</v>
      </c>
      <c r="BF214">
        <v>49999.999998685271</v>
      </c>
      <c r="BG214">
        <v>4.9760366880896737E-8</v>
      </c>
      <c r="BI214">
        <v>49999.999984782116</v>
      </c>
      <c r="BJ214">
        <v>1.0349840348534661E-6</v>
      </c>
      <c r="BL214">
        <v>49999.999986561066</v>
      </c>
      <c r="BM214">
        <v>9.2655819762907774E-7</v>
      </c>
      <c r="BO214">
        <v>49999.999984950788</v>
      </c>
      <c r="BP214">
        <v>1.0265029902509569E-6</v>
      </c>
      <c r="BR214">
        <v>49999.999985065537</v>
      </c>
      <c r="BS214">
        <v>1.0201327102898691E-6</v>
      </c>
      <c r="BU214">
        <v>49999.999984653419</v>
      </c>
      <c r="BV214">
        <v>1.0384971075998525E-6</v>
      </c>
      <c r="BX214">
        <v>49999.999999440945</v>
      </c>
      <c r="BY214">
        <v>3.4609719727190648E-11</v>
      </c>
    </row>
    <row r="215" spans="13:77" x14ac:dyDescent="0.35">
      <c r="M215">
        <v>21999.998617854406</v>
      </c>
      <c r="N215">
        <v>7636.3621971306638</v>
      </c>
      <c r="P215">
        <v>21999.998585988429</v>
      </c>
      <c r="Q215">
        <v>7636.3639276111971</v>
      </c>
      <c r="S215">
        <v>21999.996149224677</v>
      </c>
      <c r="T215">
        <v>7636.361920349842</v>
      </c>
      <c r="V215">
        <v>21999.998588963361</v>
      </c>
      <c r="W215">
        <v>7636.3641746533913</v>
      </c>
      <c r="Y215">
        <v>21999.998949632125</v>
      </c>
      <c r="Z215">
        <v>7636.3642805580048</v>
      </c>
      <c r="AB215">
        <v>21999.998657644664</v>
      </c>
      <c r="AC215">
        <v>7636.3641943878583</v>
      </c>
      <c r="AE215">
        <v>21999.998692192141</v>
      </c>
      <c r="AF215">
        <v>7636.3642046722498</v>
      </c>
      <c r="AH215">
        <v>21999.998472910142</v>
      </c>
      <c r="AI215">
        <v>7636.3641448827784</v>
      </c>
      <c r="AK215">
        <v>22000.003234641816</v>
      </c>
      <c r="AL215">
        <v>7636.39458907886</v>
      </c>
      <c r="AZ215">
        <v>49999.999997608284</v>
      </c>
      <c r="BA215">
        <v>1.3077060440728957E-7</v>
      </c>
      <c r="BC215">
        <v>49999.999988513555</v>
      </c>
      <c r="BD215">
        <v>7.7097091371465806E-7</v>
      </c>
      <c r="BF215">
        <v>49999.999998828323</v>
      </c>
      <c r="BG215">
        <v>4.4553724752721832E-8</v>
      </c>
      <c r="BI215">
        <v>49999.999986364972</v>
      </c>
      <c r="BJ215">
        <v>9.2668918459809155E-7</v>
      </c>
      <c r="BL215">
        <v>49999.999987956886</v>
      </c>
      <c r="BM215">
        <v>8.29608411080738E-7</v>
      </c>
      <c r="BO215">
        <v>49999.999986515621</v>
      </c>
      <c r="BP215">
        <v>9.1909554832735257E-7</v>
      </c>
      <c r="BR215">
        <v>49999.999986618204</v>
      </c>
      <c r="BS215">
        <v>9.133918182758298E-7</v>
      </c>
      <c r="BU215">
        <v>49999.999986250492</v>
      </c>
      <c r="BV215">
        <v>9.2983466936764899E-7</v>
      </c>
      <c r="BX215">
        <v>49999.999999505133</v>
      </c>
      <c r="BY215">
        <v>3.0988355254470737E-11</v>
      </c>
    </row>
    <row r="216" spans="13:77" x14ac:dyDescent="0.35">
      <c r="M216">
        <v>21999.999170274965</v>
      </c>
      <c r="N216">
        <v>7636.3621010236538</v>
      </c>
      <c r="P216">
        <v>21999.998738667397</v>
      </c>
      <c r="Q216">
        <v>7636.3638095645747</v>
      </c>
      <c r="S216">
        <v>21999.997151848434</v>
      </c>
      <c r="T216">
        <v>7636.3616269348595</v>
      </c>
      <c r="V216">
        <v>21999.998683400627</v>
      </c>
      <c r="W216">
        <v>7636.3640540854904</v>
      </c>
      <c r="Y216">
        <v>21999.99896298326</v>
      </c>
      <c r="Z216">
        <v>7636.3641880848199</v>
      </c>
      <c r="AB216">
        <v>21999.998736742087</v>
      </c>
      <c r="AC216">
        <v>7636.3640791748076</v>
      </c>
      <c r="AE216">
        <v>21999.998763489784</v>
      </c>
      <c r="AF216">
        <v>7636.3640921487486</v>
      </c>
      <c r="AH216">
        <v>21999.998592431479</v>
      </c>
      <c r="AI216">
        <v>7636.3640152266144</v>
      </c>
      <c r="AK216">
        <v>21999.995490470948</v>
      </c>
      <c r="AL216">
        <v>7636.3945055091317</v>
      </c>
      <c r="AZ216">
        <v>49999.999997862127</v>
      </c>
      <c r="BA216">
        <v>1.1708751120010388E-7</v>
      </c>
      <c r="BC216">
        <v>49999.999989709919</v>
      </c>
      <c r="BD216">
        <v>6.9030089675656469E-7</v>
      </c>
      <c r="BF216">
        <v>49999.999998955776</v>
      </c>
      <c r="BG216">
        <v>3.9891876080686973E-8</v>
      </c>
      <c r="BI216">
        <v>49999.999987783289</v>
      </c>
      <c r="BJ216">
        <v>8.2972569231683182E-7</v>
      </c>
      <c r="BL216">
        <v>49999.999989207849</v>
      </c>
      <c r="BM216">
        <v>7.4280289948356723E-7</v>
      </c>
      <c r="BO216">
        <v>49999.99998791785</v>
      </c>
      <c r="BP216">
        <v>8.2292661101074436E-7</v>
      </c>
      <c r="BR216">
        <v>49999.999988009564</v>
      </c>
      <c r="BS216">
        <v>8.1781968687244105E-7</v>
      </c>
      <c r="BU216">
        <v>49999.999987681455</v>
      </c>
      <c r="BV216">
        <v>8.3254205142749556E-7</v>
      </c>
      <c r="BX216">
        <v>49999.999999561951</v>
      </c>
      <c r="BY216">
        <v>2.7745909789123811E-11</v>
      </c>
    </row>
    <row r="217" spans="13:77" x14ac:dyDescent="0.35">
      <c r="M217">
        <v>21999.99965891341</v>
      </c>
      <c r="N217">
        <v>7636.3620508369477</v>
      </c>
      <c r="P217">
        <v>21999.998895114128</v>
      </c>
      <c r="Q217">
        <v>7636.3637052326003</v>
      </c>
      <c r="S217">
        <v>21999.998066537428</v>
      </c>
      <c r="T217">
        <v>7636.3614181942557</v>
      </c>
      <c r="V217">
        <v>21999.998791289632</v>
      </c>
      <c r="W217">
        <v>7636.3639425323727</v>
      </c>
      <c r="Y217">
        <v>21999.998995876878</v>
      </c>
      <c r="Z217">
        <v>7636.36409772965</v>
      </c>
      <c r="AB217">
        <v>21999.998830434164</v>
      </c>
      <c r="AC217">
        <v>7636.3639716713651</v>
      </c>
      <c r="AE217">
        <v>21999.998849970976</v>
      </c>
      <c r="AF217">
        <v>7636.3639866715912</v>
      </c>
      <c r="AH217">
        <v>21999.998723613258</v>
      </c>
      <c r="AI217">
        <v>7636.3638967231964</v>
      </c>
      <c r="AK217">
        <v>21999.988975082382</v>
      </c>
      <c r="AL217">
        <v>7636.3937941997528</v>
      </c>
      <c r="AZ217">
        <v>49999.999998088992</v>
      </c>
      <c r="BA217">
        <v>1.0483613913985979E-7</v>
      </c>
      <c r="BC217">
        <v>49999.999990781733</v>
      </c>
      <c r="BD217">
        <v>6.1807173213437416E-7</v>
      </c>
      <c r="BF217">
        <v>49999.99999906934</v>
      </c>
      <c r="BG217">
        <v>3.5717816772218342E-8</v>
      </c>
      <c r="BI217">
        <v>49999.999989054166</v>
      </c>
      <c r="BJ217">
        <v>7.4290790907689282E-7</v>
      </c>
      <c r="BL217">
        <v>49999.999990328964</v>
      </c>
      <c r="BM217">
        <v>6.6508022352949029E-7</v>
      </c>
      <c r="BO217">
        <v>49999.999989174357</v>
      </c>
      <c r="BP217">
        <v>7.3682024501725866E-7</v>
      </c>
      <c r="BR217">
        <v>49999.99998925635</v>
      </c>
      <c r="BS217">
        <v>7.3224768041145325E-7</v>
      </c>
      <c r="BU217">
        <v>49999.999988963573</v>
      </c>
      <c r="BV217">
        <v>7.4542958036811071E-7</v>
      </c>
      <c r="BX217">
        <v>49999.99999961225</v>
      </c>
      <c r="BY217">
        <v>2.4842735398655202E-11</v>
      </c>
    </row>
    <row r="218" spans="13:77" x14ac:dyDescent="0.35">
      <c r="M218">
        <v>22000.000082989533</v>
      </c>
      <c r="N218">
        <v>7636.3620408791667</v>
      </c>
      <c r="P218">
        <v>21999.999051532774</v>
      </c>
      <c r="Q218">
        <v>7636.3636147677644</v>
      </c>
      <c r="S218">
        <v>21999.99888721919</v>
      </c>
      <c r="T218">
        <v>7636.361286042531</v>
      </c>
      <c r="V218">
        <v>21999.998908421581</v>
      </c>
      <c r="W218">
        <v>7636.3638409852338</v>
      </c>
      <c r="Y218">
        <v>21999.999044766115</v>
      </c>
      <c r="Z218">
        <v>7636.364011055266</v>
      </c>
      <c r="AB218">
        <v>21999.998934638879</v>
      </c>
      <c r="AC218">
        <v>7636.363872976106</v>
      </c>
      <c r="AE218">
        <v>21999.998947616874</v>
      </c>
      <c r="AF218">
        <v>7636.3638893945763</v>
      </c>
      <c r="AH218">
        <v>21999.998862026372</v>
      </c>
      <c r="AI218">
        <v>7636.363790194393</v>
      </c>
      <c r="AK218">
        <v>21999.983643417017</v>
      </c>
      <c r="AL218">
        <v>7636.3925619241245</v>
      </c>
      <c r="AZ218">
        <v>49999.999998291758</v>
      </c>
      <c r="BA218">
        <v>9.3866681058557582E-8</v>
      </c>
      <c r="BC218">
        <v>49999.999991741963</v>
      </c>
      <c r="BD218">
        <v>5.5340021700664763E-7</v>
      </c>
      <c r="BF218">
        <v>49999.999999170526</v>
      </c>
      <c r="BG218">
        <v>3.1980507319180443E-8</v>
      </c>
      <c r="BI218">
        <v>49999.999990192919</v>
      </c>
      <c r="BJ218">
        <v>6.6517424551512866E-7</v>
      </c>
      <c r="BL218">
        <v>49999.999991333709</v>
      </c>
      <c r="BM218">
        <v>5.954900068904416E-7</v>
      </c>
      <c r="BO218">
        <v>49999.999990300275</v>
      </c>
      <c r="BP218">
        <v>6.5972356004234914E-7</v>
      </c>
      <c r="BR218">
        <v>49999.999990373581</v>
      </c>
      <c r="BS218">
        <v>6.5562944262289425E-7</v>
      </c>
      <c r="BU218">
        <v>49999.999990112323</v>
      </c>
      <c r="BV218">
        <v>6.674320634464337E-7</v>
      </c>
      <c r="BX218">
        <v>49999.999999656771</v>
      </c>
      <c r="BY218">
        <v>2.2243332685007969E-11</v>
      </c>
    </row>
    <row r="219" spans="13:77" x14ac:dyDescent="0.35">
      <c r="M219">
        <v>22000.000443176021</v>
      </c>
      <c r="N219">
        <v>7636.3620654592441</v>
      </c>
      <c r="P219">
        <v>21999.999204684533</v>
      </c>
      <c r="Q219">
        <v>7636.3635380127034</v>
      </c>
      <c r="S219">
        <v>21999.999610660456</v>
      </c>
      <c r="T219">
        <v>7636.3612219916495</v>
      </c>
      <c r="V219">
        <v>21999.999031013052</v>
      </c>
      <c r="W219">
        <v>7636.3637500825143</v>
      </c>
      <c r="Y219">
        <v>21999.999106292442</v>
      </c>
      <c r="Z219">
        <v>7636.363929319029</v>
      </c>
      <c r="AB219">
        <v>21999.999045654691</v>
      </c>
      <c r="AC219">
        <v>7636.363783843939</v>
      </c>
      <c r="AE219">
        <v>21999.999052766318</v>
      </c>
      <c r="AF219">
        <v>7636.3638011323483</v>
      </c>
      <c r="AH219">
        <v>21999.999003741093</v>
      </c>
      <c r="AI219">
        <v>7636.3636960933263</v>
      </c>
      <c r="AK219">
        <v>21999.979432479875</v>
      </c>
      <c r="AL219">
        <v>7636.3909106036881</v>
      </c>
      <c r="AZ219">
        <v>49999.999998472987</v>
      </c>
      <c r="BA219">
        <v>8.4045004759288907E-8</v>
      </c>
      <c r="BC219">
        <v>49999.999992602214</v>
      </c>
      <c r="BD219">
        <v>4.9549556186047118E-7</v>
      </c>
      <c r="BF219">
        <v>49999.99999926069</v>
      </c>
      <c r="BG219">
        <v>2.8634248697641809E-8</v>
      </c>
      <c r="BI219">
        <v>49999.99999121327</v>
      </c>
      <c r="BJ219">
        <v>5.9557419094931793E-7</v>
      </c>
      <c r="BL219">
        <v>49999.999992234145</v>
      </c>
      <c r="BM219">
        <v>5.3318131521896958E-7</v>
      </c>
      <c r="BO219">
        <v>49999.999991309167</v>
      </c>
      <c r="BP219">
        <v>5.9069383424231123E-7</v>
      </c>
      <c r="BR219">
        <v>49999.999991374701</v>
      </c>
      <c r="BS219">
        <v>5.8702810201336801E-7</v>
      </c>
      <c r="BU219">
        <v>49999.999991141565</v>
      </c>
      <c r="BV219">
        <v>5.9759576363753723E-7</v>
      </c>
      <c r="BX219">
        <v>49999.999999696178</v>
      </c>
      <c r="BY219">
        <v>1.9915916705484875E-11</v>
      </c>
    </row>
    <row r="220" spans="13:77" x14ac:dyDescent="0.35">
      <c r="M220">
        <v>22000.000741371528</v>
      </c>
      <c r="N220">
        <v>7636.3621190043696</v>
      </c>
      <c r="P220">
        <v>21999.999351873135</v>
      </c>
      <c r="Q220">
        <v>7636.3634745488889</v>
      </c>
      <c r="S220">
        <v>22000.000236117976</v>
      </c>
      <c r="T220">
        <v>7636.3612173860274</v>
      </c>
      <c r="V220">
        <v>21999.999155722082</v>
      </c>
      <c r="W220">
        <v>7636.3636701483774</v>
      </c>
      <c r="Y220">
        <v>21999.999177327696</v>
      </c>
      <c r="Z220">
        <v>7636.3638534915926</v>
      </c>
      <c r="AB220">
        <v>21999.999160181484</v>
      </c>
      <c r="AC220">
        <v>7636.3637047208413</v>
      </c>
      <c r="AE220">
        <v>21999.999162139306</v>
      </c>
      <c r="AF220">
        <v>7636.3637223932283</v>
      </c>
      <c r="AH220">
        <v>21999.99914533534</v>
      </c>
      <c r="AI220">
        <v>7636.3636145490364</v>
      </c>
      <c r="AK220">
        <v>21999.976265275578</v>
      </c>
      <c r="AL220">
        <v>7636.3889359060922</v>
      </c>
      <c r="AZ220">
        <v>49999.999998634965</v>
      </c>
      <c r="BA220">
        <v>7.5251012876301543E-8</v>
      </c>
      <c r="BC220">
        <v>49999.99999337289</v>
      </c>
      <c r="BD220">
        <v>4.4364972090566962E-7</v>
      </c>
      <c r="BF220">
        <v>49999.999999341031</v>
      </c>
      <c r="BG220">
        <v>2.5638123569944109E-8</v>
      </c>
      <c r="BI220">
        <v>49999.999992127523</v>
      </c>
      <c r="BJ220">
        <v>5.3325669073591298E-7</v>
      </c>
      <c r="BL220">
        <v>49999.999993041092</v>
      </c>
      <c r="BM220">
        <v>4.7739225110421695E-7</v>
      </c>
      <c r="BO220">
        <v>49999.999992213183</v>
      </c>
      <c r="BP220">
        <v>5.2888698683229144E-7</v>
      </c>
      <c r="BR220">
        <v>49999.999992271776</v>
      </c>
      <c r="BS220">
        <v>5.2560481600090272E-7</v>
      </c>
      <c r="BU220">
        <v>49999.999992063727</v>
      </c>
      <c r="BV220">
        <v>5.3506673754134438E-7</v>
      </c>
      <c r="BX220">
        <v>49999.999999731059</v>
      </c>
      <c r="BY220">
        <v>1.7832028313239329E-11</v>
      </c>
    </row>
    <row r="221" spans="13:77" x14ac:dyDescent="0.35">
      <c r="M221">
        <v>22000.000980481582</v>
      </c>
      <c r="N221">
        <v>7636.3621961581866</v>
      </c>
      <c r="P221">
        <v>21999.999490921218</v>
      </c>
      <c r="Q221">
        <v>7636.3634237435899</v>
      </c>
      <c r="S221">
        <v>22000.000764988883</v>
      </c>
      <c r="T221">
        <v>7636.3612636065436</v>
      </c>
      <c r="V221">
        <v>21999.999279652733</v>
      </c>
      <c r="W221">
        <v>7636.3636012320594</v>
      </c>
      <c r="Y221">
        <v>21999.99925500515</v>
      </c>
      <c r="Z221">
        <v>7636.3637842788103</v>
      </c>
      <c r="AB221">
        <v>21999.999275330149</v>
      </c>
      <c r="AC221">
        <v>7636.3636357798987</v>
      </c>
      <c r="AE221">
        <v>21999.99927284912</v>
      </c>
      <c r="AF221">
        <v>7636.3636534135831</v>
      </c>
      <c r="AH221">
        <v>21999.999283891193</v>
      </c>
      <c r="AI221">
        <v>7636.3635454113137</v>
      </c>
      <c r="AK221">
        <v>21999.97405445714</v>
      </c>
      <c r="AL221">
        <v>7636.3867261785381</v>
      </c>
      <c r="AZ221">
        <v>49999.999998779742</v>
      </c>
      <c r="BA221">
        <v>6.7377174349990484E-8</v>
      </c>
      <c r="BC221">
        <v>49999.999994063321</v>
      </c>
      <c r="BD221">
        <v>3.9722873424164985E-7</v>
      </c>
      <c r="BF221">
        <v>49999.999999412619</v>
      </c>
      <c r="BG221">
        <v>2.2955495956212554E-8</v>
      </c>
      <c r="BI221">
        <v>49999.999992946701</v>
      </c>
      <c r="BJ221">
        <v>4.7745973975506364E-7</v>
      </c>
      <c r="BL221">
        <v>49999.999993764257</v>
      </c>
      <c r="BM221">
        <v>4.2744063775261048E-7</v>
      </c>
      <c r="BO221">
        <v>49999.999993023222</v>
      </c>
      <c r="BP221">
        <v>4.7354725684617083E-7</v>
      </c>
      <c r="BR221">
        <v>49999.999993075609</v>
      </c>
      <c r="BS221">
        <v>4.706085137264647E-7</v>
      </c>
      <c r="BU221">
        <v>49999.999992889949</v>
      </c>
      <c r="BV221">
        <v>4.7908039354455168E-7</v>
      </c>
      <c r="BX221">
        <v>49999.999999761938</v>
      </c>
      <c r="BY221">
        <v>1.5966186164889598E-11</v>
      </c>
    </row>
    <row r="222" spans="13:77" x14ac:dyDescent="0.35">
      <c r="M222">
        <v>22000.001164210738</v>
      </c>
      <c r="N222">
        <v>7636.3622918601131</v>
      </c>
      <c r="P222">
        <v>21999.999620139384</v>
      </c>
      <c r="Q222">
        <v>7636.3633847943929</v>
      </c>
      <c r="S222">
        <v>22000.001200467952</v>
      </c>
      <c r="T222">
        <v>7636.3613522438891</v>
      </c>
      <c r="V222">
        <v>21999.999400349749</v>
      </c>
      <c r="W222">
        <v>7636.3635431471539</v>
      </c>
      <c r="Y222">
        <v>21999.999336740639</v>
      </c>
      <c r="Z222">
        <v>7636.3637221459212</v>
      </c>
      <c r="AB222">
        <v>21999.999388622226</v>
      </c>
      <c r="AC222">
        <v>7636.3635769577222</v>
      </c>
      <c r="AE222">
        <v>21999.999382404512</v>
      </c>
      <c r="AF222">
        <v>7636.3635941927914</v>
      </c>
      <c r="AH222">
        <v>21999.9994169815</v>
      </c>
      <c r="AI222">
        <v>7636.3634882947545</v>
      </c>
      <c r="AK222">
        <v>21999.972705654433</v>
      </c>
      <c r="AL222">
        <v>7636.3843616892809</v>
      </c>
      <c r="AZ222">
        <v>49999.999998909145</v>
      </c>
      <c r="BA222">
        <v>6.0327209560004357E-8</v>
      </c>
      <c r="BC222">
        <v>49999.99999468185</v>
      </c>
      <c r="BD222">
        <v>3.5566497593073133E-7</v>
      </c>
      <c r="BF222">
        <v>49999.999999476415</v>
      </c>
      <c r="BG222">
        <v>2.0553563257397411E-8</v>
      </c>
      <c r="BI222">
        <v>49999.999993680693</v>
      </c>
      <c r="BJ222">
        <v>4.2750106477426343E-7</v>
      </c>
      <c r="BL222">
        <v>49999.999994412319</v>
      </c>
      <c r="BM222">
        <v>3.8271567747528969E-7</v>
      </c>
      <c r="BO222">
        <v>49999.99999374905</v>
      </c>
      <c r="BP222">
        <v>4.2399796185239477E-7</v>
      </c>
      <c r="BR222">
        <v>49999.999993795886</v>
      </c>
      <c r="BS222">
        <v>4.2136671211941889E-7</v>
      </c>
      <c r="BU222">
        <v>49999.999993630197</v>
      </c>
      <c r="BV222">
        <v>4.2895214255718386E-7</v>
      </c>
      <c r="BX222">
        <v>49999.999999789274</v>
      </c>
      <c r="BY222">
        <v>1.4295575140079524E-11</v>
      </c>
    </row>
    <row r="223" spans="13:77" x14ac:dyDescent="0.35">
      <c r="M223">
        <v>22000.001296868646</v>
      </c>
      <c r="N223">
        <v>7636.3624014068973</v>
      </c>
      <c r="P223">
        <v>21999.999738289702</v>
      </c>
      <c r="Q223">
        <v>7636.3633567707129</v>
      </c>
      <c r="S223">
        <v>22000.001547217835</v>
      </c>
      <c r="T223">
        <v>7636.3614752421518</v>
      </c>
      <c r="V223">
        <v>21999.99951578485</v>
      </c>
      <c r="W223">
        <v>7636.3634955100224</v>
      </c>
      <c r="Y223">
        <v>21999.999420244691</v>
      </c>
      <c r="Z223">
        <v>7636.3636673431793</v>
      </c>
      <c r="AB223">
        <v>21999.99949798108</v>
      </c>
      <c r="AC223">
        <v>7636.3635279904311</v>
      </c>
      <c r="AE223">
        <v>21999.999488703386</v>
      </c>
      <c r="AF223">
        <v>7636.3635445279997</v>
      </c>
      <c r="AH223">
        <v>21999.999542648235</v>
      </c>
      <c r="AI223">
        <v>7636.3634426212266</v>
      </c>
      <c r="AK223">
        <v>21999.97212046033</v>
      </c>
      <c r="AL223">
        <v>7636.3819141478316</v>
      </c>
      <c r="AZ223">
        <v>49999.999999024811</v>
      </c>
      <c r="BA223">
        <v>5.4014913038554597E-8</v>
      </c>
      <c r="BC223">
        <v>49999.999995235965</v>
      </c>
      <c r="BD223">
        <v>3.1845021318905418E-7</v>
      </c>
      <c r="BF223">
        <v>49999.999999533269</v>
      </c>
      <c r="BG223">
        <v>1.8402955152079741E-8</v>
      </c>
      <c r="BI223">
        <v>49999.999994338345</v>
      </c>
      <c r="BJ223">
        <v>3.8276978175654265E-7</v>
      </c>
      <c r="BL223">
        <v>49999.999994993079</v>
      </c>
      <c r="BM223">
        <v>3.4267048298403299E-7</v>
      </c>
      <c r="BO223">
        <v>49999.999994399412</v>
      </c>
      <c r="BP223">
        <v>3.7963322362528968E-7</v>
      </c>
      <c r="BR223">
        <v>49999.999994441285</v>
      </c>
      <c r="BS223">
        <v>3.7727729291773756E-7</v>
      </c>
      <c r="BU223">
        <v>49999.999994293416</v>
      </c>
      <c r="BV223">
        <v>3.8406902700297419E-7</v>
      </c>
      <c r="BX223">
        <v>49999.999999813466</v>
      </c>
      <c r="BY223">
        <v>1.27997673630465E-11</v>
      </c>
    </row>
    <row r="224" spans="13:77" x14ac:dyDescent="0.35">
      <c r="M224">
        <v>22000.001383191986</v>
      </c>
      <c r="N224">
        <v>7636.3625204977425</v>
      </c>
      <c r="P224">
        <v>21999.999844545175</v>
      </c>
      <c r="Q224">
        <v>7636.3633386518777</v>
      </c>
      <c r="S224">
        <v>22000.001811057205</v>
      </c>
      <c r="T224">
        <v>7636.3616250140249</v>
      </c>
      <c r="V224">
        <v>21999.999624336189</v>
      </c>
      <c r="W224">
        <v>7636.3634577766597</v>
      </c>
      <c r="Y224">
        <v>21999.999503526804</v>
      </c>
      <c r="Z224">
        <v>7636.36361993218</v>
      </c>
      <c r="AB224">
        <v>21999.999601716059</v>
      </c>
      <c r="AC224">
        <v>7636.3634884485155</v>
      </c>
      <c r="AE224">
        <v>21999.999590019321</v>
      </c>
      <c r="AF224">
        <v>7636.3635040479739</v>
      </c>
      <c r="AH224">
        <v>21999.999659374324</v>
      </c>
      <c r="AI224">
        <v>7636.363407660112</v>
      </c>
      <c r="AK224">
        <v>21999.972199062751</v>
      </c>
      <c r="AL224">
        <v>7636.3794464729508</v>
      </c>
      <c r="AZ224">
        <v>49999.999999128202</v>
      </c>
      <c r="BA224">
        <v>4.8363099368316636E-8</v>
      </c>
      <c r="BC224">
        <v>49999.999995732367</v>
      </c>
      <c r="BD224">
        <v>2.8512939182432762E-7</v>
      </c>
      <c r="BF224">
        <v>49999.999999583939</v>
      </c>
      <c r="BG224">
        <v>1.6477374462436975E-8</v>
      </c>
      <c r="BI224">
        <v>49999.999994927595</v>
      </c>
      <c r="BJ224">
        <v>3.4271892610054774E-7</v>
      </c>
      <c r="BL224">
        <v>49999.999995513521</v>
      </c>
      <c r="BM224">
        <v>3.0681539016995705E-7</v>
      </c>
      <c r="BO224">
        <v>49999.999994982143</v>
      </c>
      <c r="BP224">
        <v>3.3991055959513762E-7</v>
      </c>
      <c r="BR224">
        <v>49999.999995019585</v>
      </c>
      <c r="BS224">
        <v>3.3780114009410957E-7</v>
      </c>
      <c r="BU224">
        <v>49999.999994887614</v>
      </c>
      <c r="BV224">
        <v>3.4388222570464655E-7</v>
      </c>
      <c r="BX224">
        <v>49999.999999834887</v>
      </c>
      <c r="BY224">
        <v>1.1460472414907836E-11</v>
      </c>
    </row>
    <row r="225" spans="13:77" x14ac:dyDescent="0.35">
      <c r="M225">
        <v>22000.00142818367</v>
      </c>
      <c r="N225">
        <v>7636.3626452644739</v>
      </c>
      <c r="P225">
        <v>21999.99993844665</v>
      </c>
      <c r="Q225">
        <v>7636.363329361493</v>
      </c>
      <c r="S225">
        <v>22000.00199867065</v>
      </c>
      <c r="T225">
        <v>7636.3617945294154</v>
      </c>
      <c r="V225">
        <v>21999.999724762401</v>
      </c>
      <c r="W225">
        <v>7636.3634292774841</v>
      </c>
      <c r="Y225">
        <v>21999.999584892888</v>
      </c>
      <c r="Z225">
        <v>7636.3635798122414</v>
      </c>
      <c r="AB225">
        <v>21999.999698500953</v>
      </c>
      <c r="AC225">
        <v>7636.3634577700213</v>
      </c>
      <c r="AE225">
        <v>21999.999684982296</v>
      </c>
      <c r="AF225">
        <v>7636.3634722454826</v>
      </c>
      <c r="AH225">
        <v>21999.999766050456</v>
      </c>
      <c r="AI225">
        <v>7636.3633825658071</v>
      </c>
      <c r="AK225">
        <v>21999.972842519972</v>
      </c>
      <c r="AL225">
        <v>7636.3770127769121</v>
      </c>
      <c r="AZ225">
        <v>49999.999999220614</v>
      </c>
      <c r="BA225">
        <v>4.3302659375587016E-8</v>
      </c>
      <c r="BC225">
        <v>49999.999996177066</v>
      </c>
      <c r="BD225">
        <v>2.5529507193007418E-7</v>
      </c>
      <c r="BF225">
        <v>49999.999999629094</v>
      </c>
      <c r="BG225">
        <v>1.4753275597953815E-8</v>
      </c>
      <c r="BI225">
        <v>49999.999995455546</v>
      </c>
      <c r="BJ225">
        <v>3.0685876447387147E-7</v>
      </c>
      <c r="BL225">
        <v>49999.999995979902</v>
      </c>
      <c r="BM225">
        <v>2.7471197059507029E-7</v>
      </c>
      <c r="BO225">
        <v>49999.99999550428</v>
      </c>
      <c r="BP225">
        <v>3.043442494868352E-7</v>
      </c>
      <c r="BR225">
        <v>49999.999995537757</v>
      </c>
      <c r="BS225">
        <v>3.0245554765996351E-7</v>
      </c>
      <c r="BU225">
        <v>49999.999995419974</v>
      </c>
      <c r="BV225">
        <v>3.0790034301543064E-7</v>
      </c>
      <c r="BX225">
        <v>49999.999999853848</v>
      </c>
      <c r="BY225">
        <v>1.0261313682314597E-11</v>
      </c>
    </row>
    <row r="226" spans="13:77" x14ac:dyDescent="0.35">
      <c r="M226">
        <v>22000.001436970095</v>
      </c>
      <c r="N226">
        <v>7636.362772288312</v>
      </c>
      <c r="P226">
        <v>22000.00001985842</v>
      </c>
      <c r="Q226">
        <v>7636.3633277979288</v>
      </c>
      <c r="S226">
        <v>22000.002117343141</v>
      </c>
      <c r="T226">
        <v>7636.3619773795044</v>
      </c>
      <c r="V226">
        <v>21999.999816172556</v>
      </c>
      <c r="W226">
        <v>7636.3634092496277</v>
      </c>
      <c r="Y226">
        <v>21999.999662936923</v>
      </c>
      <c r="Z226">
        <v>7636.3635467462809</v>
      </c>
      <c r="AB226">
        <v>21999.999787348061</v>
      </c>
      <c r="AC226">
        <v>7636.363435291616</v>
      </c>
      <c r="AE226">
        <v>21999.999772554849</v>
      </c>
      <c r="AF226">
        <v>7636.3634485077473</v>
      </c>
      <c r="AH226">
        <v>21999.9998619383</v>
      </c>
      <c r="AI226">
        <v>7636.3633664121126</v>
      </c>
      <c r="AK226">
        <v>21999.973954684334</v>
      </c>
      <c r="AL226">
        <v>7636.3746585346635</v>
      </c>
      <c r="AZ226">
        <v>49999.999999303225</v>
      </c>
      <c r="BA226">
        <v>3.8771715078027361E-8</v>
      </c>
      <c r="BC226">
        <v>49999.999996575447</v>
      </c>
      <c r="BD226">
        <v>2.2858244579722283E-7</v>
      </c>
      <c r="BF226">
        <v>49999.999999669337</v>
      </c>
      <c r="BG226">
        <v>1.3209576644956645E-8</v>
      </c>
      <c r="BI226">
        <v>49999.999995928578</v>
      </c>
      <c r="BJ226">
        <v>2.7475080645815573E-7</v>
      </c>
      <c r="BL226">
        <v>49999.999996397841</v>
      </c>
      <c r="BM226">
        <v>2.4596767048270146E-7</v>
      </c>
      <c r="BO226">
        <v>49999.999995972117</v>
      </c>
      <c r="BP226">
        <v>2.7249939603580675E-7</v>
      </c>
      <c r="BR226">
        <v>49999.99999600205</v>
      </c>
      <c r="BS226">
        <v>2.7080831723943463E-7</v>
      </c>
      <c r="BU226">
        <v>49999.999995896927</v>
      </c>
      <c r="BV226">
        <v>2.7568340013773808E-7</v>
      </c>
      <c r="BX226">
        <v>49999.999999870626</v>
      </c>
      <c r="BY226">
        <v>9.1876281077118406E-12</v>
      </c>
    </row>
    <row r="227" spans="13:77" x14ac:dyDescent="0.35">
      <c r="M227">
        <v>22000.001414676743</v>
      </c>
      <c r="N227">
        <v>7636.3628986048716</v>
      </c>
      <c r="P227">
        <v>22000.000088923607</v>
      </c>
      <c r="Q227">
        <v>7636.3633328608585</v>
      </c>
      <c r="S227">
        <v>22000.00217472099</v>
      </c>
      <c r="T227">
        <v>7636.3621678185382</v>
      </c>
      <c r="V227">
        <v>21999.99989799325</v>
      </c>
      <c r="W227">
        <v>7636.363396866429</v>
      </c>
      <c r="Y227">
        <v>21999.999736527883</v>
      </c>
      <c r="Z227">
        <v>7636.3635203857275</v>
      </c>
      <c r="AB227">
        <v>21999.999867579045</v>
      </c>
      <c r="AC227">
        <v>7636.3634202772055</v>
      </c>
      <c r="AE227">
        <v>21999.999852004828</v>
      </c>
      <c r="AF227">
        <v>7636.3634321446216</v>
      </c>
      <c r="AH227">
        <v>21999.999946631433</v>
      </c>
      <c r="AI227">
        <v>7636.3633582232478</v>
      </c>
      <c r="AK227">
        <v>21999.975443785996</v>
      </c>
      <c r="AL227">
        <v>7636.372420907257</v>
      </c>
      <c r="AZ227">
        <v>49999.999999377069</v>
      </c>
      <c r="BA227">
        <v>3.4714863053876222E-8</v>
      </c>
      <c r="BC227">
        <v>49999.999996932333</v>
      </c>
      <c r="BD227">
        <v>2.0466487712313486E-7</v>
      </c>
      <c r="BF227">
        <v>49999.999999705207</v>
      </c>
      <c r="BG227">
        <v>1.1827401581463627E-8</v>
      </c>
      <c r="BI227">
        <v>49999.999996352402</v>
      </c>
      <c r="BJ227">
        <v>2.4600244278163694E-7</v>
      </c>
      <c r="BL227">
        <v>49999.999996772356</v>
      </c>
      <c r="BM227">
        <v>2.2023101065351887E-7</v>
      </c>
      <c r="BO227">
        <v>49999.9999963913</v>
      </c>
      <c r="BP227">
        <v>2.4398660715686905E-7</v>
      </c>
      <c r="BR227">
        <v>49999.999996418061</v>
      </c>
      <c r="BS227">
        <v>2.4247247323966628E-7</v>
      </c>
      <c r="BU227">
        <v>49999.999996324237</v>
      </c>
      <c r="BV227">
        <v>2.4683745515612367E-7</v>
      </c>
      <c r="BX227">
        <v>49999.999999885484</v>
      </c>
      <c r="BY227">
        <v>8.2262868925941331E-12</v>
      </c>
    </row>
    <row r="228" spans="13:77" x14ac:dyDescent="0.35">
      <c r="M228">
        <v>22000.001366322063</v>
      </c>
      <c r="N228">
        <v>7636.3630216990068</v>
      </c>
      <c r="P228">
        <v>22000.000146020324</v>
      </c>
      <c r="Q228">
        <v>7636.3633434738804</v>
      </c>
      <c r="S228">
        <v>22000.002178600345</v>
      </c>
      <c r="T228">
        <v>7636.3623607857489</v>
      </c>
      <c r="V228">
        <v>21999.999969933961</v>
      </c>
      <c r="W228">
        <v>7636.3633912639207</v>
      </c>
      <c r="Y228">
        <v>21999.999804792875</v>
      </c>
      <c r="Z228">
        <v>7636.36350029409</v>
      </c>
      <c r="AB228">
        <v>21999.999938793651</v>
      </c>
      <c r="AC228">
        <v>7636.3634119438593</v>
      </c>
      <c r="AE228">
        <v>21999.999922875813</v>
      </c>
      <c r="AF228">
        <v>7636.3634224142415</v>
      </c>
      <c r="AH228">
        <v>22000.000020015104</v>
      </c>
      <c r="AI228">
        <v>7636.3633570013508</v>
      </c>
      <c r="AK228">
        <v>21999.977223693753</v>
      </c>
      <c r="AL228">
        <v>7636.3703291902366</v>
      </c>
      <c r="AZ228">
        <v>49999.999999443076</v>
      </c>
      <c r="BA228">
        <v>3.1082496980708616E-8</v>
      </c>
      <c r="BC228">
        <v>49999.999997252038</v>
      </c>
      <c r="BD228">
        <v>1.8324990697245929E-7</v>
      </c>
      <c r="BF228">
        <v>49999.999999737178</v>
      </c>
      <c r="BG228">
        <v>1.0589849465208526E-8</v>
      </c>
      <c r="BI228">
        <v>49999.999996732127</v>
      </c>
      <c r="BJ228">
        <v>2.2026214457658293E-7</v>
      </c>
      <c r="BL228">
        <v>49999.99999710796</v>
      </c>
      <c r="BM228">
        <v>1.9718728871298007E-7</v>
      </c>
      <c r="BO228">
        <v>49999.999996766877</v>
      </c>
      <c r="BP228">
        <v>2.18457234540741E-7</v>
      </c>
      <c r="BR228">
        <v>49999.999996790808</v>
      </c>
      <c r="BS228">
        <v>2.1710153099567299E-7</v>
      </c>
      <c r="BU228">
        <v>49999.999996707062</v>
      </c>
      <c r="BV228">
        <v>2.2100978599943882E-7</v>
      </c>
      <c r="BX228">
        <v>49999.999999898631</v>
      </c>
      <c r="BY228">
        <v>7.3655349613539074E-12</v>
      </c>
    </row>
    <row r="229" spans="13:77" x14ac:dyDescent="0.35">
      <c r="M229">
        <v>22000.001296729122</v>
      </c>
      <c r="N229">
        <v>7636.3631394910963</v>
      </c>
      <c r="P229">
        <v>22000.000191719391</v>
      </c>
      <c r="Q229">
        <v>7636.3633586033238</v>
      </c>
      <c r="S229">
        <v>22000.002136743591</v>
      </c>
      <c r="T229">
        <v>7636.3625519098541</v>
      </c>
      <c r="V229">
        <v>22000.000031951582</v>
      </c>
      <c r="W229">
        <v>7636.3633915642149</v>
      </c>
      <c r="Y229">
        <v>21999.999867097391</v>
      </c>
      <c r="Z229">
        <v>7636.3634859688982</v>
      </c>
      <c r="AB229">
        <v>22000.000000837226</v>
      </c>
      <c r="AC229">
        <v>7636.3634094849103</v>
      </c>
      <c r="AE229">
        <v>21999.999984956154</v>
      </c>
      <c r="AF229">
        <v>7636.3634185459878</v>
      </c>
      <c r="AH229">
        <v>22000.000082225852</v>
      </c>
      <c r="AI229">
        <v>7636.3633617504056</v>
      </c>
      <c r="AK229">
        <v>21999.9792148741</v>
      </c>
      <c r="AL229">
        <v>7636.3684053593624</v>
      </c>
      <c r="AZ229">
        <v>49999.999999502084</v>
      </c>
      <c r="BA229">
        <v>2.7830201059891516E-8</v>
      </c>
      <c r="BC229">
        <v>49999.999997538442</v>
      </c>
      <c r="BD229">
        <v>1.6407567765155793E-7</v>
      </c>
      <c r="BF229">
        <v>49999.999999765671</v>
      </c>
      <c r="BG229">
        <v>9.4817877725186334E-9</v>
      </c>
      <c r="BI229">
        <v>49999.999997072344</v>
      </c>
      <c r="BJ229">
        <v>1.9721516495916327E-7</v>
      </c>
      <c r="BL229">
        <v>49999.99999740869</v>
      </c>
      <c r="BM229">
        <v>1.7655473093747482E-7</v>
      </c>
      <c r="BO229">
        <v>49999.99999710339</v>
      </c>
      <c r="BP229">
        <v>1.9559911045676914E-7</v>
      </c>
      <c r="BR229">
        <v>49999.999997124789</v>
      </c>
      <c r="BS229">
        <v>1.9438526002964805E-7</v>
      </c>
      <c r="BU229">
        <v>49999.999997050036</v>
      </c>
      <c r="BV229">
        <v>1.9788457743046469E-7</v>
      </c>
      <c r="BX229">
        <v>49999.999999910273</v>
      </c>
      <c r="BY229">
        <v>6.5948472227208193E-12</v>
      </c>
    </row>
    <row r="230" spans="13:77" x14ac:dyDescent="0.35">
      <c r="M230">
        <v>22000.001210454247</v>
      </c>
      <c r="N230">
        <v>7636.3632503163117</v>
      </c>
      <c r="P230">
        <v>22000.000226744243</v>
      </c>
      <c r="Q230">
        <v>7636.3633772734183</v>
      </c>
      <c r="S230">
        <v>22000.002056723377</v>
      </c>
      <c r="T230">
        <v>7636.3627374986099</v>
      </c>
      <c r="V230">
        <v>22000.000084215062</v>
      </c>
      <c r="W230">
        <v>7636.363396895742</v>
      </c>
      <c r="Y230">
        <v>21999.999923023512</v>
      </c>
      <c r="Z230">
        <v>7636.3634768617931</v>
      </c>
      <c r="AB230">
        <v>22000.000053767926</v>
      </c>
      <c r="AC230">
        <v>7636.3634120901588</v>
      </c>
      <c r="AE230">
        <v>22000.000038247479</v>
      </c>
      <c r="AF230">
        <v>7636.3634197606771</v>
      </c>
      <c r="AH230">
        <v>22000.000133611844</v>
      </c>
      <c r="AI230">
        <v>7636.363371496619</v>
      </c>
      <c r="AK230">
        <v>21999.981345072934</v>
      </c>
      <c r="AL230">
        <v>7636.3666646880865</v>
      </c>
      <c r="AZ230">
        <v>49999.999999554835</v>
      </c>
      <c r="BA230">
        <v>2.4918206909658753E-8</v>
      </c>
      <c r="BC230">
        <v>49999.999997795006</v>
      </c>
      <c r="BD230">
        <v>1.4690773076839754E-7</v>
      </c>
      <c r="BF230">
        <v>49999.999999791071</v>
      </c>
      <c r="BG230">
        <v>8.4896673610385608E-9</v>
      </c>
      <c r="BI230">
        <v>49999.999997377156</v>
      </c>
      <c r="BJ230">
        <v>1.7657969037158636E-7</v>
      </c>
      <c r="BL230">
        <v>49999.999997678169</v>
      </c>
      <c r="BM230">
        <v>1.5808104680524389E-7</v>
      </c>
      <c r="BO230">
        <v>49999.999997404899</v>
      </c>
      <c r="BP230">
        <v>1.7513273063240076E-7</v>
      </c>
      <c r="BR230">
        <v>49999.999997424035</v>
      </c>
      <c r="BS230">
        <v>1.7404589061875176E-7</v>
      </c>
      <c r="BU230">
        <v>49999.999997357307</v>
      </c>
      <c r="BV230">
        <v>1.7717905932445132E-7</v>
      </c>
      <c r="BX230">
        <v>49999.999999920576</v>
      </c>
      <c r="BY230">
        <v>5.9047998711875839E-12</v>
      </c>
    </row>
    <row r="231" spans="13:77" x14ac:dyDescent="0.35">
      <c r="M231">
        <v>22000.001111731668</v>
      </c>
      <c r="N231">
        <v>7636.3633528983282</v>
      </c>
      <c r="P231">
        <v>22000.000251933561</v>
      </c>
      <c r="Q231">
        <v>7636.3633985780352</v>
      </c>
      <c r="S231">
        <v>22000.001945793425</v>
      </c>
      <c r="T231">
        <v>7636.3629145158102</v>
      </c>
      <c r="V231">
        <v>22000.000127070802</v>
      </c>
      <c r="W231">
        <v>7636.3634064103944</v>
      </c>
      <c r="Y231">
        <v>21999.999972346828</v>
      </c>
      <c r="Z231">
        <v>7636.3634723966188</v>
      </c>
      <c r="AB231">
        <v>22000.000097824312</v>
      </c>
      <c r="AC231">
        <v>7636.3634189631857</v>
      </c>
      <c r="AE231">
        <v>22000.000082933399</v>
      </c>
      <c r="AF231">
        <v>7636.3634252879719</v>
      </c>
      <c r="AH231">
        <v>22000.000174694625</v>
      </c>
      <c r="AI231">
        <v>7636.3633853053516</v>
      </c>
      <c r="AK231">
        <v>21999.983549746376</v>
      </c>
      <c r="AL231">
        <v>7636.365116413459</v>
      </c>
      <c r="AZ231">
        <v>49999.999999601991</v>
      </c>
      <c r="BA231">
        <v>2.2310907285809454E-8</v>
      </c>
      <c r="BC231">
        <v>49999.999998024839</v>
      </c>
      <c r="BD231">
        <v>1.3153614032526732E-7</v>
      </c>
      <c r="BF231">
        <v>49999.999999813714</v>
      </c>
      <c r="BG231">
        <v>7.6013567937035319E-9</v>
      </c>
      <c r="BI231">
        <v>49999.999997650251</v>
      </c>
      <c r="BJ231">
        <v>1.581033946259345E-7</v>
      </c>
      <c r="BL231">
        <v>49999.999997919644</v>
      </c>
      <c r="BM231">
        <v>1.4154034404161199E-7</v>
      </c>
      <c r="BO231">
        <v>49999.999997675041</v>
      </c>
      <c r="BP231">
        <v>1.5680783653446712E-7</v>
      </c>
      <c r="BR231">
        <v>49999.999997692154</v>
      </c>
      <c r="BS231">
        <v>1.5583471728609917E-7</v>
      </c>
      <c r="BU231">
        <v>49999.999997632585</v>
      </c>
      <c r="BV231">
        <v>1.5864004901625572E-7</v>
      </c>
      <c r="BX231">
        <v>49999.999999929692</v>
      </c>
      <c r="BY231">
        <v>5.2869551547235482E-12</v>
      </c>
    </row>
    <row r="232" spans="13:77" x14ac:dyDescent="0.35">
      <c r="M232">
        <v>22000.00100443295</v>
      </c>
      <c r="N232">
        <v>7636.3634463188273</v>
      </c>
      <c r="P232">
        <v>22000.00026820699</v>
      </c>
      <c r="Q232">
        <v>7636.3634216892624</v>
      </c>
      <c r="S232">
        <v>22000.001810784899</v>
      </c>
      <c r="T232">
        <v>7636.3630805480607</v>
      </c>
      <c r="V232">
        <v>22000.00016100947</v>
      </c>
      <c r="W232">
        <v>7636.3634192976688</v>
      </c>
      <c r="Y232">
        <v>22000.000015012716</v>
      </c>
      <c r="Z232">
        <v>7636.3634719854481</v>
      </c>
      <c r="AB232">
        <v>22000.000133393958</v>
      </c>
      <c r="AC232">
        <v>7636.3634293358473</v>
      </c>
      <c r="AE232">
        <v>22000.000119349013</v>
      </c>
      <c r="AF232">
        <v>7636.3634343810563</v>
      </c>
      <c r="AH232">
        <v>22000.0002061329</v>
      </c>
      <c r="AI232">
        <v>7636.3634022947554</v>
      </c>
      <c r="AK232">
        <v>21999.985772268599</v>
      </c>
      <c r="AL232">
        <v>7636.3637644295623</v>
      </c>
      <c r="AZ232">
        <v>49999.999999644147</v>
      </c>
      <c r="BA232">
        <v>1.9976420683910331E-8</v>
      </c>
      <c r="BC232">
        <v>49999.999998230727</v>
      </c>
      <c r="BD232">
        <v>1.1777294578838963E-7</v>
      </c>
      <c r="BF232">
        <v>49999.999999833897</v>
      </c>
      <c r="BG232">
        <v>6.8059939981109937E-9</v>
      </c>
      <c r="BI232">
        <v>49999.999997894927</v>
      </c>
      <c r="BJ232">
        <v>1.4156035351327834E-7</v>
      </c>
      <c r="BL232">
        <v>49999.999998136016</v>
      </c>
      <c r="BM232">
        <v>1.267303664563641E-7</v>
      </c>
      <c r="BO232">
        <v>49999.999997917075</v>
      </c>
      <c r="BP232">
        <v>1.4040035526113976E-7</v>
      </c>
      <c r="BR232">
        <v>49999.999997932377</v>
      </c>
      <c r="BS232">
        <v>1.3952905768315793E-7</v>
      </c>
      <c r="BU232">
        <v>49999.999997879204</v>
      </c>
      <c r="BV232">
        <v>1.4204085543663508E-7</v>
      </c>
      <c r="BX232">
        <v>49999.999999937761</v>
      </c>
      <c r="BY232">
        <v>4.7337581997401409E-12</v>
      </c>
    </row>
    <row r="233" spans="13:77" x14ac:dyDescent="0.35">
      <c r="M233">
        <v>22000.000892039894</v>
      </c>
      <c r="N233">
        <v>7636.3635299840544</v>
      </c>
      <c r="P233">
        <v>22000.000276534203</v>
      </c>
      <c r="Q233">
        <v>7636.3634458631041</v>
      </c>
      <c r="S233">
        <v>22000.001658026729</v>
      </c>
      <c r="T233">
        <v>7636.3632337635117</v>
      </c>
      <c r="V233">
        <v>22000.000186634668</v>
      </c>
      <c r="W233">
        <v>7636.3634347959605</v>
      </c>
      <c r="Y233">
        <v>22000.000051112584</v>
      </c>
      <c r="Z233">
        <v>7636.3634750424926</v>
      </c>
      <c r="AB233">
        <v>22000.000160983571</v>
      </c>
      <c r="AC233">
        <v>7636.3634424800503</v>
      </c>
      <c r="AE233">
        <v>22000.00014795176</v>
      </c>
      <c r="AF233">
        <v>7636.363446328668</v>
      </c>
      <c r="AH233">
        <v>22000.000228688747</v>
      </c>
      <c r="AI233">
        <v>7636.3634216463188</v>
      </c>
      <c r="AK233">
        <v>21999.987963945026</v>
      </c>
      <c r="AL233">
        <v>7636.3626079900578</v>
      </c>
      <c r="AZ233">
        <v>49999.99999968183</v>
      </c>
      <c r="BA233">
        <v>1.7886201499050293E-8</v>
      </c>
      <c r="BC233">
        <v>49999.999998415158</v>
      </c>
      <c r="BD233">
        <v>1.0544985374654602E-7</v>
      </c>
      <c r="BF233">
        <v>49999.999999851891</v>
      </c>
      <c r="BG233">
        <v>6.0938534474129367E-9</v>
      </c>
      <c r="BI233">
        <v>49999.999998114137</v>
      </c>
      <c r="BJ233">
        <v>1.2674828225056792E-7</v>
      </c>
      <c r="BL233">
        <v>49999.999998329899</v>
      </c>
      <c r="BM233">
        <v>1.1347002079812904E-7</v>
      </c>
      <c r="BO233">
        <v>49999.999998133928</v>
      </c>
      <c r="BP233">
        <v>1.2570965962621068E-7</v>
      </c>
      <c r="BR233">
        <v>49999.999998147607</v>
      </c>
      <c r="BS233">
        <v>1.249295296774181E-7</v>
      </c>
      <c r="BU233">
        <v>49999.999998100146</v>
      </c>
      <c r="BV233">
        <v>1.2717850718213322E-7</v>
      </c>
      <c r="BX233">
        <v>49999.999999944906</v>
      </c>
      <c r="BY233">
        <v>4.2384446317058556E-12</v>
      </c>
    </row>
    <row r="234" spans="13:77" x14ac:dyDescent="0.35">
      <c r="M234">
        <v>22000.000777629491</v>
      </c>
      <c r="N234">
        <v>7636.3636035895488</v>
      </c>
      <c r="P234">
        <v>22000.000277907468</v>
      </c>
      <c r="Q234">
        <v>7636.3634704426022</v>
      </c>
      <c r="S234">
        <v>22000.001493288022</v>
      </c>
      <c r="T234">
        <v>7636.3633728645818</v>
      </c>
      <c r="V234">
        <v>22000.000204633878</v>
      </c>
      <c r="W234">
        <v>7636.3634522011826</v>
      </c>
      <c r="Y234">
        <v>22000.000080860573</v>
      </c>
      <c r="Z234">
        <v>7636.3634809959367</v>
      </c>
      <c r="AB234">
        <v>22000.000181191019</v>
      </c>
      <c r="AC234">
        <v>7636.3634577169814</v>
      </c>
      <c r="AE234">
        <v>22000.000169293995</v>
      </c>
      <c r="AF234">
        <v>7636.3634604646359</v>
      </c>
      <c r="AH234">
        <v>22000.00024319669</v>
      </c>
      <c r="AI234">
        <v>7636.3634426125491</v>
      </c>
      <c r="AK234">
        <v>21999.99008385916</v>
      </c>
      <c r="AL234">
        <v>7636.3616424039428</v>
      </c>
      <c r="AZ234">
        <v>49999.999999715517</v>
      </c>
      <c r="BA234">
        <v>1.6014690976263859E-8</v>
      </c>
      <c r="BC234">
        <v>49999.999998580373</v>
      </c>
      <c r="BD234">
        <v>9.4416180055089257E-8</v>
      </c>
      <c r="BF234">
        <v>49999.999999867927</v>
      </c>
      <c r="BG234">
        <v>5.4562272386451749E-9</v>
      </c>
      <c r="BI234">
        <v>49999.99999831053</v>
      </c>
      <c r="BJ234">
        <v>1.1348606198538915E-7</v>
      </c>
      <c r="BL234">
        <v>49999.999998503627</v>
      </c>
      <c r="BM234">
        <v>1.0159716238467235E-7</v>
      </c>
      <c r="BO234">
        <v>49999.99999832821</v>
      </c>
      <c r="BP234">
        <v>1.125561149325899E-7</v>
      </c>
      <c r="BR234">
        <v>49999.999998340449</v>
      </c>
      <c r="BS234">
        <v>1.1185761335014113E-7</v>
      </c>
      <c r="BU234">
        <v>49999.999998298081</v>
      </c>
      <c r="BV234">
        <v>1.1387127062398892E-7</v>
      </c>
      <c r="BX234">
        <v>49999.999999951229</v>
      </c>
      <c r="BY234">
        <v>3.7949578618153265E-12</v>
      </c>
    </row>
    <row r="235" spans="13:77" x14ac:dyDescent="0.35">
      <c r="M235">
        <v>22000.000663869472</v>
      </c>
      <c r="N235">
        <v>7636.3636670840442</v>
      </c>
      <c r="P235">
        <v>22000.00027331775</v>
      </c>
      <c r="Q235">
        <v>7636.3634948586996</v>
      </c>
      <c r="S235">
        <v>22000.001321740521</v>
      </c>
      <c r="T235">
        <v>7636.3634970365374</v>
      </c>
      <c r="V235">
        <v>22000.00021575189</v>
      </c>
      <c r="W235">
        <v>7636.3634708729305</v>
      </c>
      <c r="Y235">
        <v>22000.000104571114</v>
      </c>
      <c r="Z235">
        <v>7636.3634892977425</v>
      </c>
      <c r="AB235">
        <v>22000.000194679571</v>
      </c>
      <c r="AC235">
        <v>7636.3634744239525</v>
      </c>
      <c r="AE235">
        <v>22000.000183997632</v>
      </c>
      <c r="AF235">
        <v>7636.3634761750782</v>
      </c>
      <c r="AH235">
        <v>22000.000250535759</v>
      </c>
      <c r="AI235">
        <v>7636.36346452206</v>
      </c>
      <c r="AK235">
        <v>21999.992098580617</v>
      </c>
      <c r="AL235">
        <v>7636.3608597110906</v>
      </c>
      <c r="AZ235">
        <v>49999.99999974564</v>
      </c>
      <c r="BA235">
        <v>1.4339004683519531E-8</v>
      </c>
      <c r="BC235">
        <v>49999.999998728374</v>
      </c>
      <c r="BD235">
        <v>8.4537007302316816E-8</v>
      </c>
      <c r="BF235">
        <v>49999.999999882224</v>
      </c>
      <c r="BG235">
        <v>4.8853186143447182E-9</v>
      </c>
      <c r="BI235">
        <v>49999.999998486484</v>
      </c>
      <c r="BJ235">
        <v>1.0161152511321242E-7</v>
      </c>
      <c r="BL235">
        <v>49999.999998659296</v>
      </c>
      <c r="BM235">
        <v>9.0966612432256866E-8</v>
      </c>
      <c r="BO235">
        <v>49999.999998502281</v>
      </c>
      <c r="BP235">
        <v>1.0077888243748935E-7</v>
      </c>
      <c r="BR235">
        <v>49999.999998513224</v>
      </c>
      <c r="BS235">
        <v>1.0015346809281603E-7</v>
      </c>
      <c r="BU235">
        <v>49999.999998475403</v>
      </c>
      <c r="BV235">
        <v>1.0195642770803029E-7</v>
      </c>
      <c r="BX235">
        <v>49999.999999956832</v>
      </c>
      <c r="BY235">
        <v>3.3978750283115005E-12</v>
      </c>
    </row>
    <row r="236" spans="13:77" x14ac:dyDescent="0.35">
      <c r="M236">
        <v>22000.000553023001</v>
      </c>
      <c r="N236">
        <v>7636.3637206334142</v>
      </c>
      <c r="P236">
        <v>22000.000263734375</v>
      </c>
      <c r="Q236">
        <v>7636.3635186291476</v>
      </c>
      <c r="S236">
        <v>22000.001147938965</v>
      </c>
      <c r="T236">
        <v>7636.3636058935981</v>
      </c>
      <c r="V236">
        <v>22000.000220766982</v>
      </c>
      <c r="W236">
        <v>7636.3634902384247</v>
      </c>
      <c r="Y236">
        <v>22000.000122637717</v>
      </c>
      <c r="Z236">
        <v>7636.363499431528</v>
      </c>
      <c r="AB236">
        <v>22000.000202154562</v>
      </c>
      <c r="AC236">
        <v>7636.3634920390832</v>
      </c>
      <c r="AE236">
        <v>22000.000192731037</v>
      </c>
      <c r="AF236">
        <v>7636.3634929034652</v>
      </c>
      <c r="AH236">
        <v>22000.000251604743</v>
      </c>
      <c r="AI236">
        <v>7636.363486782333</v>
      </c>
      <c r="AK236">
        <v>21999.993981760752</v>
      </c>
      <c r="AL236">
        <v>7636.3602493265371</v>
      </c>
      <c r="AZ236">
        <v>49999.999999772568</v>
      </c>
      <c r="BA236">
        <v>1.2838652685759345E-8</v>
      </c>
      <c r="BC236">
        <v>49999.999998860949</v>
      </c>
      <c r="BD236">
        <v>7.5691535068096824E-8</v>
      </c>
      <c r="BF236">
        <v>49999.999999894972</v>
      </c>
      <c r="BG236">
        <v>4.3741466254602607E-9</v>
      </c>
      <c r="BI236">
        <v>49999.999998644118</v>
      </c>
      <c r="BJ236">
        <v>9.0979472326464301E-8</v>
      </c>
      <c r="BL236">
        <v>49999.999998798783</v>
      </c>
      <c r="BM236">
        <v>8.1448382840396985E-8</v>
      </c>
      <c r="BO236">
        <v>49999.999998658233</v>
      </c>
      <c r="BP236">
        <v>9.0233952650532961E-8</v>
      </c>
      <c r="BR236">
        <v>49999.99999866802</v>
      </c>
      <c r="BS236">
        <v>8.9673978110242846E-8</v>
      </c>
      <c r="BU236">
        <v>49999.999998634259</v>
      </c>
      <c r="BV236">
        <v>9.1288286272965468E-8</v>
      </c>
      <c r="BX236">
        <v>49999.999999961787</v>
      </c>
      <c r="BY236">
        <v>3.0423406868871675E-12</v>
      </c>
    </row>
    <row r="237" spans="13:77" x14ac:dyDescent="0.35">
      <c r="M237">
        <v>22000.000446961054</v>
      </c>
      <c r="N237">
        <v>7636.3637645854014</v>
      </c>
      <c r="P237">
        <v>22000.000250088091</v>
      </c>
      <c r="Q237">
        <v>7636.3635413557813</v>
      </c>
      <c r="S237">
        <v>22000.0009758171</v>
      </c>
      <c r="T237">
        <v>7636.3636994240533</v>
      </c>
      <c r="V237">
        <v>22000.000220469861</v>
      </c>
      <c r="W237">
        <v>7636.3635097944716</v>
      </c>
      <c r="Y237">
        <v>22000.000135513215</v>
      </c>
      <c r="Z237">
        <v>7636.3635109186298</v>
      </c>
      <c r="AB237">
        <v>22000.000204342596</v>
      </c>
      <c r="AC237">
        <v>7636.3635100640358</v>
      </c>
      <c r="AE237">
        <v>22000.000196188375</v>
      </c>
      <c r="AF237">
        <v>7636.3635101537493</v>
      </c>
      <c r="AH237">
        <v>22000.000247300672</v>
      </c>
      <c r="AI237">
        <v>7636.3635088804403</v>
      </c>
      <c r="AK237">
        <v>21999.99571364075</v>
      </c>
      <c r="AL237">
        <v>7636.3597986447248</v>
      </c>
      <c r="AZ237">
        <v>49999.999999796644</v>
      </c>
      <c r="BA237">
        <v>1.1495288998337404E-8</v>
      </c>
      <c r="BC237">
        <v>49999.999998979707</v>
      </c>
      <c r="BD237">
        <v>6.7771602802060373E-8</v>
      </c>
      <c r="BF237">
        <v>49999.999999906337</v>
      </c>
      <c r="BG237">
        <v>3.9164607697941498E-9</v>
      </c>
      <c r="BI237">
        <v>49999.999998785344</v>
      </c>
      <c r="BJ237">
        <v>8.1459897148320644E-8</v>
      </c>
      <c r="BL237">
        <v>49999.999998923762</v>
      </c>
      <c r="BM237">
        <v>7.2926086725052402E-8</v>
      </c>
      <c r="BO237">
        <v>49999.999998797954</v>
      </c>
      <c r="BP237">
        <v>8.0792384416380978E-8</v>
      </c>
      <c r="BR237">
        <v>49999.999998806707</v>
      </c>
      <c r="BS237">
        <v>8.0291002431071274E-8</v>
      </c>
      <c r="BU237">
        <v>49999.99999877657</v>
      </c>
      <c r="BV237">
        <v>8.1736398557665356E-8</v>
      </c>
      <c r="BX237">
        <v>49999.999999966174</v>
      </c>
      <c r="BY237">
        <v>2.7240074393462085E-12</v>
      </c>
    </row>
    <row r="238" spans="13:77" x14ac:dyDescent="0.35">
      <c r="M238">
        <v>22000.000347181136</v>
      </c>
      <c r="N238">
        <v>7636.363799435745</v>
      </c>
      <c r="P238">
        <v>22000.000233257437</v>
      </c>
      <c r="Q238">
        <v>7636.3635627204485</v>
      </c>
      <c r="S238">
        <v>22000.000808697168</v>
      </c>
      <c r="T238">
        <v>7636.3637779356632</v>
      </c>
      <c r="V238">
        <v>22000.00021564545</v>
      </c>
      <c r="W238">
        <v>7636.3635291076944</v>
      </c>
      <c r="Y238">
        <v>22000.000143691679</v>
      </c>
      <c r="Z238">
        <v>7636.3635233224995</v>
      </c>
      <c r="AB238">
        <v>22000.000201973377</v>
      </c>
      <c r="AC238">
        <v>7636.3635280650324</v>
      </c>
      <c r="AE238">
        <v>22000.000195071436</v>
      </c>
      <c r="AF238">
        <v>7636.3635274917824</v>
      </c>
      <c r="AH238">
        <v>22000.000238500459</v>
      </c>
      <c r="AI238">
        <v>7636.3635303820101</v>
      </c>
      <c r="AK238">
        <v>21999.997280495212</v>
      </c>
      <c r="AL238">
        <v>7636.3594935970632</v>
      </c>
      <c r="AZ238">
        <v>49999.999999818167</v>
      </c>
      <c r="BA238">
        <v>1.0292487256227396E-8</v>
      </c>
      <c r="BC238">
        <v>49999.999999086089</v>
      </c>
      <c r="BD238">
        <v>6.0680367259429164E-8</v>
      </c>
      <c r="BF238">
        <v>49999.999999916472</v>
      </c>
      <c r="BG238">
        <v>3.5066645621929034E-9</v>
      </c>
      <c r="BI238">
        <v>49999.999998911866</v>
      </c>
      <c r="BJ238">
        <v>7.2936396241198329E-8</v>
      </c>
      <c r="BL238">
        <v>49999.999999035746</v>
      </c>
      <c r="BM238">
        <v>6.5295515264599757E-8</v>
      </c>
      <c r="BO238">
        <v>49999.999998923136</v>
      </c>
      <c r="BP238">
        <v>7.2338728249746053E-8</v>
      </c>
      <c r="BR238">
        <v>49999.999998930958</v>
      </c>
      <c r="BS238">
        <v>7.1889808027296069E-8</v>
      </c>
      <c r="BU238">
        <v>49999.999998904059</v>
      </c>
      <c r="BV238">
        <v>7.3183966113724931E-8</v>
      </c>
      <c r="BX238">
        <v>49999.999999970059</v>
      </c>
      <c r="BY238">
        <v>2.4389827745444712E-12</v>
      </c>
    </row>
    <row r="239" spans="13:77" x14ac:dyDescent="0.35">
      <c r="M239">
        <v>22000.000254830979</v>
      </c>
      <c r="N239">
        <v>7636.3638257962075</v>
      </c>
      <c r="P239">
        <v>22000.000214058171</v>
      </c>
      <c r="Q239">
        <v>7636.363582479873</v>
      </c>
      <c r="S239">
        <v>22000.000649310674</v>
      </c>
      <c r="T239">
        <v>7636.3638420024463</v>
      </c>
      <c r="V239">
        <v>22000.000207057466</v>
      </c>
      <c r="W239">
        <v>7636.3635478132837</v>
      </c>
      <c r="Y239">
        <v>22000.000147692128</v>
      </c>
      <c r="Z239">
        <v>7636.3635362515788</v>
      </c>
      <c r="AB239">
        <v>22000.000195764107</v>
      </c>
      <c r="AC239">
        <v>7636.3635456723823</v>
      </c>
      <c r="AE239">
        <v>22000.000190073959</v>
      </c>
      <c r="AF239">
        <v>7636.3635445452437</v>
      </c>
      <c r="AH239">
        <v>22000.000226045686</v>
      </c>
      <c r="AI239">
        <v>7636.3635509287178</v>
      </c>
      <c r="AK239">
        <v>21999.998674032213</v>
      </c>
      <c r="AL239">
        <v>7636.3593191580794</v>
      </c>
      <c r="AZ239">
        <v>49999.999999837411</v>
      </c>
      <c r="BA239">
        <v>9.2155398559299149E-9</v>
      </c>
      <c r="BC239">
        <v>49999.999999181382</v>
      </c>
      <c r="BD239">
        <v>5.4331118322445534E-8</v>
      </c>
      <c r="BF239">
        <v>49999.999999925509</v>
      </c>
      <c r="BG239">
        <v>3.1397471019188286E-9</v>
      </c>
      <c r="BI239">
        <v>49999.999999025218</v>
      </c>
      <c r="BJ239">
        <v>6.5304746051536469E-8</v>
      </c>
      <c r="BL239">
        <v>49999.999999136089</v>
      </c>
      <c r="BM239">
        <v>5.8463363456557752E-8</v>
      </c>
      <c r="BO239">
        <v>49999.999999035288</v>
      </c>
      <c r="BP239">
        <v>6.4769614643677072E-8</v>
      </c>
      <c r="BR239">
        <v>49999.99999904228</v>
      </c>
      <c r="BS239">
        <v>6.4367666883228032E-8</v>
      </c>
      <c r="BU239">
        <v>49999.99999901827</v>
      </c>
      <c r="BV239">
        <v>6.5526411618913418E-8</v>
      </c>
      <c r="BX239">
        <v>49999.999999973501</v>
      </c>
      <c r="BY239">
        <v>2.183781471592626E-12</v>
      </c>
    </row>
    <row r="240" spans="13:77" x14ac:dyDescent="0.35">
      <c r="M240">
        <v>22000.000170736017</v>
      </c>
      <c r="N240">
        <v>7636.3638443648824</v>
      </c>
      <c r="P240">
        <v>22000.000193235577</v>
      </c>
      <c r="Q240">
        <v>7636.363600459722</v>
      </c>
      <c r="S240">
        <v>22000.000499828355</v>
      </c>
      <c r="T240">
        <v>7636.3638924137467</v>
      </c>
      <c r="V240">
        <v>22000.000195435692</v>
      </c>
      <c r="W240">
        <v>7636.363565612507</v>
      </c>
      <c r="Y240">
        <v>22000.000148044117</v>
      </c>
      <c r="Z240">
        <v>7636.3635493608235</v>
      </c>
      <c r="AB240">
        <v>22000.000186406469</v>
      </c>
      <c r="AC240">
        <v>7636.3635625787538</v>
      </c>
      <c r="AE240">
        <v>22000.000181868436</v>
      </c>
      <c r="AF240">
        <v>7636.3635610022939</v>
      </c>
      <c r="AH240">
        <v>22000.000210730319</v>
      </c>
      <c r="AI240">
        <v>7636.3635702345637</v>
      </c>
      <c r="AK240">
        <v>21999.999890768682</v>
      </c>
      <c r="AL240">
        <v>7636.3592597972083</v>
      </c>
      <c r="AZ240">
        <v>49999.999999854612</v>
      </c>
      <c r="BA240">
        <v>8.2512781140296564E-9</v>
      </c>
      <c r="BC240">
        <v>49999.999999266744</v>
      </c>
      <c r="BD240">
        <v>4.8646218727521503E-8</v>
      </c>
      <c r="BF240">
        <v>49999.999999933563</v>
      </c>
      <c r="BG240">
        <v>2.8112218004231474E-9</v>
      </c>
      <c r="BI240">
        <v>49999.999999126769</v>
      </c>
      <c r="BJ240">
        <v>5.8471628386382552E-8</v>
      </c>
      <c r="BL240">
        <v>49999.999999225991</v>
      </c>
      <c r="BM240">
        <v>5.2346089203890442E-8</v>
      </c>
      <c r="BO240">
        <v>49999.999999135762</v>
      </c>
      <c r="BP240">
        <v>5.7992490089245395E-8</v>
      </c>
      <c r="BR240">
        <v>49999.999999142019</v>
      </c>
      <c r="BS240">
        <v>5.7632599859198721E-8</v>
      </c>
      <c r="BU240">
        <v>49999.999999120577</v>
      </c>
      <c r="BV240">
        <v>5.8670100127952507E-8</v>
      </c>
      <c r="BX240">
        <v>49999.999999976542</v>
      </c>
      <c r="BY240">
        <v>1.9552829833175012E-12</v>
      </c>
    </row>
    <row r="241" spans="13:77" x14ac:dyDescent="0.35">
      <c r="M241">
        <v>22000.000095429528</v>
      </c>
      <c r="N241">
        <v>7636.363855899066</v>
      </c>
      <c r="P241">
        <v>22000.000171459335</v>
      </c>
      <c r="Q241">
        <v>7636.3636165481166</v>
      </c>
      <c r="S241">
        <v>22000.000361897379</v>
      </c>
      <c r="T241">
        <v>7636.3639301262992</v>
      </c>
      <c r="V241">
        <v>22000.000181465824</v>
      </c>
      <c r="W241">
        <v>7636.3635822692186</v>
      </c>
      <c r="Y241">
        <v>22000.000145275211</v>
      </c>
      <c r="Z241">
        <v>7636.3635623520358</v>
      </c>
      <c r="AB241">
        <v>22000.000174556015</v>
      </c>
      <c r="AC241">
        <v>7636.3635785364013</v>
      </c>
      <c r="AE241">
        <v>22000.000171095282</v>
      </c>
      <c r="AF241">
        <v>7636.3635766091738</v>
      </c>
      <c r="AH241">
        <v>22000.000193291242</v>
      </c>
      <c r="AI241">
        <v>7636.3635880812026</v>
      </c>
      <c r="AK241">
        <v>22000.000931397637</v>
      </c>
      <c r="AL241">
        <v>7636.359299874819</v>
      </c>
      <c r="AZ241">
        <v>49999.999999869993</v>
      </c>
      <c r="BA241">
        <v>7.3879112433395934E-9</v>
      </c>
      <c r="BC241">
        <v>49999.999999343207</v>
      </c>
      <c r="BD241">
        <v>4.3556154733316133E-8</v>
      </c>
      <c r="BF241">
        <v>49999.999999940745</v>
      </c>
      <c r="BG241">
        <v>2.5170715202968892E-9</v>
      </c>
      <c r="BI241">
        <v>49999.99999921774</v>
      </c>
      <c r="BJ241">
        <v>5.2353489338405431E-8</v>
      </c>
      <c r="BL241">
        <v>49999.999999306543</v>
      </c>
      <c r="BM241">
        <v>4.6868891780038897E-8</v>
      </c>
      <c r="BO241">
        <v>49999.99999922578</v>
      </c>
      <c r="BP241">
        <v>5.1924485350951202E-8</v>
      </c>
      <c r="BR241">
        <v>49999.999999231375</v>
      </c>
      <c r="BS241">
        <v>5.1602251990231773E-8</v>
      </c>
      <c r="BU241">
        <v>49999.999999212232</v>
      </c>
      <c r="BV241">
        <v>5.2531194124349332E-8</v>
      </c>
      <c r="BX241">
        <v>49999.999999979234</v>
      </c>
      <c r="BY241">
        <v>1.7506932788759433E-12</v>
      </c>
    </row>
    <row r="242" spans="13:77" x14ac:dyDescent="0.35">
      <c r="M242">
        <v>22000.000029184412</v>
      </c>
      <c r="N242">
        <v>7636.3638611908764</v>
      </c>
      <c r="P242">
        <v>22000.000149320716</v>
      </c>
      <c r="Q242">
        <v>7636.363630688792</v>
      </c>
      <c r="S242">
        <v>22000.000236683962</v>
      </c>
      <c r="T242">
        <v>7636.3639562198578</v>
      </c>
      <c r="V242">
        <v>22000.000165781719</v>
      </c>
      <c r="W242">
        <v>7636.3635976055766</v>
      </c>
      <c r="Y242">
        <v>22000.000139900334</v>
      </c>
      <c r="Z242">
        <v>7636.363574973182</v>
      </c>
      <c r="AB242">
        <v>22000.000160823874</v>
      </c>
      <c r="AC242">
        <v>7636.363593353567</v>
      </c>
      <c r="AE242">
        <v>22000.000158354262</v>
      </c>
      <c r="AF242">
        <v>7636.3635911669498</v>
      </c>
      <c r="AH242">
        <v>22000.000174401343</v>
      </c>
      <c r="AI242">
        <v>7636.3636043125507</v>
      </c>
      <c r="AK242">
        <v>22000.001800161608</v>
      </c>
      <c r="AL242">
        <v>7636.359423982447</v>
      </c>
      <c r="AZ242">
        <v>49999.999999883745</v>
      </c>
      <c r="BA242">
        <v>6.6148821776667394E-9</v>
      </c>
      <c r="BC242">
        <v>49999.999999411695</v>
      </c>
      <c r="BD242">
        <v>3.8998686121512749E-8</v>
      </c>
      <c r="BF242">
        <v>49999.999999947147</v>
      </c>
      <c r="BG242">
        <v>2.2536994545703218E-9</v>
      </c>
      <c r="BI242">
        <v>49999.999999299238</v>
      </c>
      <c r="BJ242">
        <v>4.6875517606513194E-8</v>
      </c>
      <c r="BL242">
        <v>49999.999999378721</v>
      </c>
      <c r="BM242">
        <v>4.1964797181569258E-8</v>
      </c>
      <c r="BO242">
        <v>49999.999999306427</v>
      </c>
      <c r="BP242">
        <v>4.6491402159362723E-8</v>
      </c>
      <c r="BR242">
        <v>49999.999999311425</v>
      </c>
      <c r="BS242">
        <v>4.6202885467072575E-8</v>
      </c>
      <c r="BU242">
        <v>49999.999999294334</v>
      </c>
      <c r="BV242">
        <v>4.7034628373101937E-8</v>
      </c>
      <c r="BX242">
        <v>49999.999999981621</v>
      </c>
      <c r="BY242">
        <v>1.56751067894081E-12</v>
      </c>
    </row>
    <row r="243" spans="13:77" x14ac:dyDescent="0.35">
      <c r="M243">
        <v>21999.999972045694</v>
      </c>
      <c r="N243">
        <v>7636.3638610457274</v>
      </c>
      <c r="P243">
        <v>22000.000127331834</v>
      </c>
      <c r="Q243">
        <v>7636.3636428741129</v>
      </c>
      <c r="S243">
        <v>22000.000124919687</v>
      </c>
      <c r="T243">
        <v>7636.3639718567747</v>
      </c>
      <c r="V243">
        <v>22000.000148959851</v>
      </c>
      <c r="W243">
        <v>7636.363611497186</v>
      </c>
      <c r="Y243">
        <v>22000.000132412952</v>
      </c>
      <c r="Z243">
        <v>7636.3635870168482</v>
      </c>
      <c r="AB243">
        <v>22000.000145770602</v>
      </c>
      <c r="AC243">
        <v>7636.3636068902506</v>
      </c>
      <c r="AE243">
        <v>22000.000144198009</v>
      </c>
      <c r="AF243">
        <v>7636.3636045276044</v>
      </c>
      <c r="AH243">
        <v>22000.00015466494</v>
      </c>
      <c r="AI243">
        <v>7636.3636188288938</v>
      </c>
      <c r="AK243">
        <v>22000.002504244327</v>
      </c>
      <c r="AL243">
        <v>7636.3596172283605</v>
      </c>
      <c r="AZ243">
        <v>49999.999999896041</v>
      </c>
      <c r="BA243">
        <v>5.9227384822554469E-9</v>
      </c>
      <c r="BC243">
        <v>49999.999999473046</v>
      </c>
      <c r="BD243">
        <v>3.4918085136686474E-8</v>
      </c>
      <c r="BF243">
        <v>49999.999999952859</v>
      </c>
      <c r="BG243">
        <v>2.0178851457234664E-9</v>
      </c>
      <c r="BI243">
        <v>49999.999999372252</v>
      </c>
      <c r="BJ243">
        <v>4.1970729719198075E-8</v>
      </c>
      <c r="BL243">
        <v>49999.999999443389</v>
      </c>
      <c r="BM243">
        <v>3.7573839184324111E-8</v>
      </c>
      <c r="BO243">
        <v>49999.999999378677</v>
      </c>
      <c r="BP243">
        <v>4.162680593048168E-8</v>
      </c>
      <c r="BR243">
        <v>49999.999999383144</v>
      </c>
      <c r="BS243">
        <v>4.1368477985962689E-8</v>
      </c>
      <c r="BU243">
        <v>49999.999999367887</v>
      </c>
      <c r="BV243">
        <v>4.2113192038994415E-8</v>
      </c>
      <c r="BX243">
        <v>49999.999999983731</v>
      </c>
      <c r="BY243">
        <v>1.4034952656990305E-12</v>
      </c>
    </row>
    <row r="244" spans="13:77" x14ac:dyDescent="0.35">
      <c r="M244">
        <v>21999.999923863004</v>
      </c>
      <c r="N244">
        <v>7636.3638562636797</v>
      </c>
      <c r="P244">
        <v>22000.000105926614</v>
      </c>
      <c r="Q244">
        <v>7636.3636531381026</v>
      </c>
      <c r="S244">
        <v>22000.000026950056</v>
      </c>
      <c r="T244">
        <v>7636.3639782457913</v>
      </c>
      <c r="V244">
        <v>22000.000131515768</v>
      </c>
      <c r="W244">
        <v>7636.36362386784</v>
      </c>
      <c r="Y244">
        <v>22000.000123277987</v>
      </c>
      <c r="Z244">
        <v>7636.3635983179993</v>
      </c>
      <c r="AB244">
        <v>22000.000129901964</v>
      </c>
      <c r="AC244">
        <v>7636.3636190535226</v>
      </c>
      <c r="AE244">
        <v>22000.000129127493</v>
      </c>
      <c r="AF244">
        <v>7636.363616589636</v>
      </c>
      <c r="AH244">
        <v>22000.000134615311</v>
      </c>
      <c r="AI244">
        <v>7636.3636315806934</v>
      </c>
      <c r="AK244">
        <v>22000.00305319062</v>
      </c>
      <c r="AL244">
        <v>7636.3598654705411</v>
      </c>
      <c r="AZ244">
        <v>49999.999999907035</v>
      </c>
      <c r="BA244">
        <v>5.3030167714286224E-9</v>
      </c>
      <c r="BC244">
        <v>49999.999999528001</v>
      </c>
      <c r="BD244">
        <v>3.1264455059180899E-8</v>
      </c>
      <c r="BF244">
        <v>49999.999999957952</v>
      </c>
      <c r="BG244">
        <v>1.8067451066175159E-9</v>
      </c>
      <c r="BI244">
        <v>49999.999999437663</v>
      </c>
      <c r="BJ244">
        <v>3.7579150974914246E-8</v>
      </c>
      <c r="BL244">
        <v>49999.999999501328</v>
      </c>
      <c r="BM244">
        <v>3.364232608920629E-8</v>
      </c>
      <c r="BO244">
        <v>49999.999999443404</v>
      </c>
      <c r="BP244">
        <v>3.7271213417800671E-8</v>
      </c>
      <c r="BR244">
        <v>49999.999999447398</v>
      </c>
      <c r="BS244">
        <v>3.7039915441972179E-8</v>
      </c>
      <c r="BU244">
        <v>49999.99999943377</v>
      </c>
      <c r="BV244">
        <v>3.7706706846819687E-8</v>
      </c>
      <c r="BX244">
        <v>49999.999999985601</v>
      </c>
      <c r="BY244">
        <v>1.256641493613701E-12</v>
      </c>
    </row>
    <row r="245" spans="13:77" x14ac:dyDescent="0.35">
      <c r="M245">
        <v>21999.99988432234</v>
      </c>
      <c r="N245">
        <v>7636.3638476236401</v>
      </c>
      <c r="P245">
        <v>22000.000085463271</v>
      </c>
      <c r="Q245">
        <v>7636.3636615496298</v>
      </c>
      <c r="S245">
        <v>21999.999942783925</v>
      </c>
      <c r="T245">
        <v>7636.3639766101805</v>
      </c>
      <c r="V245">
        <v>22000.000113902341</v>
      </c>
      <c r="W245">
        <v>7636.3636346840367</v>
      </c>
      <c r="Y245">
        <v>22000.000112926362</v>
      </c>
      <c r="Z245">
        <v>7636.3636087511877</v>
      </c>
      <c r="AB245">
        <v>22000.000113666483</v>
      </c>
      <c r="AC245">
        <v>7636.3636297925514</v>
      </c>
      <c r="AE245">
        <v>22000.000113589187</v>
      </c>
      <c r="AF245">
        <v>7636.3636272933481</v>
      </c>
      <c r="AH245">
        <v>22000.00011471405</v>
      </c>
      <c r="AI245">
        <v>7636.3636425622553</v>
      </c>
      <c r="AK245">
        <v>22000.003458362382</v>
      </c>
      <c r="AL245">
        <v>7636.3601554999768</v>
      </c>
      <c r="AZ245">
        <v>49999.999999916865</v>
      </c>
      <c r="BA245">
        <v>4.7481392201104095E-9</v>
      </c>
      <c r="BC245">
        <v>49999.99999957723</v>
      </c>
      <c r="BD245">
        <v>2.7993120078648137E-8</v>
      </c>
      <c r="BF245">
        <v>49999.999999962492</v>
      </c>
      <c r="BG245">
        <v>1.6176975618282997E-9</v>
      </c>
      <c r="BI245">
        <v>49999.999999496256</v>
      </c>
      <c r="BJ245">
        <v>3.3647082084201901E-8</v>
      </c>
      <c r="BL245">
        <v>49999.999999553242</v>
      </c>
      <c r="BM245">
        <v>3.0122184191518638E-8</v>
      </c>
      <c r="BO245">
        <v>49999.999999501386</v>
      </c>
      <c r="BP245">
        <v>3.3371365363834766E-8</v>
      </c>
      <c r="BR245">
        <v>49999.999999504958</v>
      </c>
      <c r="BS245">
        <v>3.316426909431581E-8</v>
      </c>
      <c r="BU245">
        <v>49999.999999492793</v>
      </c>
      <c r="BV245">
        <v>3.3761291234248236E-8</v>
      </c>
      <c r="BX245">
        <v>49999.999999987253</v>
      </c>
      <c r="BY245">
        <v>1.1251536660404528E-12</v>
      </c>
    </row>
    <row r="246" spans="13:77" x14ac:dyDescent="0.35">
      <c r="M246">
        <v>21999.999852976554</v>
      </c>
      <c r="N246">
        <v>7636.3638358703147</v>
      </c>
      <c r="P246">
        <v>22000.000066227982</v>
      </c>
      <c r="Q246">
        <v>7636.3636682058732</v>
      </c>
      <c r="S246">
        <v>21999.999872142675</v>
      </c>
      <c r="T246">
        <v>7636.3639681602544</v>
      </c>
      <c r="V246">
        <v>22000.000096509568</v>
      </c>
      <c r="W246">
        <v>7636.363643949413</v>
      </c>
      <c r="Y246">
        <v>22000.000101751048</v>
      </c>
      <c r="Z246">
        <v>7636.3636182273531</v>
      </c>
      <c r="AB246">
        <v>22000.000097454536</v>
      </c>
      <c r="AC246">
        <v>7636.3636390934844</v>
      </c>
      <c r="AE246">
        <v>22000.000097973814</v>
      </c>
      <c r="AF246">
        <v>7636.3636366159562</v>
      </c>
      <c r="AH246">
        <v>22000.000095352003</v>
      </c>
      <c r="AI246">
        <v>7636.3636518054209</v>
      </c>
      <c r="AK246">
        <v>22000.003732436642</v>
      </c>
      <c r="AL246">
        <v>7636.3604751777339</v>
      </c>
      <c r="AZ246">
        <v>49999.999999925654</v>
      </c>
      <c r="BA246">
        <v>4.2513209037952759E-9</v>
      </c>
      <c r="BC246">
        <v>49999.999999621323</v>
      </c>
      <c r="BD246">
        <v>2.5064079007755894E-8</v>
      </c>
      <c r="BF246">
        <v>49999.999999966545</v>
      </c>
      <c r="BG246">
        <v>1.4484308782463288E-9</v>
      </c>
      <c r="BI246">
        <v>49999.999999548752</v>
      </c>
      <c r="BJ246">
        <v>3.0126442546213692E-8</v>
      </c>
      <c r="BL246">
        <v>49999.99999959975</v>
      </c>
      <c r="BM246">
        <v>2.6970369945942723E-8</v>
      </c>
      <c r="BO246">
        <v>49999.999999553336</v>
      </c>
      <c r="BP246">
        <v>2.9879575257265221E-8</v>
      </c>
      <c r="BR246">
        <v>49999.99999955653</v>
      </c>
      <c r="BS246">
        <v>2.9694148364984553E-8</v>
      </c>
      <c r="BU246">
        <v>49999.999999545667</v>
      </c>
      <c r="BV246">
        <v>3.0228701499560689E-8</v>
      </c>
      <c r="BX246">
        <v>49999.999999988715</v>
      </c>
      <c r="BY246">
        <v>1.0074239778313771E-12</v>
      </c>
    </row>
    <row r="247" spans="13:77" x14ac:dyDescent="0.35">
      <c r="M247">
        <v>21999.999829274162</v>
      </c>
      <c r="N247">
        <v>7636.3638217037806</v>
      </c>
      <c r="P247">
        <v>22000.000048439506</v>
      </c>
      <c r="Q247">
        <v>7636.3636732261557</v>
      </c>
      <c r="S247">
        <v>21999.999814508126</v>
      </c>
      <c r="T247">
        <v>7636.3639540701697</v>
      </c>
      <c r="V247">
        <v>22000.00007966569</v>
      </c>
      <c r="W247">
        <v>7636.3636516992256</v>
      </c>
      <c r="Y247">
        <v>22000.000090104488</v>
      </c>
      <c r="Z247">
        <v>7636.3636266903295</v>
      </c>
      <c r="AB247">
        <v>22000.000081598788</v>
      </c>
      <c r="AC247">
        <v>7636.363646974316</v>
      </c>
      <c r="AE247">
        <v>22000.000082616414</v>
      </c>
      <c r="AF247">
        <v>7636.3636445666498</v>
      </c>
      <c r="AH247">
        <v>22000.000076851546</v>
      </c>
      <c r="AI247">
        <v>7636.3636593734045</v>
      </c>
      <c r="AK247">
        <v>22000.003888949952</v>
      </c>
      <c r="AL247">
        <v>7636.3608135297536</v>
      </c>
      <c r="AZ247">
        <v>49999.999999933512</v>
      </c>
      <c r="BA247">
        <v>3.8064868339363783E-9</v>
      </c>
      <c r="BC247">
        <v>49999.999999660817</v>
      </c>
      <c r="BD247">
        <v>2.2441516156189082E-8</v>
      </c>
      <c r="BF247">
        <v>49999.999999970154</v>
      </c>
      <c r="BG247">
        <v>1.2968752989195232E-9</v>
      </c>
      <c r="BI247">
        <v>49999.999999595777</v>
      </c>
      <c r="BJ247">
        <v>2.6974182730591549E-8</v>
      </c>
      <c r="BL247">
        <v>49999.999999641419</v>
      </c>
      <c r="BM247">
        <v>2.4148343639235015E-8</v>
      </c>
      <c r="BO247">
        <v>49999.999999599873</v>
      </c>
      <c r="BP247">
        <v>2.6753146232436331E-8</v>
      </c>
      <c r="BR247">
        <v>49999.999999602733</v>
      </c>
      <c r="BS247">
        <v>2.6587121356851924E-8</v>
      </c>
      <c r="BU247">
        <v>49999.999999593027</v>
      </c>
      <c r="BV247">
        <v>2.7065741887939155E-8</v>
      </c>
      <c r="BX247">
        <v>49999.99999999001</v>
      </c>
      <c r="BY247">
        <v>9.0201285543614883E-13</v>
      </c>
    </row>
    <row r="248" spans="13:77" x14ac:dyDescent="0.35">
      <c r="M248">
        <v>21999.999812586051</v>
      </c>
      <c r="N248">
        <v>7636.3638057715161</v>
      </c>
      <c r="P248">
        <v>22000.000032254538</v>
      </c>
      <c r="Q248">
        <v>7636.3636767462258</v>
      </c>
      <c r="S248">
        <v>21999.999769168411</v>
      </c>
      <c r="T248">
        <v>7636.3639354588877</v>
      </c>
      <c r="V248">
        <v>22000.000063639451</v>
      </c>
      <c r="W248">
        <v>7636.3636579949825</v>
      </c>
      <c r="Y248">
        <v>22000.000078297227</v>
      </c>
      <c r="Z248">
        <v>7636.3636341131933</v>
      </c>
      <c r="AB248">
        <v>22000.000066375742</v>
      </c>
      <c r="AC248">
        <v>7636.3636534798425</v>
      </c>
      <c r="AE248">
        <v>22000.000067797562</v>
      </c>
      <c r="AF248">
        <v>7636.3636511817131</v>
      </c>
      <c r="AH248">
        <v>22000.000059469923</v>
      </c>
      <c r="AI248">
        <v>7636.3636653548856</v>
      </c>
      <c r="AK248">
        <v>22000.003941891722</v>
      </c>
      <c r="AL248">
        <v>7636.3611608036008</v>
      </c>
      <c r="AZ248">
        <v>49999.999999940541</v>
      </c>
      <c r="BA248">
        <v>3.4081976742796162E-9</v>
      </c>
      <c r="BC248">
        <v>49999.999999696192</v>
      </c>
      <c r="BD248">
        <v>2.0093363384017448E-8</v>
      </c>
      <c r="BF248">
        <v>49999.999999973377</v>
      </c>
      <c r="BG248">
        <v>1.161177634506071E-9</v>
      </c>
      <c r="BI248">
        <v>49999.999999637905</v>
      </c>
      <c r="BJ248">
        <v>2.4151757475756283E-8</v>
      </c>
      <c r="BL248">
        <v>49999.999999678752</v>
      </c>
      <c r="BM248">
        <v>2.1621598134822358E-8</v>
      </c>
      <c r="BO248">
        <v>49999.999999641565</v>
      </c>
      <c r="BP248">
        <v>2.3953848981176683E-8</v>
      </c>
      <c r="BR248">
        <v>49999.999999644126</v>
      </c>
      <c r="BS248">
        <v>2.3805196005473974E-8</v>
      </c>
      <c r="BU248">
        <v>49999.999999635453</v>
      </c>
      <c r="BV248">
        <v>2.4233736402978055E-8</v>
      </c>
      <c r="BX248">
        <v>49999.99999999116</v>
      </c>
      <c r="BY248">
        <v>8.0763135410329045E-13</v>
      </c>
    </row>
    <row r="249" spans="13:77" x14ac:dyDescent="0.35">
      <c r="M249">
        <v>21999.999802229922</v>
      </c>
      <c r="N249">
        <v>7636.3637886626884</v>
      </c>
      <c r="P249">
        <v>22000.000017773556</v>
      </c>
      <c r="Q249">
        <v>7636.3636789130333</v>
      </c>
      <c r="S249">
        <v>21999.999735261117</v>
      </c>
      <c r="T249">
        <v>7636.3639133750648</v>
      </c>
      <c r="V249">
        <v>22000.000048643247</v>
      </c>
      <c r="W249">
        <v>7636.3636629193206</v>
      </c>
      <c r="Y249">
        <v>22000.000066597615</v>
      </c>
      <c r="Z249">
        <v>7636.363640494531</v>
      </c>
      <c r="AB249">
        <v>22000.000052008254</v>
      </c>
      <c r="AC249">
        <v>7636.363658676808</v>
      </c>
      <c r="AE249">
        <v>22000.000053745538</v>
      </c>
      <c r="AF249">
        <v>7636.363656519803</v>
      </c>
      <c r="AH249">
        <v>22000.000043403481</v>
      </c>
      <c r="AI249">
        <v>7636.3636698584323</v>
      </c>
      <c r="AK249">
        <v>22000.00390534781</v>
      </c>
      <c r="AL249">
        <v>7636.3615084915627</v>
      </c>
      <c r="AZ249">
        <v>49999.999999946827</v>
      </c>
      <c r="BA249">
        <v>3.0515832298185236E-9</v>
      </c>
      <c r="BC249">
        <v>49999.999999727886</v>
      </c>
      <c r="BD249">
        <v>1.7990907979311104E-8</v>
      </c>
      <c r="BF249">
        <v>49999.999999976251</v>
      </c>
      <c r="BG249">
        <v>1.0396786028698966E-9</v>
      </c>
      <c r="BI249">
        <v>49999.999999675645</v>
      </c>
      <c r="BJ249">
        <v>2.162465476688199E-8</v>
      </c>
      <c r="BL249">
        <v>49999.999999712199</v>
      </c>
      <c r="BM249">
        <v>1.9359236926886056E-8</v>
      </c>
      <c r="BO249">
        <v>49999.999999678912</v>
      </c>
      <c r="BP249">
        <v>2.1447454292961746E-8</v>
      </c>
      <c r="BR249">
        <v>49999.999999681204</v>
      </c>
      <c r="BS249">
        <v>2.1314355520217641E-8</v>
      </c>
      <c r="BU249">
        <v>49999.999999673462</v>
      </c>
      <c r="BV249">
        <v>2.169805588483812E-8</v>
      </c>
      <c r="BX249">
        <v>49999.999999992178</v>
      </c>
      <c r="BY249">
        <v>7.2312539693830278E-13</v>
      </c>
    </row>
    <row r="250" spans="13:77" x14ac:dyDescent="0.35">
      <c r="M250">
        <v>21999.999797492219</v>
      </c>
      <c r="N250">
        <v>7636.3637709044851</v>
      </c>
      <c r="P250">
        <v>22000.000005046983</v>
      </c>
      <c r="Q250">
        <v>7636.3636798800426</v>
      </c>
      <c r="S250">
        <v>21999.999711813241</v>
      </c>
      <c r="T250">
        <v>7636.3638887856205</v>
      </c>
      <c r="V250">
        <v>22000.000034836983</v>
      </c>
      <c r="W250">
        <v>7636.3636665711956</v>
      </c>
      <c r="Y250">
        <v>22000.000055232431</v>
      </c>
      <c r="Z250">
        <v>7636.363645854728</v>
      </c>
      <c r="AB250">
        <v>22000.000038668775</v>
      </c>
      <c r="AC250">
        <v>7636.3636626493007</v>
      </c>
      <c r="AE250">
        <v>22000.000040639257</v>
      </c>
      <c r="AF250">
        <v>7636.363660657451</v>
      </c>
      <c r="AH250">
        <v>22000.000028792507</v>
      </c>
      <c r="AI250">
        <v>7636.3636730073404</v>
      </c>
      <c r="AK250">
        <v>22000.003793194348</v>
      </c>
      <c r="AL250">
        <v>7636.3618493245613</v>
      </c>
      <c r="AZ250">
        <v>49999.999999952444</v>
      </c>
      <c r="BA250">
        <v>2.7322828950871056E-9</v>
      </c>
      <c r="BC250">
        <v>49999.99999975627</v>
      </c>
      <c r="BD250">
        <v>1.6108441565214937E-8</v>
      </c>
      <c r="BF250">
        <v>49999.999999978812</v>
      </c>
      <c r="BG250">
        <v>9.3089253973213609E-10</v>
      </c>
      <c r="BI250">
        <v>49999.999999709449</v>
      </c>
      <c r="BJ250">
        <v>1.9361973730329882E-8</v>
      </c>
      <c r="BL250">
        <v>49999.999999742169</v>
      </c>
      <c r="BM250">
        <v>1.7333596344469756E-8</v>
      </c>
      <c r="BO250">
        <v>49999.999999712374</v>
      </c>
      <c r="BP250">
        <v>1.9203314507418463E-8</v>
      </c>
      <c r="BR250">
        <v>49999.999999714419</v>
      </c>
      <c r="BS250">
        <v>1.9084142434190544E-8</v>
      </c>
      <c r="BU250">
        <v>49999.999999707507</v>
      </c>
      <c r="BV250">
        <v>1.9427694572255964E-8</v>
      </c>
      <c r="BX250">
        <v>49999.999999993073</v>
      </c>
      <c r="BY250">
        <v>6.474616630972243E-13</v>
      </c>
    </row>
    <row r="251" spans="13:77" x14ac:dyDescent="0.35">
      <c r="M251">
        <v>21999.99979764751</v>
      </c>
      <c r="N251">
        <v>7636.3637529602729</v>
      </c>
      <c r="P251">
        <v>21999.999994081474</v>
      </c>
      <c r="Q251">
        <v>7636.3636798030939</v>
      </c>
      <c r="S251">
        <v>21999.999697777574</v>
      </c>
      <c r="T251">
        <v>7636.3638625676722</v>
      </c>
      <c r="V251">
        <v>22000.000022332453</v>
      </c>
      <c r="W251">
        <v>7636.3636690614376</v>
      </c>
      <c r="Y251">
        <v>22000.000044388275</v>
      </c>
      <c r="Z251">
        <v>7636.3636502323543</v>
      </c>
      <c r="AB251">
        <v>22000.000026483154</v>
      </c>
      <c r="AC251">
        <v>7636.3636654944685</v>
      </c>
      <c r="AE251">
        <v>22000.000028611794</v>
      </c>
      <c r="AF251">
        <v>7636.3636636848578</v>
      </c>
      <c r="AH251">
        <v>22000.000015726549</v>
      </c>
      <c r="AI251">
        <v>7636.3636749349143</v>
      </c>
      <c r="AK251">
        <v>22000.003618840808</v>
      </c>
      <c r="AL251">
        <v>7636.3621772412753</v>
      </c>
      <c r="AZ251">
        <v>49999.999999957472</v>
      </c>
      <c r="BA251">
        <v>2.4463923336050315E-9</v>
      </c>
      <c r="BC251">
        <v>49999.999999781692</v>
      </c>
      <c r="BD251">
        <v>1.4422945743392382E-8</v>
      </c>
      <c r="BF251">
        <v>49999.999999981097</v>
      </c>
      <c r="BG251">
        <v>8.3348923228479079E-10</v>
      </c>
      <c r="BI251">
        <v>49999.999999739732</v>
      </c>
      <c r="BJ251">
        <v>1.7336046784347399E-8</v>
      </c>
      <c r="BL251">
        <v>49999.999999769017</v>
      </c>
      <c r="BM251">
        <v>1.5519907286003437E-8</v>
      </c>
      <c r="BO251">
        <v>49999.999999742351</v>
      </c>
      <c r="BP251">
        <v>1.7193988761262247E-8</v>
      </c>
      <c r="BR251">
        <v>49999.999999744177</v>
      </c>
      <c r="BS251">
        <v>1.708728617682333E-8</v>
      </c>
      <c r="BU251">
        <v>49999.999999738</v>
      </c>
      <c r="BV251">
        <v>1.7394890970699654E-8</v>
      </c>
      <c r="BX251">
        <v>49999.999999993866</v>
      </c>
      <c r="BY251">
        <v>5.7971495255945443E-13</v>
      </c>
    </row>
    <row r="252" spans="13:77" x14ac:dyDescent="0.35">
      <c r="M252">
        <v>21999.999801975267</v>
      </c>
      <c r="N252">
        <v>7636.3637352293454</v>
      </c>
      <c r="P252">
        <v>21999.999984846203</v>
      </c>
      <c r="Q252">
        <v>7636.3636788368258</v>
      </c>
      <c r="S252">
        <v>21999.999692065285</v>
      </c>
      <c r="T252">
        <v>7636.3638355035146</v>
      </c>
      <c r="V252">
        <v>22000.00001119807</v>
      </c>
      <c r="W252">
        <v>7636.3636705087129</v>
      </c>
      <c r="Y252">
        <v>22000.00003421359</v>
      </c>
      <c r="Z252">
        <v>7636.3636536806953</v>
      </c>
      <c r="AB252">
        <v>22000.000015534875</v>
      </c>
      <c r="AC252">
        <v>7636.3636673185883</v>
      </c>
      <c r="AE252">
        <v>22000.000017754355</v>
      </c>
      <c r="AF252">
        <v>7636.3636657020188</v>
      </c>
      <c r="AH252">
        <v>22000.00000425</v>
      </c>
      <c r="AI252">
        <v>7636.363675780236</v>
      </c>
      <c r="AK252">
        <v>22000.003395020394</v>
      </c>
      <c r="AL252">
        <v>7636.3624873367498</v>
      </c>
      <c r="AZ252">
        <v>49999.999999961969</v>
      </c>
      <c r="BA252">
        <v>2.1904157364827974E-9</v>
      </c>
      <c r="BC252">
        <v>49999.999999804466</v>
      </c>
      <c r="BD252">
        <v>1.291381062995355E-8</v>
      </c>
      <c r="BF252">
        <v>49999.999999983134</v>
      </c>
      <c r="BG252">
        <v>7.4627765363185333E-10</v>
      </c>
      <c r="BI252">
        <v>49999.999999766864</v>
      </c>
      <c r="BJ252">
        <v>1.5522101325771814E-8</v>
      </c>
      <c r="BL252">
        <v>49999.999999793072</v>
      </c>
      <c r="BM252">
        <v>1.3895992348005299E-8</v>
      </c>
      <c r="BO252">
        <v>49999.999999769199</v>
      </c>
      <c r="BP252">
        <v>1.5394907447265719E-8</v>
      </c>
      <c r="BR252">
        <v>49999.999999770836</v>
      </c>
      <c r="BS252">
        <v>1.529936961514148E-8</v>
      </c>
      <c r="BU252">
        <v>49999.999999765321</v>
      </c>
      <c r="BV252">
        <v>1.5574788390726866E-8</v>
      </c>
      <c r="BX252">
        <v>49999.999999994572</v>
      </c>
      <c r="BY252">
        <v>5.1905687297897423E-13</v>
      </c>
    </row>
    <row r="253" spans="13:77" x14ac:dyDescent="0.35">
      <c r="M253">
        <v>21999.99980977409</v>
      </c>
      <c r="N253">
        <v>7636.3637180480373</v>
      </c>
      <c r="P253">
        <v>21999.999977278985</v>
      </c>
      <c r="Q253">
        <v>7636.3636771316442</v>
      </c>
      <c r="S253">
        <v>21999.999693574606</v>
      </c>
      <c r="T253">
        <v>7636.3638082783036</v>
      </c>
      <c r="V253">
        <v>22000.000001463814</v>
      </c>
      <c r="W253">
        <v>7636.3636710359133</v>
      </c>
      <c r="Y253">
        <v>22000.000024821176</v>
      </c>
      <c r="Z253">
        <v>7636.3636562644906</v>
      </c>
      <c r="AB253">
        <v>22000.000005869526</v>
      </c>
      <c r="AC253">
        <v>7636.3636682335273</v>
      </c>
      <c r="AE253">
        <v>22000.000008120518</v>
      </c>
      <c r="AF253">
        <v>7636.3636668152139</v>
      </c>
      <c r="AH253">
        <v>21999.999994367787</v>
      </c>
      <c r="AI253">
        <v>7636.363675684438</v>
      </c>
      <c r="AK253">
        <v>22000.003133625207</v>
      </c>
      <c r="AL253">
        <v>7636.3627757945633</v>
      </c>
      <c r="AZ253">
        <v>49999.999999965985</v>
      </c>
      <c r="BA253">
        <v>1.9612230764152528E-9</v>
      </c>
      <c r="BC253">
        <v>49999.999999824868</v>
      </c>
      <c r="BD253">
        <v>1.1562582842185012E-8</v>
      </c>
      <c r="BF253">
        <v>49999.999999984953</v>
      </c>
      <c r="BG253">
        <v>6.6819139916611837E-10</v>
      </c>
      <c r="BI253">
        <v>49999.999999791165</v>
      </c>
      <c r="BJ253">
        <v>1.3897956815915396E-8</v>
      </c>
      <c r="BL253">
        <v>49999.999999814623</v>
      </c>
      <c r="BM253">
        <v>1.2441994644515864E-8</v>
      </c>
      <c r="BO253">
        <v>49999.999999793254</v>
      </c>
      <c r="BP253">
        <v>1.3784071782334937E-8</v>
      </c>
      <c r="BR253">
        <v>49999.999999794716</v>
      </c>
      <c r="BS253">
        <v>1.3698530486264209E-8</v>
      </c>
      <c r="BU253">
        <v>49999.99999978979</v>
      </c>
      <c r="BV253">
        <v>1.3945131005680912E-8</v>
      </c>
      <c r="BX253">
        <v>49999.999999995198</v>
      </c>
      <c r="BY253">
        <v>4.6474571027919188E-13</v>
      </c>
    </row>
    <row r="254" spans="13:77" x14ac:dyDescent="0.35">
      <c r="M254">
        <v>21999.999820373436</v>
      </c>
      <c r="N254">
        <v>7636.3637016919838</v>
      </c>
      <c r="P254">
        <v>21999.999971292171</v>
      </c>
      <c r="Q254">
        <v>7636.3636748312256</v>
      </c>
      <c r="S254">
        <v>21999.999701215565</v>
      </c>
      <c r="T254">
        <v>7636.3637814800904</v>
      </c>
      <c r="V254">
        <v>21999.999993126239</v>
      </c>
      <c r="W254">
        <v>7636.3636707669903</v>
      </c>
      <c r="Y254">
        <v>22000.00001629108</v>
      </c>
      <c r="Z254">
        <v>7636.3636580569137</v>
      </c>
      <c r="AB254">
        <v>21999.999997499417</v>
      </c>
      <c r="AC254">
        <v>7636.3636683536006</v>
      </c>
      <c r="AE254">
        <v>21999.999999730633</v>
      </c>
      <c r="AF254">
        <v>7636.3636671338845</v>
      </c>
      <c r="AH254">
        <v>21999.999986051062</v>
      </c>
      <c r="AI254">
        <v>7636.3636747874734</v>
      </c>
      <c r="AK254">
        <v>22000.002845582989</v>
      </c>
      <c r="AL254">
        <v>7636.3630398063769</v>
      </c>
      <c r="AZ254">
        <v>49999.999999969579</v>
      </c>
      <c r="BA254">
        <v>1.7560118343744232E-9</v>
      </c>
      <c r="BC254">
        <v>49999.999999843138</v>
      </c>
      <c r="BD254">
        <v>1.0352739854516615E-8</v>
      </c>
      <c r="BF254">
        <v>49999.999999986576</v>
      </c>
      <c r="BG254">
        <v>5.9827564680079635E-10</v>
      </c>
      <c r="BI254">
        <v>49999.999999812935</v>
      </c>
      <c r="BJ254">
        <v>1.2443753561662875E-8</v>
      </c>
      <c r="BL254">
        <v>49999.999999833934</v>
      </c>
      <c r="BM254">
        <v>1.1140135001326043E-8</v>
      </c>
      <c r="BO254">
        <v>49999.999999814798</v>
      </c>
      <c r="BP254">
        <v>1.2341784811075533E-8</v>
      </c>
      <c r="BR254">
        <v>49999.999999816107</v>
      </c>
      <c r="BS254">
        <v>1.2265194070310706E-8</v>
      </c>
      <c r="BU254">
        <v>49999.999999811713</v>
      </c>
      <c r="BV254">
        <v>1.2485991712182968E-8</v>
      </c>
      <c r="BX254">
        <v>49999.999999995751</v>
      </c>
      <c r="BY254">
        <v>4.1611735913120289E-13</v>
      </c>
    </row>
    <row r="255" spans="13:77" x14ac:dyDescent="0.35">
      <c r="M255">
        <v>21999.999833143</v>
      </c>
      <c r="N255">
        <v>7636.3636863793026</v>
      </c>
      <c r="P255">
        <v>21999.999966778196</v>
      </c>
      <c r="Q255">
        <v>7636.3636720705244</v>
      </c>
      <c r="S255">
        <v>21999.999713930862</v>
      </c>
      <c r="T255">
        <v>7636.3637556018666</v>
      </c>
      <c r="V255">
        <v>21999.999986153452</v>
      </c>
      <c r="W255">
        <v>7636.3636698242308</v>
      </c>
      <c r="Y255">
        <v>22000.000008673735</v>
      </c>
      <c r="Z255">
        <v>7636.3636591368186</v>
      </c>
      <c r="AB255">
        <v>21999.9999904082</v>
      </c>
      <c r="AC255">
        <v>7636.3636677928453</v>
      </c>
      <c r="AE255">
        <v>21999.999992576279</v>
      </c>
      <c r="AF255">
        <v>7636.3636667679002</v>
      </c>
      <c r="AH255">
        <v>21999.999979242755</v>
      </c>
      <c r="AI255">
        <v>7636.3636732253881</v>
      </c>
      <c r="AK255">
        <v>22000.00254077194</v>
      </c>
      <c r="AL255">
        <v>7636.3632774823727</v>
      </c>
      <c r="AZ255">
        <v>49999.999999972795</v>
      </c>
      <c r="BA255">
        <v>1.5722727310037898E-9</v>
      </c>
      <c r="BC255">
        <v>49999.999999859501</v>
      </c>
      <c r="BD255">
        <v>9.2694879645981738E-9</v>
      </c>
      <c r="BF255">
        <v>49999.999999988024</v>
      </c>
      <c r="BG255">
        <v>5.3567548160841804E-10</v>
      </c>
      <c r="BI255">
        <v>49999.999999832435</v>
      </c>
      <c r="BJ255">
        <v>1.1141709875374208E-8</v>
      </c>
      <c r="BL255">
        <v>49999.999999851228</v>
      </c>
      <c r="BM255">
        <v>9.9744945560219429E-9</v>
      </c>
      <c r="BO255">
        <v>49999.999999834101</v>
      </c>
      <c r="BP255">
        <v>1.105041055561768E-8</v>
      </c>
      <c r="BR255">
        <v>49999.999999835272</v>
      </c>
      <c r="BS255">
        <v>1.0981833834894912E-8</v>
      </c>
      <c r="BU255">
        <v>49999.999999831351</v>
      </c>
      <c r="BV255">
        <v>1.1179528465756498E-8</v>
      </c>
      <c r="BX255">
        <v>49999.999999996238</v>
      </c>
      <c r="BY255">
        <v>3.7257720241528703E-13</v>
      </c>
    </row>
    <row r="256" spans="13:77" x14ac:dyDescent="0.35">
      <c r="M256">
        <v>21999.99984749989</v>
      </c>
      <c r="N256">
        <v>7636.3636722745023</v>
      </c>
      <c r="P256">
        <v>21999.999963614729</v>
      </c>
      <c r="Q256">
        <v>7636.3636689742525</v>
      </c>
      <c r="S256">
        <v>21999.999730712982</v>
      </c>
      <c r="T256">
        <v>7636.3637310452777</v>
      </c>
      <c r="V256">
        <v>21999.999980489938</v>
      </c>
      <c r="W256">
        <v>7636.3636683259638</v>
      </c>
      <c r="Y256">
        <v>22000.000001993256</v>
      </c>
      <c r="Z256">
        <v>7636.3636595862699</v>
      </c>
      <c r="AB256">
        <v>21999.999984555408</v>
      </c>
      <c r="AC256">
        <v>7636.3636666626962</v>
      </c>
      <c r="AE256">
        <v>21999.999986624658</v>
      </c>
      <c r="AF256">
        <v>7636.363665825218</v>
      </c>
      <c r="AH256">
        <v>21999.999973862883</v>
      </c>
      <c r="AI256">
        <v>7636.3636711280733</v>
      </c>
      <c r="AK256">
        <v>22000.002227969788</v>
      </c>
      <c r="AL256">
        <v>7636.3634877557788</v>
      </c>
      <c r="AZ256">
        <v>49999.999999975669</v>
      </c>
      <c r="BA256">
        <v>1.4077590436848075E-9</v>
      </c>
      <c r="BC256">
        <v>49999.999999874162</v>
      </c>
      <c r="BD256">
        <v>8.299581399058252E-9</v>
      </c>
      <c r="BF256">
        <v>49999.999999989312</v>
      </c>
      <c r="BG256">
        <v>4.7962544210320357E-10</v>
      </c>
      <c r="BI256">
        <v>49999.999999849904</v>
      </c>
      <c r="BJ256">
        <v>9.9759046441956882E-9</v>
      </c>
      <c r="BL256">
        <v>49999.999999866726</v>
      </c>
      <c r="BM256">
        <v>8.9308201055260591E-9</v>
      </c>
      <c r="BO256">
        <v>49999.999999851396</v>
      </c>
      <c r="BP256">
        <v>9.8941583666352299E-9</v>
      </c>
      <c r="BR256">
        <v>49999.999999852444</v>
      </c>
      <c r="BS256">
        <v>9.8327571244207306E-9</v>
      </c>
      <c r="BU256">
        <v>49999.999999848937</v>
      </c>
      <c r="BV256">
        <v>1.0009766112107816E-8</v>
      </c>
      <c r="BX256">
        <v>49999.999999996668</v>
      </c>
      <c r="BY256">
        <v>3.3359284036942484E-13</v>
      </c>
    </row>
    <row r="257" spans="13:77" x14ac:dyDescent="0.35">
      <c r="M257">
        <v>21999.999862913755</v>
      </c>
      <c r="N257">
        <v>7636.3636594929349</v>
      </c>
      <c r="P257">
        <v>21999.999961669375</v>
      </c>
      <c r="Q257">
        <v>7636.3636656557974</v>
      </c>
      <c r="S257">
        <v>21999.999750617801</v>
      </c>
      <c r="T257">
        <v>7636.3637081256893</v>
      </c>
      <c r="V257">
        <v>21999.999976061175</v>
      </c>
      <c r="W257">
        <v>7636.3636663846883</v>
      </c>
      <c r="Y257">
        <v>21999.999996250805</v>
      </c>
      <c r="Z257">
        <v>7636.3636594883737</v>
      </c>
      <c r="AB257">
        <v>21999.999979880831</v>
      </c>
      <c r="AC257">
        <v>7636.3636650700564</v>
      </c>
      <c r="AE257">
        <v>21999.999981822839</v>
      </c>
      <c r="AF257">
        <v>7636.3636644099261</v>
      </c>
      <c r="AH257">
        <v>21999.999969813576</v>
      </c>
      <c r="AI257">
        <v>7636.3636686174759</v>
      </c>
      <c r="AK257">
        <v>22000.00191483313</v>
      </c>
      <c r="AL257">
        <v>7636.3636702843305</v>
      </c>
      <c r="AZ257">
        <v>49999.999999978238</v>
      </c>
      <c r="BA257">
        <v>1.2604591340912889E-9</v>
      </c>
      <c r="BC257">
        <v>49999.999999887295</v>
      </c>
      <c r="BD257">
        <v>7.4311603470087862E-9</v>
      </c>
      <c r="BF257">
        <v>49999.999999990461</v>
      </c>
      <c r="BG257">
        <v>4.2944016034106167E-10</v>
      </c>
      <c r="BI257">
        <v>49999.999999865555</v>
      </c>
      <c r="BJ257">
        <v>8.9320826500832318E-9</v>
      </c>
      <c r="BL257">
        <v>49999.999999880609</v>
      </c>
      <c r="BM257">
        <v>7.9963498209660258E-9</v>
      </c>
      <c r="BO257">
        <v>49999.999999866886</v>
      </c>
      <c r="BP257">
        <v>8.858889838649228E-9</v>
      </c>
      <c r="BR257">
        <v>49999.999999867825</v>
      </c>
      <c r="BS257">
        <v>8.8039132736319912E-9</v>
      </c>
      <c r="BU257">
        <v>49999.999999864689</v>
      </c>
      <c r="BV257">
        <v>8.9624010463421568E-9</v>
      </c>
      <c r="BX257">
        <v>49999.999999997053</v>
      </c>
      <c r="BY257">
        <v>2.9868758051841194E-13</v>
      </c>
    </row>
    <row r="258" spans="13:77" x14ac:dyDescent="0.35">
      <c r="M258">
        <v>21999.999878910079</v>
      </c>
      <c r="N258">
        <v>7636.3636481056074</v>
      </c>
      <c r="P258">
        <v>21999.999960803889</v>
      </c>
      <c r="Q258">
        <v>7636.3636622165295</v>
      </c>
      <c r="S258">
        <v>21999.999772774863</v>
      </c>
      <c r="T258">
        <v>7636.3636870782939</v>
      </c>
      <c r="V258">
        <v>21999.999972777972</v>
      </c>
      <c r="W258">
        <v>7636.3636641055955</v>
      </c>
      <c r="Y258">
        <v>21999.999991427918</v>
      </c>
      <c r="Z258">
        <v>7636.3636589254002</v>
      </c>
      <c r="AB258">
        <v>21999.99997630866</v>
      </c>
      <c r="AC258">
        <v>7636.3636631157451</v>
      </c>
      <c r="AE258">
        <v>21999.999978101816</v>
      </c>
      <c r="AF258">
        <v>7636.3636626206498</v>
      </c>
      <c r="AH258">
        <v>21999.999966983727</v>
      </c>
      <c r="AI258">
        <v>7636.3636658062333</v>
      </c>
      <c r="AK258">
        <v>22000.001607903047</v>
      </c>
      <c r="AL258">
        <v>7636.3638253511535</v>
      </c>
      <c r="AZ258">
        <v>49999.999999980537</v>
      </c>
      <c r="BA258">
        <v>1.1285718503044423E-9</v>
      </c>
      <c r="BC258">
        <v>49999.999999899053</v>
      </c>
      <c r="BD258">
        <v>6.6536059408037382E-9</v>
      </c>
      <c r="BF258">
        <v>49999.999999991487</v>
      </c>
      <c r="BG258">
        <v>3.8450598138635665E-10</v>
      </c>
      <c r="BI258">
        <v>49999.999999879576</v>
      </c>
      <c r="BJ258">
        <v>7.9974802600325548E-9</v>
      </c>
      <c r="BL258">
        <v>49999.999999893043</v>
      </c>
      <c r="BM258">
        <v>7.1596571987494957E-9</v>
      </c>
      <c r="BO258">
        <v>49999.999999880762</v>
      </c>
      <c r="BP258">
        <v>7.9319459286172534E-9</v>
      </c>
      <c r="BR258">
        <v>49999.999999881598</v>
      </c>
      <c r="BS258">
        <v>7.8827217990705526E-9</v>
      </c>
      <c r="BU258">
        <v>49999.999999878804</v>
      </c>
      <c r="BV258">
        <v>8.024626311529752E-9</v>
      </c>
      <c r="BX258">
        <v>49999.999999997395</v>
      </c>
      <c r="BY258">
        <v>2.6743460877981057E-13</v>
      </c>
    </row>
    <row r="259" spans="13:77" x14ac:dyDescent="0.35">
      <c r="M259">
        <v>21999.999895071833</v>
      </c>
      <c r="N259">
        <v>7636.3636381442111</v>
      </c>
      <c r="P259">
        <v>21999.999960877907</v>
      </c>
      <c r="Q259">
        <v>7636.3636587454648</v>
      </c>
      <c r="S259">
        <v>21999.999796394626</v>
      </c>
      <c r="T259">
        <v>7636.3636680649915</v>
      </c>
      <c r="V259">
        <v>21999.999970540459</v>
      </c>
      <c r="W259">
        <v>7636.3636615854602</v>
      </c>
      <c r="Y259">
        <v>21999.99998748978</v>
      </c>
      <c r="Z259">
        <v>7636.363657977201</v>
      </c>
      <c r="AB259">
        <v>21999.999973751339</v>
      </c>
      <c r="AC259">
        <v>7636.3636608933011</v>
      </c>
      <c r="AE259">
        <v>21999.999975380288</v>
      </c>
      <c r="AF259">
        <v>7636.3636605493111</v>
      </c>
      <c r="AH259">
        <v>21999.999965253235</v>
      </c>
      <c r="AI259">
        <v>7636.3636627967026</v>
      </c>
      <c r="AK259">
        <v>22000.00131263303</v>
      </c>
      <c r="AL259">
        <v>7636.3639537672116</v>
      </c>
      <c r="AZ259">
        <v>49999.999999982596</v>
      </c>
      <c r="BA259">
        <v>1.010484502710864E-9</v>
      </c>
      <c r="BC259">
        <v>49999.999999909589</v>
      </c>
      <c r="BD259">
        <v>5.9574104107873866E-9</v>
      </c>
      <c r="BF259">
        <v>49999.999999992404</v>
      </c>
      <c r="BG259">
        <v>3.4427345967006738E-10</v>
      </c>
      <c r="BI259">
        <v>49999.999999892134</v>
      </c>
      <c r="BJ259">
        <v>7.1606693550935069E-9</v>
      </c>
      <c r="BL259">
        <v>49999.999999904183</v>
      </c>
      <c r="BM259">
        <v>6.4105113397121124E-9</v>
      </c>
      <c r="BO259">
        <v>49999.999999893189</v>
      </c>
      <c r="BP259">
        <v>7.1019921638515303E-9</v>
      </c>
      <c r="BR259">
        <v>49999.999999893938</v>
      </c>
      <c r="BS259">
        <v>7.0579185676042769E-9</v>
      </c>
      <c r="BU259">
        <v>49999.999999891443</v>
      </c>
      <c r="BV259">
        <v>7.1849749979644316E-9</v>
      </c>
      <c r="BX259">
        <v>49999.999999997694</v>
      </c>
      <c r="BY259">
        <v>2.3945177047226326E-13</v>
      </c>
    </row>
    <row r="260" spans="13:77" x14ac:dyDescent="0.35">
      <c r="M260">
        <v>21999.999911039697</v>
      </c>
      <c r="N260">
        <v>7636.3636296062286</v>
      </c>
      <c r="P260">
        <v>21999.999961752168</v>
      </c>
      <c r="Q260">
        <v>7636.3636553192273</v>
      </c>
      <c r="S260">
        <v>21999.999820772966</v>
      </c>
      <c r="T260">
        <v>7636.3636511817749</v>
      </c>
      <c r="V260">
        <v>21999.999969241726</v>
      </c>
      <c r="W260">
        <v>7636.3636589118678</v>
      </c>
      <c r="Y260">
        <v>21999.999984388334</v>
      </c>
      <c r="Z260">
        <v>7636.3636567199073</v>
      </c>
      <c r="AB260">
        <v>21999.999972113113</v>
      </c>
      <c r="AC260">
        <v>7636.3636584881087</v>
      </c>
      <c r="AE260">
        <v>21999.999973568156</v>
      </c>
      <c r="AF260">
        <v>7636.3636582802037</v>
      </c>
      <c r="AH260">
        <v>21999.999964496812</v>
      </c>
      <c r="AI260">
        <v>7636.3636596803472</v>
      </c>
      <c r="AK260">
        <v>22000.001033435357</v>
      </c>
      <c r="AL260">
        <v>7636.3640567771163</v>
      </c>
      <c r="AZ260">
        <v>49999.999999984429</v>
      </c>
      <c r="BA260">
        <v>9.0475314437745741E-10</v>
      </c>
      <c r="BC260">
        <v>49999.999999919026</v>
      </c>
      <c r="BD260">
        <v>5.3340608263121772E-9</v>
      </c>
      <c r="BF260">
        <v>49999.999999993219</v>
      </c>
      <c r="BG260">
        <v>3.0825064048640423E-10</v>
      </c>
      <c r="BI260">
        <v>49999.999999903383</v>
      </c>
      <c r="BJ260">
        <v>6.4114175897657933E-9</v>
      </c>
      <c r="BL260">
        <v>49999.999999914166</v>
      </c>
      <c r="BM260">
        <v>5.7397518478617538E-9</v>
      </c>
      <c r="BO260">
        <v>49999.999999904321</v>
      </c>
      <c r="BP260">
        <v>6.3588800465011963E-9</v>
      </c>
      <c r="BR260">
        <v>49999.999999904998</v>
      </c>
      <c r="BS260">
        <v>6.319418061006396E-9</v>
      </c>
      <c r="BU260">
        <v>49999.999999902764</v>
      </c>
      <c r="BV260">
        <v>6.4331800282342385E-9</v>
      </c>
      <c r="BX260">
        <v>49999.999999997955</v>
      </c>
      <c r="BY260">
        <v>2.1439689740945021E-13</v>
      </c>
    </row>
    <row r="261" spans="13:77" x14ac:dyDescent="0.35">
      <c r="M261">
        <v>21999.999926511042</v>
      </c>
      <c r="N261">
        <v>7636.3636224600014</v>
      </c>
      <c r="P261">
        <v>21999.999963291226</v>
      </c>
      <c r="Q261">
        <v>7636.3636520022792</v>
      </c>
      <c r="S261">
        <v>21999.99984529326</v>
      </c>
      <c r="T261">
        <v>7636.3636364664053</v>
      </c>
      <c r="V261">
        <v>21999.999968771077</v>
      </c>
      <c r="W261">
        <v>7636.3636561627445</v>
      </c>
      <c r="Y261">
        <v>21999.999982065223</v>
      </c>
      <c r="Z261">
        <v>7636.363655224899</v>
      </c>
      <c r="AB261">
        <v>21999.999971293211</v>
      </c>
      <c r="AC261">
        <v>7636.3636559768229</v>
      </c>
      <c r="AE261">
        <v>21999.999972569676</v>
      </c>
      <c r="AF261">
        <v>7636.3636558893641</v>
      </c>
      <c r="AH261">
        <v>21999.999964587343</v>
      </c>
      <c r="AI261">
        <v>7636.3636565374372</v>
      </c>
      <c r="AK261">
        <v>22000.000773742249</v>
      </c>
      <c r="AL261">
        <v>7636.3641359697467</v>
      </c>
      <c r="AZ261">
        <v>49999.999999986074</v>
      </c>
      <c r="BA261">
        <v>8.1008491477590337E-10</v>
      </c>
      <c r="BC261">
        <v>49999.999999927473</v>
      </c>
      <c r="BD261">
        <v>4.77593500143606E-9</v>
      </c>
      <c r="BF261">
        <v>49999.999999993946</v>
      </c>
      <c r="BG261">
        <v>2.7599704447545603E-10</v>
      </c>
      <c r="BI261">
        <v>49999.99999991346</v>
      </c>
      <c r="BJ261">
        <v>5.7405632730577312E-9</v>
      </c>
      <c r="BL261">
        <v>49999.999999923108</v>
      </c>
      <c r="BM261">
        <v>5.1391768190075507E-9</v>
      </c>
      <c r="BO261">
        <v>49999.999999914296</v>
      </c>
      <c r="BP261">
        <v>5.6935229598822595E-9</v>
      </c>
      <c r="BR261">
        <v>49999.9999999149</v>
      </c>
      <c r="BS261">
        <v>5.6581900523869011E-9</v>
      </c>
      <c r="BU261">
        <v>49999.999999912907</v>
      </c>
      <c r="BV261">
        <v>5.7600486135857721E-9</v>
      </c>
      <c r="BX261">
        <v>49999.999999998188</v>
      </c>
      <c r="BY261">
        <v>1.9196362394039097E-13</v>
      </c>
    </row>
    <row r="262" spans="13:77" x14ac:dyDescent="0.35">
      <c r="M262">
        <v>21999.9999412379</v>
      </c>
      <c r="N262">
        <v>7636.3636166496572</v>
      </c>
      <c r="P262">
        <v>21999.999965365718</v>
      </c>
      <c r="Q262">
        <v>7636.3636488473667</v>
      </c>
      <c r="S262">
        <v>21999.99986942633</v>
      </c>
      <c r="T262">
        <v>7636.3636239061616</v>
      </c>
      <c r="V262">
        <v>21999.99996901687</v>
      </c>
      <c r="W262">
        <v>7636.3636534061579</v>
      </c>
      <c r="Y262">
        <v>21999.999980454508</v>
      </c>
      <c r="Z262">
        <v>7636.3636535580199</v>
      </c>
      <c r="AB262">
        <v>21999.999971188663</v>
      </c>
      <c r="AC262">
        <v>7636.3636534270627</v>
      </c>
      <c r="AE262">
        <v>21999.999972286263</v>
      </c>
      <c r="AF262">
        <v>7636.3636534442057</v>
      </c>
      <c r="AH262">
        <v>21999.999965398787</v>
      </c>
      <c r="AI262">
        <v>7636.3636534370253</v>
      </c>
      <c r="AK262">
        <v>22000.000536078398</v>
      </c>
      <c r="AL262">
        <v>7636.3641931948423</v>
      </c>
      <c r="AZ262">
        <v>49999.999999987544</v>
      </c>
      <c r="BA262">
        <v>7.2532223095950691E-10</v>
      </c>
      <c r="BC262">
        <v>49999.99999993504</v>
      </c>
      <c r="BD262">
        <v>4.276208292456351E-9</v>
      </c>
      <c r="BF262">
        <v>49999.999999994594</v>
      </c>
      <c r="BG262">
        <v>2.4711828153540139E-10</v>
      </c>
      <c r="BI262">
        <v>49999.999999922482</v>
      </c>
      <c r="BJ262">
        <v>5.1399033412802878E-9</v>
      </c>
      <c r="BL262">
        <v>49999.999999931119</v>
      </c>
      <c r="BM262">
        <v>4.6014425496224861E-9</v>
      </c>
      <c r="BO262">
        <v>49999.999999923231</v>
      </c>
      <c r="BP262">
        <v>5.0977850592642778E-9</v>
      </c>
      <c r="BR262">
        <v>49999.99999992377</v>
      </c>
      <c r="BS262">
        <v>5.0661491865016127E-9</v>
      </c>
      <c r="BU262">
        <v>49999.999999921994</v>
      </c>
      <c r="BV262">
        <v>5.1573498464614183E-9</v>
      </c>
      <c r="BX262">
        <v>49999.999999998399</v>
      </c>
      <c r="BY262">
        <v>1.7187764077552175E-13</v>
      </c>
    </row>
    <row r="263" spans="13:77" x14ac:dyDescent="0.35">
      <c r="M263">
        <v>21999.99995502409</v>
      </c>
      <c r="N263">
        <v>7636.3636120998199</v>
      </c>
      <c r="P263">
        <v>21999.999967854139</v>
      </c>
      <c r="Q263">
        <v>7636.3636458961446</v>
      </c>
      <c r="S263">
        <v>21999.999892728614</v>
      </c>
      <c r="T263">
        <v>7636.3636134455073</v>
      </c>
      <c r="V263">
        <v>21999.999969868983</v>
      </c>
      <c r="W263">
        <v>7636.363650700353</v>
      </c>
      <c r="Y263">
        <v>21999.999979485143</v>
      </c>
      <c r="Z263">
        <v>7636.3636517790246</v>
      </c>
      <c r="AB263">
        <v>21999.999971696765</v>
      </c>
      <c r="AC263">
        <v>7636.3636508973304</v>
      </c>
      <c r="AE263">
        <v>21999.999972618971</v>
      </c>
      <c r="AF263">
        <v>7636.3636510033848</v>
      </c>
      <c r="AH263">
        <v>21999.999966808635</v>
      </c>
      <c r="AI263">
        <v>7636.3636504371598</v>
      </c>
      <c r="AK263">
        <v>22000.000322141659</v>
      </c>
      <c r="AL263">
        <v>7636.3642304864097</v>
      </c>
      <c r="AZ263">
        <v>49999.999999988861</v>
      </c>
      <c r="BA263">
        <v>6.4942863288549652E-10</v>
      </c>
      <c r="BC263">
        <v>49999.999999941821</v>
      </c>
      <c r="BD263">
        <v>3.8287701476202215E-9</v>
      </c>
      <c r="BF263">
        <v>49999.999999995176</v>
      </c>
      <c r="BG263">
        <v>2.2126122830435116E-10</v>
      </c>
      <c r="BI263">
        <v>49999.999999930566</v>
      </c>
      <c r="BJ263">
        <v>4.6020930527315848E-9</v>
      </c>
      <c r="BL263">
        <v>49999.999999938293</v>
      </c>
      <c r="BM263">
        <v>4.1199737396009117E-9</v>
      </c>
      <c r="BO263">
        <v>49999.999999931235</v>
      </c>
      <c r="BP263">
        <v>4.5643817884939711E-9</v>
      </c>
      <c r="BR263">
        <v>49999.999999931715</v>
      </c>
      <c r="BS263">
        <v>4.5360561137504745E-9</v>
      </c>
      <c r="BU263">
        <v>49999.999999930129</v>
      </c>
      <c r="BV263">
        <v>4.6177140547149578E-9</v>
      </c>
      <c r="BX263">
        <v>49999.999999998581</v>
      </c>
      <c r="BY263">
        <v>1.5389334079113214E-13</v>
      </c>
    </row>
    <row r="264" spans="13:77" x14ac:dyDescent="0.35">
      <c r="M264">
        <v>21999.999967721695</v>
      </c>
      <c r="N264">
        <v>7636.3636087200275</v>
      </c>
      <c r="P264">
        <v>21999.999970644221</v>
      </c>
      <c r="Q264">
        <v>7636.3636431799368</v>
      </c>
      <c r="S264">
        <v>21999.999914838791</v>
      </c>
      <c r="T264">
        <v>7636.3636049935185</v>
      </c>
      <c r="V264">
        <v>21999.999971220863</v>
      </c>
      <c r="W264">
        <v>7636.3636480939831</v>
      </c>
      <c r="Y264">
        <v>21999.999979083204</v>
      </c>
      <c r="Z264">
        <v>7636.3636499412314</v>
      </c>
      <c r="AB264">
        <v>21999.999972717171</v>
      </c>
      <c r="AC264">
        <v>7636.3636484371373</v>
      </c>
      <c r="AE264">
        <v>21999.999973470574</v>
      </c>
      <c r="AF264">
        <v>7636.3636486168698</v>
      </c>
      <c r="AH264">
        <v>21999.999968699936</v>
      </c>
      <c r="AI264">
        <v>7636.3636475852936</v>
      </c>
      <c r="AK264">
        <v>22000.000132889065</v>
      </c>
      <c r="AL264">
        <v>7636.3642499935422</v>
      </c>
      <c r="AZ264">
        <v>49999.999999990039</v>
      </c>
      <c r="BA264">
        <v>5.8147610980239294E-10</v>
      </c>
      <c r="BC264">
        <v>49999.99999994789</v>
      </c>
      <c r="BD264">
        <v>3.428149388599443E-9</v>
      </c>
      <c r="BF264">
        <v>49999.999999995693</v>
      </c>
      <c r="BG264">
        <v>1.9810971024309644E-10</v>
      </c>
      <c r="BI264">
        <v>49999.999999937805</v>
      </c>
      <c r="BJ264">
        <v>4.1205561777598324E-9</v>
      </c>
      <c r="BL264">
        <v>49999.999999944725</v>
      </c>
      <c r="BM264">
        <v>3.6888830908894289E-9</v>
      </c>
      <c r="BO264">
        <v>49999.999999938409</v>
      </c>
      <c r="BP264">
        <v>4.0867908059942271E-9</v>
      </c>
      <c r="BR264">
        <v>49999.999999938831</v>
      </c>
      <c r="BS264">
        <v>4.061428968952661E-9</v>
      </c>
      <c r="BU264">
        <v>49999.999999937419</v>
      </c>
      <c r="BV264">
        <v>4.1345426868303418E-9</v>
      </c>
      <c r="BX264">
        <v>49999.999999998741</v>
      </c>
      <c r="BY264">
        <v>1.3779081579777203E-13</v>
      </c>
    </row>
    <row r="265" spans="13:77" x14ac:dyDescent="0.35">
      <c r="M265">
        <v>21999.99997922705</v>
      </c>
      <c r="N265">
        <v>7636.363606408825</v>
      </c>
      <c r="P265">
        <v>21999.999973633894</v>
      </c>
      <c r="Q265">
        <v>7636.363640720605</v>
      </c>
      <c r="S265">
        <v>21999.999935473232</v>
      </c>
      <c r="T265">
        <v>7636.3635984309558</v>
      </c>
      <c r="V265">
        <v>21999.999972971214</v>
      </c>
      <c r="W265">
        <v>7636.3636456265067</v>
      </c>
      <c r="Y265">
        <v>21999.999979173845</v>
      </c>
      <c r="Z265">
        <v>7636.3636480913619</v>
      </c>
      <c r="AB265">
        <v>21999.999974153623</v>
      </c>
      <c r="AC265">
        <v>7636.363646087294</v>
      </c>
      <c r="AE265">
        <v>21999.999974747348</v>
      </c>
      <c r="AF265">
        <v>7636.3636463261773</v>
      </c>
      <c r="AH265">
        <v>21999.999970962897</v>
      </c>
      <c r="AI265">
        <v>7636.363644918858</v>
      </c>
      <c r="AK265">
        <v>21999.999968625591</v>
      </c>
      <c r="AL265">
        <v>7636.3642539189896</v>
      </c>
      <c r="AZ265">
        <v>49999.999999991087</v>
      </c>
      <c r="BA265">
        <v>5.2063375273221173E-10</v>
      </c>
      <c r="BC265">
        <v>49999.999999953325</v>
      </c>
      <c r="BD265">
        <v>3.069447310087178E-9</v>
      </c>
      <c r="BF265">
        <v>49999.999999996158</v>
      </c>
      <c r="BG265">
        <v>1.7738063552019018E-10</v>
      </c>
      <c r="BI265">
        <v>49999.999999944288</v>
      </c>
      <c r="BJ265">
        <v>3.6894045860279185E-9</v>
      </c>
      <c r="BL265">
        <v>49999.999999950487</v>
      </c>
      <c r="BM265">
        <v>3.3028993188603165E-9</v>
      </c>
      <c r="BO265">
        <v>49999.999999944834</v>
      </c>
      <c r="BP265">
        <v>3.6591722309605847E-9</v>
      </c>
      <c r="BR265">
        <v>49999.999999945212</v>
      </c>
      <c r="BS265">
        <v>3.636464112479818E-9</v>
      </c>
      <c r="BU265">
        <v>49999.999999943946</v>
      </c>
      <c r="BV265">
        <v>3.7019276262392749E-9</v>
      </c>
      <c r="BX265">
        <v>49999.999999998887</v>
      </c>
      <c r="BY265">
        <v>1.233731675497528E-13</v>
      </c>
    </row>
    <row r="266" spans="13:77" x14ac:dyDescent="0.35">
      <c r="M266">
        <v>21999.999989476404</v>
      </c>
      <c r="N266">
        <v>7636.3636050574742</v>
      </c>
      <c r="P266">
        <v>21999.999976731913</v>
      </c>
      <c r="Q266">
        <v>7636.3636385314785</v>
      </c>
      <c r="S266">
        <v>21999.999954420473</v>
      </c>
      <c r="T266">
        <v>7636.3635936168894</v>
      </c>
      <c r="V266">
        <v>21999.999975025337</v>
      </c>
      <c r="W266">
        <v>7636.3636433287184</v>
      </c>
      <c r="Y266">
        <v>21999.999979682972</v>
      </c>
      <c r="Z266">
        <v>7636.3636462695376</v>
      </c>
      <c r="AB266">
        <v>21999.999975915347</v>
      </c>
      <c r="AC266">
        <v>7636.3636438803405</v>
      </c>
      <c r="AE266">
        <v>21999.999976360497</v>
      </c>
      <c r="AF266">
        <v>7636.3636441647513</v>
      </c>
      <c r="AH266">
        <v>21999.999973496117</v>
      </c>
      <c r="AI266">
        <v>7636.3636424659489</v>
      </c>
      <c r="AK266">
        <v>21999.99982909342</v>
      </c>
      <c r="AL266">
        <v>7636.3642444656252</v>
      </c>
      <c r="AZ266">
        <v>49999.999999992026</v>
      </c>
      <c r="BA266">
        <v>4.6615759429246849E-10</v>
      </c>
      <c r="BC266">
        <v>49999.9999999582</v>
      </c>
      <c r="BD266">
        <v>2.7482777794729375E-9</v>
      </c>
      <c r="BF266">
        <v>49999.999999996573</v>
      </c>
      <c r="BG266">
        <v>1.5882053342533233E-10</v>
      </c>
      <c r="BI266">
        <v>49999.999999950101</v>
      </c>
      <c r="BJ266">
        <v>3.3033662477098487E-9</v>
      </c>
      <c r="BL266">
        <v>49999.999999955646</v>
      </c>
      <c r="BM266">
        <v>2.957302696165913E-9</v>
      </c>
      <c r="BO266">
        <v>49999.999999950589</v>
      </c>
      <c r="BP266">
        <v>3.2762972345426842E-9</v>
      </c>
      <c r="BR266">
        <v>49999.999999950924</v>
      </c>
      <c r="BS266">
        <v>3.2559651645868904E-9</v>
      </c>
      <c r="BU266">
        <v>49999.999999949796</v>
      </c>
      <c r="BV266">
        <v>3.3145789481302794E-9</v>
      </c>
      <c r="BX266">
        <v>49999.999999999018</v>
      </c>
      <c r="BY266">
        <v>1.1046410011533944E-13</v>
      </c>
    </row>
    <row r="267" spans="13:77" x14ac:dyDescent="0.35">
      <c r="M267">
        <v>21999.999998441392</v>
      </c>
      <c r="N267">
        <v>7636.3636045532785</v>
      </c>
      <c r="P267">
        <v>21999.999979858167</v>
      </c>
      <c r="Q267">
        <v>7636.3636366183309</v>
      </c>
      <c r="S267">
        <v>21999.999971535039</v>
      </c>
      <c r="T267">
        <v>7636.3635903947988</v>
      </c>
      <c r="V267">
        <v>21999.999977296109</v>
      </c>
      <c r="W267">
        <v>7636.3636412233809</v>
      </c>
      <c r="Y267">
        <v>21999.99998053868</v>
      </c>
      <c r="Z267">
        <v>7636.3636445094189</v>
      </c>
      <c r="AB267">
        <v>21999.999977918134</v>
      </c>
      <c r="AC267">
        <v>7636.3636418410861</v>
      </c>
      <c r="AE267">
        <v>21999.999978227261</v>
      </c>
      <c r="AF267">
        <v>7636.3636421584533</v>
      </c>
      <c r="AH267">
        <v>21999.999976207455</v>
      </c>
      <c r="AI267">
        <v>7636.3636402461188</v>
      </c>
      <c r="AK267">
        <v>21999.999713559795</v>
      </c>
      <c r="AL267">
        <v>7636.3642237907588</v>
      </c>
      <c r="AZ267">
        <v>49999.99999999287</v>
      </c>
      <c r="BA267">
        <v>4.1738151162149529E-10</v>
      </c>
      <c r="BC267">
        <v>49999.999999962565</v>
      </c>
      <c r="BD267">
        <v>2.4607136041472898E-9</v>
      </c>
      <c r="BF267">
        <v>49999.999999996944</v>
      </c>
      <c r="BG267">
        <v>1.4220245498351508E-10</v>
      </c>
      <c r="BI267">
        <v>49999.999999955304</v>
      </c>
      <c r="BJ267">
        <v>2.9577207682330032E-9</v>
      </c>
      <c r="BL267">
        <v>49999.999999960266</v>
      </c>
      <c r="BM267">
        <v>2.6478673409179364E-9</v>
      </c>
      <c r="BO267">
        <v>49999.99999995574</v>
      </c>
      <c r="BP267">
        <v>2.9334841028388513E-9</v>
      </c>
      <c r="BR267">
        <v>49999.999999956039</v>
      </c>
      <c r="BS267">
        <v>2.915279465187456E-9</v>
      </c>
      <c r="BU267">
        <v>49999.999999955035</v>
      </c>
      <c r="BV267">
        <v>2.9677602353748816E-9</v>
      </c>
      <c r="BX267">
        <v>49999.999999999134</v>
      </c>
      <c r="BY267">
        <v>9.8905764167649348E-14</v>
      </c>
    </row>
    <row r="268" spans="13:77" x14ac:dyDescent="0.35">
      <c r="M268">
        <v>22000.000006124435</v>
      </c>
      <c r="N268">
        <v>7636.3636047824994</v>
      </c>
      <c r="P268">
        <v>21999.9999829437</v>
      </c>
      <c r="Q268">
        <v>7636.3636349803683</v>
      </c>
      <c r="S268">
        <v>21999.999986730774</v>
      </c>
      <c r="T268">
        <v>7636.3635885981021</v>
      </c>
      <c r="V268">
        <v>21999.999979704695</v>
      </c>
      <c r="W268">
        <v>7636.3636393259303</v>
      </c>
      <c r="Y268">
        <v>21999.999981672419</v>
      </c>
      <c r="Z268">
        <v>7636.3636428384507</v>
      </c>
      <c r="AB268">
        <v>21999.999980085126</v>
      </c>
      <c r="AC268">
        <v>7636.363639987223</v>
      </c>
      <c r="AE268">
        <v>21999.999980271758</v>
      </c>
      <c r="AF268">
        <v>7636.3636403261362</v>
      </c>
      <c r="AH268">
        <v>21999.999979014588</v>
      </c>
      <c r="AI268">
        <v>7636.3636382712202</v>
      </c>
      <c r="AK268">
        <v>21999.999620901832</v>
      </c>
      <c r="AL268">
        <v>7636.3641939680874</v>
      </c>
      <c r="AZ268">
        <v>49999.999999993619</v>
      </c>
      <c r="BA268">
        <v>3.7370908116997608E-10</v>
      </c>
      <c r="BC268">
        <v>49999.999999966472</v>
      </c>
      <c r="BD268">
        <v>2.2032385106271457E-9</v>
      </c>
      <c r="BF268">
        <v>49999.999999997272</v>
      </c>
      <c r="BG268">
        <v>1.2732319787129783E-10</v>
      </c>
      <c r="BI268">
        <v>49999.999999959968</v>
      </c>
      <c r="BJ268">
        <v>2.6482416682987705E-9</v>
      </c>
      <c r="BL268">
        <v>49999.999999964406</v>
      </c>
      <c r="BM268">
        <v>2.3708095435038908E-9</v>
      </c>
      <c r="BO268">
        <v>49999.999999960353</v>
      </c>
      <c r="BP268">
        <v>2.6265409898957376E-9</v>
      </c>
      <c r="BR268">
        <v>49999.999999960623</v>
      </c>
      <c r="BS268">
        <v>2.6102411821172297E-9</v>
      </c>
      <c r="BU268">
        <v>49999.999999959728</v>
      </c>
      <c r="BV268">
        <v>2.6572306626278448E-9</v>
      </c>
      <c r="BX268">
        <v>49999.999999999236</v>
      </c>
      <c r="BY268">
        <v>8.8556826836706033E-14</v>
      </c>
    </row>
    <row r="269" spans="13:77" x14ac:dyDescent="0.35">
      <c r="M269">
        <v>22000.000012554181</v>
      </c>
      <c r="N269">
        <v>7636.3636056328669</v>
      </c>
      <c r="P269">
        <v>21999.999985930517</v>
      </c>
      <c r="Q269">
        <v>7636.3636336112077</v>
      </c>
      <c r="S269">
        <v>21999.999999973934</v>
      </c>
      <c r="T269">
        <v>7636.3635880550892</v>
      </c>
      <c r="V269">
        <v>21999.999982180951</v>
      </c>
      <c r="W269">
        <v>7636.3636376452287</v>
      </c>
      <c r="Y269">
        <v>21999.999983019927</v>
      </c>
      <c r="Z269">
        <v>7636.3636412782071</v>
      </c>
      <c r="AB269">
        <v>21999.999982347319</v>
      </c>
      <c r="AC269">
        <v>7636.3636383300091</v>
      </c>
      <c r="AE269">
        <v>21999.999982425546</v>
      </c>
      <c r="AF269">
        <v>7636.3636386802827</v>
      </c>
      <c r="AH269">
        <v>21999.999981845274</v>
      </c>
      <c r="AI269">
        <v>7636.3636365462908</v>
      </c>
      <c r="AK269">
        <v>21999.999549687</v>
      </c>
      <c r="AL269">
        <v>7636.3641569569609</v>
      </c>
      <c r="AZ269">
        <v>49999.999999994296</v>
      </c>
      <c r="BA269">
        <v>3.3460628576082733E-10</v>
      </c>
      <c r="BC269">
        <v>49999.999999969972</v>
      </c>
      <c r="BD269">
        <v>1.9727041483125918E-9</v>
      </c>
      <c r="BF269">
        <v>49999.999999997563</v>
      </c>
      <c r="BG269">
        <v>1.1400082170207943E-10</v>
      </c>
      <c r="BI269">
        <v>49999.999999964144</v>
      </c>
      <c r="BJ269">
        <v>2.3711447033939485E-9</v>
      </c>
      <c r="BL269">
        <v>49999.999999968117</v>
      </c>
      <c r="BM269">
        <v>2.1227415001918725E-9</v>
      </c>
      <c r="BO269">
        <v>49999.999999964486</v>
      </c>
      <c r="BP269">
        <v>2.3517146607088888E-9</v>
      </c>
      <c r="BR269">
        <v>49999.999999964726</v>
      </c>
      <c r="BS269">
        <v>2.3371203722257041E-9</v>
      </c>
      <c r="BU269">
        <v>49999.999999963933</v>
      </c>
      <c r="BV269">
        <v>2.3791931404181686E-9</v>
      </c>
      <c r="BX269">
        <v>49999.999999999323</v>
      </c>
      <c r="BY269">
        <v>7.9290743521209735E-14</v>
      </c>
    </row>
    <row r="270" spans="13:77" x14ac:dyDescent="0.35">
      <c r="M270">
        <v>22000.000017781054</v>
      </c>
      <c r="N270">
        <v>7636.363606995691</v>
      </c>
      <c r="P270">
        <v>21999.99998877116</v>
      </c>
      <c r="Q270">
        <v>7636.3636324998288</v>
      </c>
      <c r="S270">
        <v>22000.000011276203</v>
      </c>
      <c r="T270">
        <v>7636.3635885932281</v>
      </c>
      <c r="V270">
        <v>21999.99998466362</v>
      </c>
      <c r="W270">
        <v>7636.3636361843455</v>
      </c>
      <c r="Y270">
        <v>21999.999984521928</v>
      </c>
      <c r="Z270">
        <v>7636.3636398448025</v>
      </c>
      <c r="AB270">
        <v>21999.999984643859</v>
      </c>
      <c r="AC270">
        <v>7636.3636368749731</v>
      </c>
      <c r="AE270">
        <v>21999.99998462795</v>
      </c>
      <c r="AF270">
        <v>7636.3636372276806</v>
      </c>
      <c r="AH270">
        <v>21999.999984637376</v>
      </c>
      <c r="AI270">
        <v>7636.3636350704464</v>
      </c>
      <c r="AK270">
        <v>21999.999498248209</v>
      </c>
      <c r="AL270">
        <v>7636.364114578525</v>
      </c>
      <c r="AZ270">
        <v>49999.9999999949</v>
      </c>
      <c r="BA270">
        <v>2.9959498474090524E-10</v>
      </c>
      <c r="BC270">
        <v>49999.999999973108</v>
      </c>
      <c r="BD270">
        <v>1.7662915921263703E-9</v>
      </c>
      <c r="BF270">
        <v>49999.999999997824</v>
      </c>
      <c r="BG270">
        <v>1.0207242329780516E-10</v>
      </c>
      <c r="BI270">
        <v>49999.999999967884</v>
      </c>
      <c r="BJ270">
        <v>2.1230415908548998E-9</v>
      </c>
      <c r="BL270">
        <v>49999.999999971442</v>
      </c>
      <c r="BM270">
        <v>1.9006298877881596E-9</v>
      </c>
      <c r="BO270">
        <v>49999.99999996819</v>
      </c>
      <c r="BP270">
        <v>2.105644597464569E-9</v>
      </c>
      <c r="BR270">
        <v>49999.999999968408</v>
      </c>
      <c r="BS270">
        <v>2.0925773724258009E-9</v>
      </c>
      <c r="BU270">
        <v>49999.999999967695</v>
      </c>
      <c r="BV270">
        <v>2.1302478851478351E-9</v>
      </c>
      <c r="BX270">
        <v>49999.999999999403</v>
      </c>
      <c r="BY270">
        <v>7.0994210528107472E-14</v>
      </c>
    </row>
    <row r="271" spans="13:77" x14ac:dyDescent="0.35">
      <c r="M271">
        <v>22000.000021873035</v>
      </c>
      <c r="N271">
        <v>7636.3636087675914</v>
      </c>
      <c r="P271">
        <v>21999.999991428169</v>
      </c>
      <c r="Q271">
        <v>7636.3636316314823</v>
      </c>
      <c r="S271">
        <v>22000.000020687788</v>
      </c>
      <c r="T271">
        <v>7636.3635900428671</v>
      </c>
      <c r="V271">
        <v>21999.999987100295</v>
      </c>
      <c r="W271">
        <v>7636.3636349413428</v>
      </c>
      <c r="Y271">
        <v>21999.999986124632</v>
      </c>
      <c r="Z271">
        <v>7636.363638549361</v>
      </c>
      <c r="AB271">
        <v>21999.999986922096</v>
      </c>
      <c r="AC271">
        <v>7636.3636356226425</v>
      </c>
      <c r="AE271">
        <v>21999.99998682618</v>
      </c>
      <c r="AF271">
        <v>7636.363635970114</v>
      </c>
      <c r="AH271">
        <v>21999.999987338659</v>
      </c>
      <c r="AI271">
        <v>7636.363633837771</v>
      </c>
      <c r="AK271">
        <v>21999.999464752756</v>
      </c>
      <c r="AL271">
        <v>7636.3640684982238</v>
      </c>
      <c r="AZ271">
        <v>49999.999999995438</v>
      </c>
      <c r="BA271">
        <v>2.6824706737894573E-10</v>
      </c>
      <c r="BC271">
        <v>49999.999999975917</v>
      </c>
      <c r="BD271">
        <v>1.5814768732984812E-9</v>
      </c>
      <c r="BF271">
        <v>49999.999999998057</v>
      </c>
      <c r="BG271">
        <v>9.1392144743604795E-11</v>
      </c>
      <c r="BI271">
        <v>49999.999999971231</v>
      </c>
      <c r="BJ271">
        <v>1.9008985786688635E-9</v>
      </c>
      <c r="BL271">
        <v>49999.999999974418</v>
      </c>
      <c r="BM271">
        <v>1.7017587728073119E-9</v>
      </c>
      <c r="BO271">
        <v>49999.999999971507</v>
      </c>
      <c r="BP271">
        <v>1.8853219078437427E-9</v>
      </c>
      <c r="BR271">
        <v>49999.999999971704</v>
      </c>
      <c r="BS271">
        <v>1.8736219630050099E-9</v>
      </c>
      <c r="BU271">
        <v>49999.999999971064</v>
      </c>
      <c r="BV271">
        <v>1.907350847262147E-9</v>
      </c>
      <c r="BX271">
        <v>49999.999999999469</v>
      </c>
      <c r="BY271">
        <v>6.3565779619168705E-14</v>
      </c>
    </row>
    <row r="272" spans="13:77" x14ac:dyDescent="0.35">
      <c r="M272">
        <v>22000.000024911657</v>
      </c>
      <c r="N272">
        <v>7636.3636108518631</v>
      </c>
      <c r="P272">
        <v>21999.999993873378</v>
      </c>
      <c r="Q272">
        <v>7636.3636309885424</v>
      </c>
      <c r="S272">
        <v>22000.000028290742</v>
      </c>
      <c r="T272">
        <v>7636.3635922403273</v>
      </c>
      <c r="V272">
        <v>21999.999989447195</v>
      </c>
      <c r="W272">
        <v>7636.3636339100503</v>
      </c>
      <c r="Y272">
        <v>21999.999987780051</v>
      </c>
      <c r="Z272">
        <v>7636.3636373985146</v>
      </c>
      <c r="AB272">
        <v>21999.999989137483</v>
      </c>
      <c r="AC272">
        <v>7636.3636345692648</v>
      </c>
      <c r="AE272">
        <v>21999.999988975276</v>
      </c>
      <c r="AF272">
        <v>7636.3636349050639</v>
      </c>
      <c r="AH272">
        <v>21999.999989906439</v>
      </c>
      <c r="AI272">
        <v>7636.3636328381708</v>
      </c>
      <c r="AK272">
        <v>21999.999447264607</v>
      </c>
      <c r="AL272">
        <v>7636.3640202140978</v>
      </c>
      <c r="AZ272">
        <v>49999.999999995918</v>
      </c>
      <c r="BA272">
        <v>2.4017921801873274E-10</v>
      </c>
      <c r="BC272">
        <v>49999.999999978434</v>
      </c>
      <c r="BD272">
        <v>1.4160001168136817E-9</v>
      </c>
      <c r="BF272">
        <v>49999.999999998268</v>
      </c>
      <c r="BG272">
        <v>8.1829389868278157E-11</v>
      </c>
      <c r="BI272">
        <v>49999.999999974229</v>
      </c>
      <c r="BJ272">
        <v>1.7019993494005489E-9</v>
      </c>
      <c r="BL272">
        <v>49999.999999977081</v>
      </c>
      <c r="BM272">
        <v>1.5236964016160192E-9</v>
      </c>
      <c r="BO272">
        <v>49999.999999974476</v>
      </c>
      <c r="BP272">
        <v>1.6880525329277078E-9</v>
      </c>
      <c r="BR272">
        <v>49999.999999974658</v>
      </c>
      <c r="BS272">
        <v>1.6775768038556771E-9</v>
      </c>
      <c r="BU272">
        <v>49999.999999974083</v>
      </c>
      <c r="BV272">
        <v>1.7077764892601698E-9</v>
      </c>
      <c r="BX272">
        <v>49999.999999999527</v>
      </c>
      <c r="BY272">
        <v>5.6914617523537337E-14</v>
      </c>
    </row>
    <row r="273" spans="13:77" x14ac:dyDescent="0.35">
      <c r="M273">
        <v>22000.000026988342</v>
      </c>
      <c r="N273">
        <v>7636.3636131595003</v>
      </c>
      <c r="P273">
        <v>21999.999996087139</v>
      </c>
      <c r="Q273">
        <v>7636.3636305512946</v>
      </c>
      <c r="S273">
        <v>22000.000034192577</v>
      </c>
      <c r="T273">
        <v>7636.3635950304206</v>
      </c>
      <c r="V273">
        <v>21999.999991668825</v>
      </c>
      <c r="W273">
        <v>7636.3636330808131</v>
      </c>
      <c r="Y273">
        <v>21999.999989446136</v>
      </c>
      <c r="Z273">
        <v>7636.3636363949254</v>
      </c>
      <c r="AB273">
        <v>21999.999991253302</v>
      </c>
      <c r="AC273">
        <v>7636.3636337075122</v>
      </c>
      <c r="AE273">
        <v>21999.999991037887</v>
      </c>
      <c r="AF273">
        <v>7636.3636340263884</v>
      </c>
      <c r="AH273">
        <v>21999.999992307046</v>
      </c>
      <c r="AI273">
        <v>7636.3636320582027</v>
      </c>
      <c r="AK273">
        <v>21999.999443799676</v>
      </c>
      <c r="AL273">
        <v>7636.3639710502657</v>
      </c>
      <c r="AZ273">
        <v>49999.999999996347</v>
      </c>
      <c r="BA273">
        <v>2.1504822897690222E-10</v>
      </c>
      <c r="BC273">
        <v>49999.999999980682</v>
      </c>
      <c r="BD273">
        <v>1.2678379081411651E-9</v>
      </c>
      <c r="BF273">
        <v>49999.999999998457</v>
      </c>
      <c r="BG273">
        <v>7.3267227342131367E-11</v>
      </c>
      <c r="BI273">
        <v>49999.999999976921</v>
      </c>
      <c r="BJ273">
        <v>1.5239118056411279E-9</v>
      </c>
      <c r="BL273">
        <v>49999.999999979467</v>
      </c>
      <c r="BM273">
        <v>1.3642654654676512E-9</v>
      </c>
      <c r="BO273">
        <v>49999.999999977139</v>
      </c>
      <c r="BP273">
        <v>1.5114243048194875E-9</v>
      </c>
      <c r="BR273">
        <v>49999.999999977299</v>
      </c>
      <c r="BS273">
        <v>1.5020446965304558E-9</v>
      </c>
      <c r="BU273">
        <v>49999.99999997679</v>
      </c>
      <c r="BV273">
        <v>1.5290844584027259E-9</v>
      </c>
      <c r="BX273">
        <v>49999.999999999578</v>
      </c>
      <c r="BY273">
        <v>5.0959395247843675E-14</v>
      </c>
    </row>
    <row r="274" spans="13:77" x14ac:dyDescent="0.35">
      <c r="M274">
        <v>22000.000028201059</v>
      </c>
      <c r="N274">
        <v>7636.3636156099155</v>
      </c>
      <c r="P274">
        <v>21999.99999805749</v>
      </c>
      <c r="Q274">
        <v>7636.3636302986506</v>
      </c>
      <c r="S274">
        <v>22000.00003852032</v>
      </c>
      <c r="T274">
        <v>7636.3635982684209</v>
      </c>
      <c r="V274">
        <v>21999.999993737492</v>
      </c>
      <c r="W274">
        <v>7636.3636324412018</v>
      </c>
      <c r="Y274">
        <v>21999.999991086781</v>
      </c>
      <c r="Z274">
        <v>7636.363635537813</v>
      </c>
      <c r="AB274">
        <v>21999.999993240282</v>
      </c>
      <c r="AC274">
        <v>7636.3636330271593</v>
      </c>
      <c r="AE274">
        <v>21999.999992983925</v>
      </c>
      <c r="AF274">
        <v>7636.3636333249824</v>
      </c>
      <c r="AH274">
        <v>21999.999994515219</v>
      </c>
      <c r="AI274">
        <v>7636.3636314818377</v>
      </c>
      <c r="AK274">
        <v>21999.999452374013</v>
      </c>
      <c r="AL274">
        <v>7636.363922154972</v>
      </c>
      <c r="AZ274">
        <v>49999.999999996733</v>
      </c>
      <c r="BA274">
        <v>1.9254680387249537E-10</v>
      </c>
      <c r="BC274">
        <v>49999.999999982698</v>
      </c>
      <c r="BD274">
        <v>1.1351785513526779E-9</v>
      </c>
      <c r="BF274">
        <v>49999.999999998625</v>
      </c>
      <c r="BG274">
        <v>6.5600960865584408E-11</v>
      </c>
      <c r="BI274">
        <v>49999.999999979329</v>
      </c>
      <c r="BJ274">
        <v>1.3644583308391684E-9</v>
      </c>
      <c r="BL274">
        <v>49999.999999981606</v>
      </c>
      <c r="BM274">
        <v>1.2215164768346817E-9</v>
      </c>
      <c r="BO274">
        <v>49999.999999979525</v>
      </c>
      <c r="BP274">
        <v>1.3532774511685904E-9</v>
      </c>
      <c r="BR274">
        <v>49999.999999979664</v>
      </c>
      <c r="BS274">
        <v>1.3448792718103092E-9</v>
      </c>
      <c r="BU274">
        <v>49999.999999979213</v>
      </c>
      <c r="BV274">
        <v>1.3690897465989081E-9</v>
      </c>
      <c r="BX274">
        <v>49999.999999999629</v>
      </c>
      <c r="BY274">
        <v>4.5627293602597048E-14</v>
      </c>
    </row>
    <row r="275" spans="13:77" x14ac:dyDescent="0.35">
      <c r="M275">
        <v>22000.00002865132</v>
      </c>
      <c r="N275">
        <v>7636.3636181313759</v>
      </c>
      <c r="P275">
        <v>21999.999999779262</v>
      </c>
      <c r="Q275">
        <v>7636.3636302087853</v>
      </c>
      <c r="S275">
        <v>22000.000041415005</v>
      </c>
      <c r="T275">
        <v>7636.3636018215357</v>
      </c>
      <c r="V275">
        <v>21999.99999563273</v>
      </c>
      <c r="W275">
        <v>7636.3636319766774</v>
      </c>
      <c r="Y275">
        <v>21999.999992671699</v>
      </c>
      <c r="Z275">
        <v>7636.3636348234731</v>
      </c>
      <c r="AB275">
        <v>21999.999995076119</v>
      </c>
      <c r="AC275">
        <v>7636.3636325157186</v>
      </c>
      <c r="AE275">
        <v>21999.999994790138</v>
      </c>
      <c r="AF275">
        <v>7636.3636327894001</v>
      </c>
      <c r="AH275">
        <v>21999.99999651339</v>
      </c>
      <c r="AI275">
        <v>7636.3636310911779</v>
      </c>
      <c r="AK275">
        <v>21999.99947104491</v>
      </c>
      <c r="AL275">
        <v>7636.3638745025601</v>
      </c>
      <c r="AZ275">
        <v>49999.999999997075</v>
      </c>
      <c r="BA275">
        <v>1.7239980007226796E-10</v>
      </c>
      <c r="BC275">
        <v>49999.999999984502</v>
      </c>
      <c r="BD275">
        <v>1.0163999160906087E-9</v>
      </c>
      <c r="BF275">
        <v>49999.99999999877</v>
      </c>
      <c r="BG275">
        <v>5.8736848965120811E-11</v>
      </c>
      <c r="BI275">
        <v>49999.999999981483</v>
      </c>
      <c r="BJ275">
        <v>1.2216891618692894E-9</v>
      </c>
      <c r="BL275">
        <v>49999.999999983527</v>
      </c>
      <c r="BM275">
        <v>1.0937039314904537E-9</v>
      </c>
      <c r="BO275">
        <v>49999.999999981657</v>
      </c>
      <c r="BP275">
        <v>1.2116781859347527E-9</v>
      </c>
      <c r="BR275">
        <v>49999.999999981788</v>
      </c>
      <c r="BS275">
        <v>1.2041587443588889E-9</v>
      </c>
      <c r="BU275">
        <v>49999.999999981381</v>
      </c>
      <c r="BV275">
        <v>1.2258359725925629E-9</v>
      </c>
      <c r="BX275">
        <v>49999.999999999673</v>
      </c>
      <c r="BY275">
        <v>4.0853112784647623E-14</v>
      </c>
    </row>
    <row r="276" spans="13:77" x14ac:dyDescent="0.35">
      <c r="M276">
        <v>22000.000028441566</v>
      </c>
      <c r="N276">
        <v>7636.36362066119</v>
      </c>
      <c r="P276">
        <v>22000.0000012532</v>
      </c>
      <c r="Q276">
        <v>7636.3636302596979</v>
      </c>
      <c r="S276">
        <v>22000.000043026706</v>
      </c>
      <c r="T276">
        <v>7636.3636055699053</v>
      </c>
      <c r="V276">
        <v>21999.999997340674</v>
      </c>
      <c r="W276">
        <v>7636.3636316712036</v>
      </c>
      <c r="Y276">
        <v>21999.999994176203</v>
      </c>
      <c r="Z276">
        <v>7636.3636342457858</v>
      </c>
      <c r="AB276">
        <v>21999.999996744908</v>
      </c>
      <c r="AC276">
        <v>7636.3636321590311</v>
      </c>
      <c r="AE276">
        <v>21999.999996439572</v>
      </c>
      <c r="AF276">
        <v>7636.3636324064355</v>
      </c>
      <c r="AH276">
        <v>21999.999998290918</v>
      </c>
      <c r="AI276">
        <v>7636.3636308670984</v>
      </c>
      <c r="AK276">
        <v>21999.999497945133</v>
      </c>
      <c r="AL276">
        <v>7636.3638288987695</v>
      </c>
      <c r="AZ276">
        <v>49999.999999997381</v>
      </c>
      <c r="BA276">
        <v>1.5436086430517811E-10</v>
      </c>
      <c r="BC276">
        <v>49999.999999986117</v>
      </c>
      <c r="BD276">
        <v>9.100496025034994E-10</v>
      </c>
      <c r="BF276">
        <v>49999.999999998901</v>
      </c>
      <c r="BG276">
        <v>5.25909587425169E-11</v>
      </c>
      <c r="BI276">
        <v>49999.999999983418</v>
      </c>
      <c r="BJ276">
        <v>1.0938585477439723E-9</v>
      </c>
      <c r="BL276">
        <v>49999.999999985244</v>
      </c>
      <c r="BM276">
        <v>9.7926496485529869E-10</v>
      </c>
      <c r="BO276">
        <v>49999.999999983571</v>
      </c>
      <c r="BP276">
        <v>1.0848950634641447E-9</v>
      </c>
      <c r="BR276">
        <v>49999.999999983687</v>
      </c>
      <c r="BS276">
        <v>1.0781624135407924E-9</v>
      </c>
      <c r="BU276">
        <v>49999.999999983324</v>
      </c>
      <c r="BV276">
        <v>1.0975714597490099E-9</v>
      </c>
      <c r="BX276">
        <v>49999.999999999709</v>
      </c>
      <c r="BY276">
        <v>3.6578475127881425E-14</v>
      </c>
    </row>
    <row r="277" spans="13:77" x14ac:dyDescent="0.35">
      <c r="M277">
        <v>22000.000027672901</v>
      </c>
      <c r="N277">
        <v>7636.3636231456831</v>
      </c>
      <c r="P277">
        <v>22000.000002485078</v>
      </c>
      <c r="Q277">
        <v>7636.3636304296961</v>
      </c>
      <c r="S277">
        <v>22000.000043510092</v>
      </c>
      <c r="T277">
        <v>7636.3636094071935</v>
      </c>
      <c r="V277">
        <v>21999.999998853367</v>
      </c>
      <c r="W277">
        <v>7636.3636315077974</v>
      </c>
      <c r="Y277">
        <v>21999.999995580889</v>
      </c>
      <c r="Z277">
        <v>7636.3636337966946</v>
      </c>
      <c r="AB277">
        <v>21999.999998236537</v>
      </c>
      <c r="AC277">
        <v>7636.3636319418047</v>
      </c>
      <c r="AE277">
        <v>21999.999997921019</v>
      </c>
      <c r="AF277">
        <v>7636.363632161655</v>
      </c>
      <c r="AH277">
        <v>21999.999999843294</v>
      </c>
      <c r="AI277">
        <v>7636.363630789825</v>
      </c>
      <c r="AK277">
        <v>21999.999531310568</v>
      </c>
      <c r="AL277">
        <v>7636.3637859887467</v>
      </c>
      <c r="AZ277">
        <v>49999.999999997657</v>
      </c>
      <c r="BA277">
        <v>1.3820942030706253E-10</v>
      </c>
      <c r="BC277">
        <v>49999.999999987565</v>
      </c>
      <c r="BD277">
        <v>8.1482718161003005E-10</v>
      </c>
      <c r="BF277">
        <v>49999.999999999018</v>
      </c>
      <c r="BG277">
        <v>4.7088139561240541E-11</v>
      </c>
      <c r="BI277">
        <v>49999.99999998515</v>
      </c>
      <c r="BJ277">
        <v>9.7940340294234244E-10</v>
      </c>
      <c r="BL277">
        <v>49999.99999998678</v>
      </c>
      <c r="BM277">
        <v>8.7680024162135439E-10</v>
      </c>
      <c r="BO277">
        <v>49999.999999985288</v>
      </c>
      <c r="BP277">
        <v>9.7137780674072307E-10</v>
      </c>
      <c r="BR277">
        <v>49999.99999998539</v>
      </c>
      <c r="BS277">
        <v>9.6534962306071255E-10</v>
      </c>
      <c r="BU277">
        <v>49999.999999985062</v>
      </c>
      <c r="BV277">
        <v>9.8272781692627003E-10</v>
      </c>
      <c r="BX277">
        <v>49999.999999999745</v>
      </c>
      <c r="BY277">
        <v>3.2751111273553859E-14</v>
      </c>
    </row>
    <row r="278" spans="13:77" x14ac:dyDescent="0.35">
      <c r="M278">
        <v>22000.000026443198</v>
      </c>
      <c r="N278">
        <v>7636.3636255399915</v>
      </c>
      <c r="P278">
        <v>22000.000003484842</v>
      </c>
      <c r="Q278">
        <v>7636.363630697796</v>
      </c>
      <c r="S278">
        <v>22000.000043020547</v>
      </c>
      <c r="T278">
        <v>7636.3636132408083</v>
      </c>
      <c r="V278">
        <v>22000.000000168075</v>
      </c>
      <c r="W278">
        <v>7636.3636314690184</v>
      </c>
      <c r="Y278">
        <v>21999.999996871269</v>
      </c>
      <c r="Z278">
        <v>7636.363633466658</v>
      </c>
      <c r="AB278">
        <v>21999.999999546057</v>
      </c>
      <c r="AC278">
        <v>7636.3636318480985</v>
      </c>
      <c r="AE278">
        <v>21999.999999228388</v>
      </c>
      <c r="AF278">
        <v>7636.3636320398755</v>
      </c>
      <c r="AH278">
        <v>22000.000001171342</v>
      </c>
      <c r="AI278">
        <v>7636.363630839438</v>
      </c>
      <c r="AK278">
        <v>21999.999569501677</v>
      </c>
      <c r="AL278">
        <v>7636.3637462672114</v>
      </c>
      <c r="AZ278">
        <v>49999.999999997905</v>
      </c>
      <c r="BA278">
        <v>1.2374797166106244E-10</v>
      </c>
      <c r="BC278">
        <v>49999.999999988861</v>
      </c>
      <c r="BD278">
        <v>7.2956829393043443E-10</v>
      </c>
      <c r="BF278">
        <v>49999.99999999912</v>
      </c>
      <c r="BG278">
        <v>4.2161104120475144E-11</v>
      </c>
      <c r="BI278">
        <v>49999.9999999867</v>
      </c>
      <c r="BJ278">
        <v>8.7692419433336344E-10</v>
      </c>
      <c r="BL278">
        <v>49999.999999988162</v>
      </c>
      <c r="BM278">
        <v>7.8505684497848667E-10</v>
      </c>
      <c r="BO278">
        <v>49999.999999986823</v>
      </c>
      <c r="BP278">
        <v>8.6973835092909674E-10</v>
      </c>
      <c r="BR278">
        <v>49999.999999986911</v>
      </c>
      <c r="BS278">
        <v>8.6434092214642626E-10</v>
      </c>
      <c r="BU278">
        <v>49999.99999998662</v>
      </c>
      <c r="BV278">
        <v>8.7990076052225755E-10</v>
      </c>
      <c r="BX278">
        <v>49999.999999999774</v>
      </c>
      <c r="BY278">
        <v>2.9324221031704678E-14</v>
      </c>
    </row>
    <row r="279" spans="13:77" x14ac:dyDescent="0.35">
      <c r="M279">
        <v>22000.00002484554</v>
      </c>
      <c r="N279">
        <v>7636.3636278076965</v>
      </c>
      <c r="P279">
        <v>22000.000004265796</v>
      </c>
      <c r="Q279">
        <v>7636.3636310440588</v>
      </c>
      <c r="S279">
        <v>22000.000041710857</v>
      </c>
      <c r="T279">
        <v>7636.3636169918091</v>
      </c>
      <c r="V279">
        <v>22000.000001286564</v>
      </c>
      <c r="W279">
        <v>7636.3636315374015</v>
      </c>
      <c r="Y279">
        <v>21999.999998037347</v>
      </c>
      <c r="Z279">
        <v>7636.363633245066</v>
      </c>
      <c r="AB279">
        <v>22000.000000673015</v>
      </c>
      <c r="AC279">
        <v>7636.3636318617464</v>
      </c>
      <c r="AE279">
        <v>22000.000000360098</v>
      </c>
      <c r="AF279">
        <v>7636.3636320255901</v>
      </c>
      <c r="AH279">
        <v>22000.000002280416</v>
      </c>
      <c r="AI279">
        <v>7636.3636309963067</v>
      </c>
      <c r="AK279">
        <v>21999.999611019233</v>
      </c>
      <c r="AL279">
        <v>7636.3637100902542</v>
      </c>
      <c r="AZ279">
        <v>49999.999999998123</v>
      </c>
      <c r="BA279">
        <v>1.1079968685350603E-10</v>
      </c>
      <c r="BC279">
        <v>49999.999999990025</v>
      </c>
      <c r="BD279">
        <v>6.5323041194679655E-10</v>
      </c>
      <c r="BF279">
        <v>49999.999999999214</v>
      </c>
      <c r="BG279">
        <v>3.7749605680337834E-11</v>
      </c>
      <c r="BI279">
        <v>49999.999999988089</v>
      </c>
      <c r="BJ279">
        <v>7.8516782798282096E-10</v>
      </c>
      <c r="BL279">
        <v>49999.999999989399</v>
      </c>
      <c r="BM279">
        <v>7.0291295621441378E-10</v>
      </c>
      <c r="BO279">
        <v>49999.999999988198</v>
      </c>
      <c r="BP279">
        <v>7.787338704133852E-10</v>
      </c>
      <c r="BR279">
        <v>49999.999999988278</v>
      </c>
      <c r="BS279">
        <v>7.7390119791858337E-10</v>
      </c>
      <c r="BU279">
        <v>49999.999999988016</v>
      </c>
      <c r="BV279">
        <v>7.8783294319401382E-10</v>
      </c>
      <c r="BX279">
        <v>49999.999999999796</v>
      </c>
      <c r="BY279">
        <v>2.6255901118403828E-14</v>
      </c>
    </row>
    <row r="280" spans="13:77" x14ac:dyDescent="0.35">
      <c r="M280">
        <v>22000.000022966993</v>
      </c>
      <c r="N280">
        <v>7636.3636299203426</v>
      </c>
      <c r="P280">
        <v>22000.000004843823</v>
      </c>
      <c r="Q280">
        <v>7636.3636314498472</v>
      </c>
      <c r="S280">
        <v>22000.000039728402</v>
      </c>
      <c r="T280">
        <v>7636.3636205945404</v>
      </c>
      <c r="V280">
        <v>22000.000002214409</v>
      </c>
      <c r="W280">
        <v>7636.3636316958182</v>
      </c>
      <c r="Y280">
        <v>21999.999999073167</v>
      </c>
      <c r="Z280">
        <v>7636.3636331206144</v>
      </c>
      <c r="AB280">
        <v>22000.000001620807</v>
      </c>
      <c r="AC280">
        <v>7636.3636319667285</v>
      </c>
      <c r="AE280">
        <v>22000.000001318433</v>
      </c>
      <c r="AF280">
        <v>7636.3636321033364</v>
      </c>
      <c r="AH280">
        <v>22000.000003179623</v>
      </c>
      <c r="AI280">
        <v>7636.3636312414565</v>
      </c>
      <c r="AK280">
        <v>21999.999654514831</v>
      </c>
      <c r="AL280">
        <v>7636.3636776882749</v>
      </c>
      <c r="AZ280">
        <v>49999.999999998319</v>
      </c>
      <c r="BA280">
        <v>9.9206237015825417E-11</v>
      </c>
      <c r="BC280">
        <v>49999.999999991065</v>
      </c>
      <c r="BD280">
        <v>5.8488009229862546E-10</v>
      </c>
      <c r="BF280">
        <v>49999.999999999302</v>
      </c>
      <c r="BG280">
        <v>3.379970137757709E-11</v>
      </c>
      <c r="BI280">
        <v>49999.999999989333</v>
      </c>
      <c r="BJ280">
        <v>7.0301232658761039E-10</v>
      </c>
      <c r="BL280">
        <v>49999.999999990505</v>
      </c>
      <c r="BM280">
        <v>6.2936413735444616E-10</v>
      </c>
      <c r="BO280">
        <v>49999.999999989428</v>
      </c>
      <c r="BP280">
        <v>6.9725158179031617E-10</v>
      </c>
      <c r="BR280">
        <v>49999.999999989501</v>
      </c>
      <c r="BS280">
        <v>6.9292457269350337E-10</v>
      </c>
      <c r="BU280">
        <v>49999.999999989268</v>
      </c>
      <c r="BV280">
        <v>7.0539857928221976E-10</v>
      </c>
      <c r="BX280">
        <v>49999.999999999818</v>
      </c>
      <c r="BY280">
        <v>2.3508632771321216E-14</v>
      </c>
    </row>
    <row r="281" spans="13:77" x14ac:dyDescent="0.35">
      <c r="M281">
        <v>22000.000020887681</v>
      </c>
      <c r="N281">
        <v>7636.3636318568615</v>
      </c>
      <c r="P281">
        <v>22000.000005236689</v>
      </c>
      <c r="Q281">
        <v>7636.3636318980216</v>
      </c>
      <c r="S281">
        <v>22000.000037212911</v>
      </c>
      <c r="T281">
        <v>7636.3636239960451</v>
      </c>
      <c r="V281">
        <v>22000.000002960322</v>
      </c>
      <c r="W281">
        <v>7636.3636319277857</v>
      </c>
      <c r="Y281">
        <v>21999.999999976353</v>
      </c>
      <c r="Z281">
        <v>7636.3636330816425</v>
      </c>
      <c r="AB281">
        <v>22000.000002396053</v>
      </c>
      <c r="AC281">
        <v>7636.3636321474778</v>
      </c>
      <c r="AE281">
        <v>22000.000002108944</v>
      </c>
      <c r="AF281">
        <v>7636.3636322580114</v>
      </c>
      <c r="AH281">
        <v>22000.000003881087</v>
      </c>
      <c r="AI281">
        <v>7636.3636315568619</v>
      </c>
      <c r="AK281">
        <v>21999.999698796728</v>
      </c>
      <c r="AL281">
        <v>7636.3636491796342</v>
      </c>
      <c r="AZ281">
        <v>49999.999999998494</v>
      </c>
      <c r="BA281">
        <v>8.882585991287673E-11</v>
      </c>
      <c r="BC281">
        <v>49999.999999991996</v>
      </c>
      <c r="BD281">
        <v>5.2368156183627211E-10</v>
      </c>
      <c r="BF281">
        <v>49999.999999999374</v>
      </c>
      <c r="BG281">
        <v>3.0263092623731032E-11</v>
      </c>
      <c r="BI281">
        <v>49999.999999990447</v>
      </c>
      <c r="BJ281">
        <v>6.2945311017626209E-10</v>
      </c>
      <c r="BL281">
        <v>49999.999999991494</v>
      </c>
      <c r="BM281">
        <v>5.6351104910788289E-10</v>
      </c>
      <c r="BO281">
        <v>49999.999999990534</v>
      </c>
      <c r="BP281">
        <v>6.2429513699079972E-10</v>
      </c>
      <c r="BR281">
        <v>49999.999999990599</v>
      </c>
      <c r="BS281">
        <v>6.2042088154641778E-10</v>
      </c>
      <c r="BU281">
        <v>49999.999999990388</v>
      </c>
      <c r="BV281">
        <v>6.3158967894395227E-10</v>
      </c>
      <c r="BX281">
        <v>49999.99999999984</v>
      </c>
      <c r="BY281">
        <v>2.104882297829264E-14</v>
      </c>
    </row>
    <row r="282" spans="13:77" x14ac:dyDescent="0.35">
      <c r="M282">
        <v>22000.000018680141</v>
      </c>
      <c r="N282">
        <v>7636.3636336029249</v>
      </c>
      <c r="P282">
        <v>22000.000005463389</v>
      </c>
      <c r="Q282">
        <v>7636.3636323730771</v>
      </c>
      <c r="S282">
        <v>22000.000034294677</v>
      </c>
      <c r="T282">
        <v>7636.3636271553014</v>
      </c>
      <c r="V282">
        <v>22000.000003535511</v>
      </c>
      <c r="W282">
        <v>7636.3636322177126</v>
      </c>
      <c r="Y282">
        <v>22000.000000747623</v>
      </c>
      <c r="Z282">
        <v>7636.3636331164271</v>
      </c>
      <c r="AB282">
        <v>22000.000003007972</v>
      </c>
      <c r="AC282">
        <v>7636.3636323891405</v>
      </c>
      <c r="AE282">
        <v>22000.000002739842</v>
      </c>
      <c r="AF282">
        <v>7636.3636324751305</v>
      </c>
      <c r="AH282">
        <v>22000.000004399251</v>
      </c>
      <c r="AI282">
        <v>7636.3636319256848</v>
      </c>
      <c r="AK282">
        <v>21999.999742831584</v>
      </c>
      <c r="AL282">
        <v>7636.3636245846228</v>
      </c>
      <c r="AZ282">
        <v>49999.999999998654</v>
      </c>
      <c r="BA282">
        <v>7.953162650452495E-11</v>
      </c>
      <c r="BC282">
        <v>49999.999999992833</v>
      </c>
      <c r="BD282">
        <v>4.6888649796487983E-10</v>
      </c>
      <c r="BF282">
        <v>49999.99999999944</v>
      </c>
      <c r="BG282">
        <v>2.7096534520275588E-11</v>
      </c>
      <c r="BI282">
        <v>49999.999999991443</v>
      </c>
      <c r="BJ282">
        <v>5.6359071231903163E-10</v>
      </c>
      <c r="BL282">
        <v>49999.999999992382</v>
      </c>
      <c r="BM282">
        <v>5.0454845393872926E-10</v>
      </c>
      <c r="BO282">
        <v>49999.999999991524</v>
      </c>
      <c r="BP282">
        <v>5.5897244014796699E-10</v>
      </c>
      <c r="BR282">
        <v>49999.999999991582</v>
      </c>
      <c r="BS282">
        <v>5.5550356478568056E-10</v>
      </c>
      <c r="BU282">
        <v>49999.999999991393</v>
      </c>
      <c r="BV282">
        <v>5.6550372266759253E-10</v>
      </c>
      <c r="BX282">
        <v>49999.999999999862</v>
      </c>
      <c r="BY282">
        <v>1.8846393709122544E-14</v>
      </c>
    </row>
    <row r="283" spans="13:77" x14ac:dyDescent="0.35">
      <c r="M283">
        <v>22000.000016408943</v>
      </c>
      <c r="N283">
        <v>7636.3636351502528</v>
      </c>
      <c r="P283">
        <v>22000.000005543588</v>
      </c>
      <c r="Q283">
        <v>7636.3636328612229</v>
      </c>
      <c r="S283">
        <v>22000.000031093248</v>
      </c>
      <c r="T283">
        <v>7636.3636300423241</v>
      </c>
      <c r="V283">
        <v>22000.000003953082</v>
      </c>
      <c r="W283">
        <v>7636.3636325510906</v>
      </c>
      <c r="Y283">
        <v>22000.000001390326</v>
      </c>
      <c r="Z283">
        <v>7636.3636332134338</v>
      </c>
      <c r="AB283">
        <v>22000.000003467823</v>
      </c>
      <c r="AC283">
        <v>7636.363632677776</v>
      </c>
      <c r="AE283">
        <v>22000.000003221448</v>
      </c>
      <c r="AF283">
        <v>7636.3636327410377</v>
      </c>
      <c r="AH283">
        <v>22000.000004750247</v>
      </c>
      <c r="AI283">
        <v>7636.3636323324472</v>
      </c>
      <c r="AK283">
        <v>21999.999785742675</v>
      </c>
      <c r="AL283">
        <v>7636.3636038394179</v>
      </c>
      <c r="AZ283">
        <v>49999.999999998799</v>
      </c>
      <c r="BA283">
        <v>7.1209888884377792E-11</v>
      </c>
      <c r="BC283">
        <v>49999.999999993583</v>
      </c>
      <c r="BD283">
        <v>4.1982487831509123E-10</v>
      </c>
      <c r="BF283">
        <v>49999.999999999498</v>
      </c>
      <c r="BG283">
        <v>2.4261307069216742E-11</v>
      </c>
      <c r="BI283">
        <v>49999.999999992338</v>
      </c>
      <c r="BJ283">
        <v>5.0461978164398808E-10</v>
      </c>
      <c r="BL283">
        <v>49999.999999993175</v>
      </c>
      <c r="BM283">
        <v>4.5175536979262691E-10</v>
      </c>
      <c r="BO283">
        <v>49999.999999992411</v>
      </c>
      <c r="BP283">
        <v>5.0048473923893183E-10</v>
      </c>
      <c r="BR283">
        <v>49999.999999992462</v>
      </c>
      <c r="BS283">
        <v>4.9737882728970111E-10</v>
      </c>
      <c r="BU283">
        <v>49999.999999992287</v>
      </c>
      <c r="BV283">
        <v>5.0633262545647978E-10</v>
      </c>
      <c r="BX283">
        <v>49999.999999999876</v>
      </c>
      <c r="BY283">
        <v>1.6874414127837591E-14</v>
      </c>
    </row>
    <row r="284" spans="13:77" x14ac:dyDescent="0.35">
      <c r="M284">
        <v>22000.000014130506</v>
      </c>
      <c r="N284">
        <v>7636.3636364959011</v>
      </c>
      <c r="P284">
        <v>22000.000005497099</v>
      </c>
      <c r="Q284">
        <v>7636.3636333504201</v>
      </c>
      <c r="S284">
        <v>22000.000027716509</v>
      </c>
      <c r="T284">
        <v>7636.3636326371679</v>
      </c>
      <c r="V284">
        <v>22000.000004227481</v>
      </c>
      <c r="W284">
        <v>7636.3636329146393</v>
      </c>
      <c r="Y284">
        <v>22000.000001909986</v>
      </c>
      <c r="Z284">
        <v>7636.3636333615304</v>
      </c>
      <c r="AB284">
        <v>22000.000003788366</v>
      </c>
      <c r="AC284">
        <v>7636.3636330005147</v>
      </c>
      <c r="AE284">
        <v>22000.000003565663</v>
      </c>
      <c r="AF284">
        <v>7636.3636330430681</v>
      </c>
      <c r="AH284">
        <v>22000.000004951304</v>
      </c>
      <c r="AI284">
        <v>7636.3636327631548</v>
      </c>
      <c r="AK284">
        <v>21999.999826805095</v>
      </c>
      <c r="AL284">
        <v>7636.363586809739</v>
      </c>
      <c r="AZ284">
        <v>49999.999999998923</v>
      </c>
      <c r="BA284">
        <v>6.3758890617393922E-11</v>
      </c>
      <c r="BC284">
        <v>49999.999999994252</v>
      </c>
      <c r="BD284">
        <v>3.7589678785223447E-10</v>
      </c>
      <c r="BF284">
        <v>49999.999999999549</v>
      </c>
      <c r="BG284">
        <v>2.1722741713202662E-11</v>
      </c>
      <c r="BI284">
        <v>49999.999999993139</v>
      </c>
      <c r="BJ284">
        <v>4.5181923417198249E-10</v>
      </c>
      <c r="BL284">
        <v>49999.999999993888</v>
      </c>
      <c r="BM284">
        <v>4.0448625408186626E-10</v>
      </c>
      <c r="BO284">
        <v>49999.999999993204</v>
      </c>
      <c r="BP284">
        <v>4.4811685911519325E-10</v>
      </c>
      <c r="BR284">
        <v>49999.999999993248</v>
      </c>
      <c r="BS284">
        <v>4.4533593214928003E-10</v>
      </c>
      <c r="BU284">
        <v>49999.999999993095</v>
      </c>
      <c r="BV284">
        <v>4.5335285573769863E-10</v>
      </c>
      <c r="BX284">
        <v>49999.999999999891</v>
      </c>
      <c r="BY284">
        <v>1.5108771288160793E-14</v>
      </c>
    </row>
    <row r="285" spans="13:77" x14ac:dyDescent="0.35">
      <c r="M285">
        <v>22000.000011893128</v>
      </c>
      <c r="N285">
        <v>7636.363637641537</v>
      </c>
      <c r="P285">
        <v>22000.000005343456</v>
      </c>
      <c r="Q285">
        <v>7636.3636338303722</v>
      </c>
      <c r="S285">
        <v>22000.000024260171</v>
      </c>
      <c r="T285">
        <v>7636.363634928869</v>
      </c>
      <c r="V285">
        <v>22000.000004374007</v>
      </c>
      <c r="W285">
        <v>7636.3636332963979</v>
      </c>
      <c r="Y285">
        <v>22000.000002313867</v>
      </c>
      <c r="Z285">
        <v>7636.3636335501569</v>
      </c>
      <c r="AB285">
        <v>22000.000003983372</v>
      </c>
      <c r="AC285">
        <v>7636.3636333456652</v>
      </c>
      <c r="AE285">
        <v>22000.000003785492</v>
      </c>
      <c r="AF285">
        <v>7636.3636333696641</v>
      </c>
      <c r="AH285">
        <v>22000.000005020236</v>
      </c>
      <c r="AI285">
        <v>7636.3636332053675</v>
      </c>
      <c r="AK285">
        <v>21999.999865438542</v>
      </c>
      <c r="AL285">
        <v>7636.3635733039582</v>
      </c>
      <c r="AZ285">
        <v>49999.99999999904</v>
      </c>
      <c r="BA285">
        <v>5.7087522483870044E-11</v>
      </c>
      <c r="BC285">
        <v>49999.999999994849</v>
      </c>
      <c r="BD285">
        <v>3.3656508324306443E-10</v>
      </c>
      <c r="BF285">
        <v>49999.9999999996</v>
      </c>
      <c r="BG285">
        <v>1.9449797415788992E-11</v>
      </c>
      <c r="BI285">
        <v>49999.999999993852</v>
      </c>
      <c r="BJ285">
        <v>4.045434360553459E-10</v>
      </c>
      <c r="BL285">
        <v>49999.999999994528</v>
      </c>
      <c r="BM285">
        <v>3.6216311012812828E-10</v>
      </c>
      <c r="BO285">
        <v>49999.99999999391</v>
      </c>
      <c r="BP285">
        <v>4.0122845649325634E-10</v>
      </c>
      <c r="BR285">
        <v>49999.999999993954</v>
      </c>
      <c r="BS285">
        <v>3.9873850992807483E-10</v>
      </c>
      <c r="BU285">
        <v>49999.999999993815</v>
      </c>
      <c r="BV285">
        <v>4.0591658817212191E-10</v>
      </c>
      <c r="BX285">
        <v>49999.999999999905</v>
      </c>
      <c r="BY285">
        <v>1.3527875285540641E-14</v>
      </c>
    </row>
    <row r="286" spans="13:77" x14ac:dyDescent="0.35">
      <c r="M286">
        <v>22000.000009737174</v>
      </c>
      <c r="N286">
        <v>7636.3636385927302</v>
      </c>
      <c r="P286">
        <v>22000.000005101556</v>
      </c>
      <c r="Q286">
        <v>7636.3636342924847</v>
      </c>
      <c r="S286">
        <v>22000.000020807558</v>
      </c>
      <c r="T286">
        <v>7636.3636369143551</v>
      </c>
      <c r="V286">
        <v>22000.000004408368</v>
      </c>
      <c r="W286">
        <v>7636.3636336857817</v>
      </c>
      <c r="Y286">
        <v>22000.000002610566</v>
      </c>
      <c r="Z286">
        <v>7636.3636337694606</v>
      </c>
      <c r="AB286">
        <v>22000.000004067209</v>
      </c>
      <c r="AC286">
        <v>7636.3636337027865</v>
      </c>
      <c r="AE286">
        <v>22000.000003894613</v>
      </c>
      <c r="AF286">
        <v>7636.3636337104535</v>
      </c>
      <c r="AH286">
        <v>22000.00000497498</v>
      </c>
      <c r="AI286">
        <v>7636.3636336482305</v>
      </c>
      <c r="AK286">
        <v>21999.999901198138</v>
      </c>
      <c r="AL286">
        <v>7636.3635630854815</v>
      </c>
      <c r="AZ286">
        <v>49999.999999999141</v>
      </c>
      <c r="BA286">
        <v>5.1114208415309101E-11</v>
      </c>
      <c r="BC286">
        <v>49999.999999995387</v>
      </c>
      <c r="BD286">
        <v>3.0134882478149852E-10</v>
      </c>
      <c r="BF286">
        <v>49999.999999999643</v>
      </c>
      <c r="BG286">
        <v>1.7414681098257136E-11</v>
      </c>
      <c r="BI286">
        <v>49999.999999994492</v>
      </c>
      <c r="BJ286">
        <v>3.6221430890472364E-10</v>
      </c>
      <c r="BL286">
        <v>49999.999999995096</v>
      </c>
      <c r="BM286">
        <v>3.2426841954221866E-10</v>
      </c>
      <c r="BO286">
        <v>49999.999999994543</v>
      </c>
      <c r="BP286">
        <v>3.5924618997335813E-10</v>
      </c>
      <c r="BR286">
        <v>49999.999999994587</v>
      </c>
      <c r="BS286">
        <v>3.5701677727268212E-10</v>
      </c>
      <c r="BU286">
        <v>49999.999999994463</v>
      </c>
      <c r="BV286">
        <v>3.634437821841542E-10</v>
      </c>
      <c r="BX286">
        <v>49999.999999999913</v>
      </c>
      <c r="BY286">
        <v>1.2112395260397014E-14</v>
      </c>
    </row>
    <row r="287" spans="13:77" x14ac:dyDescent="0.35">
      <c r="M287">
        <v>22000.000007695406</v>
      </c>
      <c r="N287">
        <v>7636.3636393582656</v>
      </c>
      <c r="P287">
        <v>22000.000004789352</v>
      </c>
      <c r="Q287">
        <v>7636.3636347297916</v>
      </c>
      <c r="S287">
        <v>22000.000017429706</v>
      </c>
      <c r="T287">
        <v>7636.3636385973541</v>
      </c>
      <c r="V287">
        <v>22000.000004346297</v>
      </c>
      <c r="W287">
        <v>7636.3636340736002</v>
      </c>
      <c r="Y287">
        <v>22000.000002809647</v>
      </c>
      <c r="Z287">
        <v>7636.3636340103976</v>
      </c>
      <c r="AB287">
        <v>22000.000004054433</v>
      </c>
      <c r="AC287">
        <v>7636.3636340627199</v>
      </c>
      <c r="AE287">
        <v>22000.000003906993</v>
      </c>
      <c r="AF287">
        <v>7636.3636340562898</v>
      </c>
      <c r="AH287">
        <v>22000.000004833215</v>
      </c>
      <c r="AI287">
        <v>7636.3636340824669</v>
      </c>
      <c r="AK287">
        <v>21999.999933763807</v>
      </c>
      <c r="AL287">
        <v>7636.363555884247</v>
      </c>
      <c r="AZ287">
        <v>49999.999999999229</v>
      </c>
      <c r="BA287">
        <v>4.57659079996309E-11</v>
      </c>
      <c r="BC287">
        <v>49999.999999995867</v>
      </c>
      <c r="BD287">
        <v>2.6981739556033342E-10</v>
      </c>
      <c r="BF287">
        <v>49999.99999999968</v>
      </c>
      <c r="BG287">
        <v>1.5592507791767764E-11</v>
      </c>
      <c r="BI287">
        <v>49999.999999995067</v>
      </c>
      <c r="BJ287">
        <v>3.243142611696643E-10</v>
      </c>
      <c r="BL287">
        <v>49999.999999995605</v>
      </c>
      <c r="BM287">
        <v>2.9033881411943894E-10</v>
      </c>
      <c r="BO287">
        <v>49999.999999995111</v>
      </c>
      <c r="BP287">
        <v>3.2165670934295641E-10</v>
      </c>
      <c r="BR287">
        <v>49999.999999995154</v>
      </c>
      <c r="BS287">
        <v>3.1966056972315978E-10</v>
      </c>
      <c r="BU287">
        <v>49999.999999995038</v>
      </c>
      <c r="BV287">
        <v>3.2541508934912543E-10</v>
      </c>
      <c r="BX287">
        <v>49999.99999999992</v>
      </c>
      <c r="BY287">
        <v>1.0845023024487824E-14</v>
      </c>
    </row>
    <row r="288" spans="13:77" x14ac:dyDescent="0.35">
      <c r="M288">
        <v>22000.000005793416</v>
      </c>
      <c r="N288">
        <v>7636.3636399494881</v>
      </c>
      <c r="P288">
        <v>22000.000004423622</v>
      </c>
      <c r="Q288">
        <v>7636.3636351368632</v>
      </c>
      <c r="S288">
        <v>22000.000014185684</v>
      </c>
      <c r="T288">
        <v>7636.3636399873167</v>
      </c>
      <c r="V288">
        <v>22000.000004203215</v>
      </c>
      <c r="W288">
        <v>7636.3636344520428</v>
      </c>
      <c r="Y288">
        <v>22000.000002921293</v>
      </c>
      <c r="Z288">
        <v>7636.3636342648024</v>
      </c>
      <c r="AB288">
        <v>22000.000003959471</v>
      </c>
      <c r="AC288">
        <v>7636.3636344175911</v>
      </c>
      <c r="AE288">
        <v>22000.000003836558</v>
      </c>
      <c r="AF288">
        <v>7636.363634399263</v>
      </c>
      <c r="AH288">
        <v>22000.000004612029</v>
      </c>
      <c r="AI288">
        <v>7636.3636345003388</v>
      </c>
      <c r="AK288">
        <v>21999.999962928614</v>
      </c>
      <c r="AL288">
        <v>7636.3635514072275</v>
      </c>
      <c r="AZ288">
        <v>49999.999999999309</v>
      </c>
      <c r="BA288">
        <v>4.0977223358571192E-11</v>
      </c>
      <c r="BC288">
        <v>49999.999999996297</v>
      </c>
      <c r="BD288">
        <v>2.4158523597942777E-10</v>
      </c>
      <c r="BF288">
        <v>49999.999999999716</v>
      </c>
      <c r="BG288">
        <v>1.3960996349262497E-11</v>
      </c>
      <c r="BI288">
        <v>49999.999999995583</v>
      </c>
      <c r="BJ288">
        <v>2.9037985913939078E-10</v>
      </c>
      <c r="BL288">
        <v>49999.999999996064</v>
      </c>
      <c r="BM288">
        <v>2.5995940987187971E-10</v>
      </c>
      <c r="BO288">
        <v>49999.99999999562</v>
      </c>
      <c r="BP288">
        <v>2.8800037843967729E-10</v>
      </c>
      <c r="BR288">
        <v>49999.999999995656</v>
      </c>
      <c r="BS288">
        <v>2.8621310353067832E-10</v>
      </c>
      <c r="BU288">
        <v>49999.999999995554</v>
      </c>
      <c r="BV288">
        <v>2.9136550291137824E-10</v>
      </c>
      <c r="BX288">
        <v>49999.999999999927</v>
      </c>
      <c r="BY288">
        <v>9.7102614200699332E-15</v>
      </c>
    </row>
    <row r="289" spans="13:77" x14ac:dyDescent="0.35">
      <c r="M289">
        <v>22000.000004050144</v>
      </c>
      <c r="N289">
        <v>7636.3636403796954</v>
      </c>
      <c r="P289">
        <v>22000.000004019796</v>
      </c>
      <c r="Q289">
        <v>7636.3636355096924</v>
      </c>
      <c r="S289">
        <v>22000.000011123131</v>
      </c>
      <c r="T289">
        <v>7636.3636410983854</v>
      </c>
      <c r="V289">
        <v>22000.00000399397</v>
      </c>
      <c r="W289">
        <v>7636.3636348146383</v>
      </c>
      <c r="Y289">
        <v>22000.000002956007</v>
      </c>
      <c r="Z289">
        <v>7636.3636345254254</v>
      </c>
      <c r="AB289">
        <v>22000.00000379634</v>
      </c>
      <c r="AC289">
        <v>7636.3636347607844</v>
      </c>
      <c r="AE289">
        <v>22000.000003696907</v>
      </c>
      <c r="AF289">
        <v>7636.3636347326828</v>
      </c>
      <c r="AH289">
        <v>22000.000004327652</v>
      </c>
      <c r="AI289">
        <v>7636.3636348955806</v>
      </c>
      <c r="AK289">
        <v>21999.999988586471</v>
      </c>
      <c r="AL289">
        <v>7636.363549347876</v>
      </c>
      <c r="AZ289">
        <v>49999.999999999382</v>
      </c>
      <c r="BA289">
        <v>3.6689599476356396E-11</v>
      </c>
      <c r="BC289">
        <v>49999.999999996682</v>
      </c>
      <c r="BD289">
        <v>2.1630712920503798E-10</v>
      </c>
      <c r="BF289">
        <v>49999.999999999745</v>
      </c>
      <c r="BG289">
        <v>1.2500196996343677E-11</v>
      </c>
      <c r="BI289">
        <v>49999.999999996042</v>
      </c>
      <c r="BJ289">
        <v>2.5999616017409886E-10</v>
      </c>
      <c r="BL289">
        <v>49999.999999996471</v>
      </c>
      <c r="BM289">
        <v>2.327587339153889E-10</v>
      </c>
      <c r="BO289">
        <v>49999.999999996078</v>
      </c>
      <c r="BP289">
        <v>2.5786565481822674E-10</v>
      </c>
      <c r="BR289">
        <v>49999.999999996107</v>
      </c>
      <c r="BS289">
        <v>2.5626539020313795E-10</v>
      </c>
      <c r="BU289">
        <v>49999.99999999602</v>
      </c>
      <c r="BV289">
        <v>2.6087867178070872E-10</v>
      </c>
      <c r="BX289">
        <v>49999.999999999935</v>
      </c>
      <c r="BY289">
        <v>8.6942348239552523E-15</v>
      </c>
    </row>
    <row r="290" spans="13:77" x14ac:dyDescent="0.35">
      <c r="M290">
        <v>22000.000002478464</v>
      </c>
      <c r="N290">
        <v>7636.3636406635724</v>
      </c>
      <c r="P290">
        <v>22000.000003591831</v>
      </c>
      <c r="Q290">
        <v>7636.3636358455688</v>
      </c>
      <c r="S290">
        <v>22000.000008278937</v>
      </c>
      <c r="T290">
        <v>7636.363641948411</v>
      </c>
      <c r="V290">
        <v>22000.000003732592</v>
      </c>
      <c r="W290">
        <v>7636.3636351561918</v>
      </c>
      <c r="Y290">
        <v>22000.000002924346</v>
      </c>
      <c r="Z290">
        <v>7636.3636347859519</v>
      </c>
      <c r="AB290">
        <v>22000.000003578418</v>
      </c>
      <c r="AC290">
        <v>7636.3636350868965</v>
      </c>
      <c r="AE290">
        <v>22000.000003501085</v>
      </c>
      <c r="AF290">
        <v>7636.3636350510378</v>
      </c>
      <c r="AH290">
        <v>22000.000003995243</v>
      </c>
      <c r="AI290">
        <v>7636.3636352633175</v>
      </c>
      <c r="AK290">
        <v>22000.000010719541</v>
      </c>
      <c r="AL290">
        <v>7636.3635493944603</v>
      </c>
      <c r="AZ290">
        <v>49999.999999999447</v>
      </c>
      <c r="BA290">
        <v>3.2850608201443279E-11</v>
      </c>
      <c r="BC290">
        <v>49999.999999997031</v>
      </c>
      <c r="BD290">
        <v>1.9367397993190844E-10</v>
      </c>
      <c r="BF290">
        <v>49999.999999999774</v>
      </c>
      <c r="BG290">
        <v>1.1192247389682457E-11</v>
      </c>
      <c r="BI290">
        <v>49999.999999996457</v>
      </c>
      <c r="BJ290">
        <v>2.3279163887474294E-10</v>
      </c>
      <c r="BL290">
        <v>49999.999999996842</v>
      </c>
      <c r="BM290">
        <v>2.0840418217827042E-10</v>
      </c>
      <c r="BO290">
        <v>49999.999999996486</v>
      </c>
      <c r="BP290">
        <v>2.3088405749703038E-10</v>
      </c>
      <c r="BR290">
        <v>49999.999999996515</v>
      </c>
      <c r="BS290">
        <v>2.2945123548100399E-10</v>
      </c>
      <c r="BU290">
        <v>49999.999999996435</v>
      </c>
      <c r="BV290">
        <v>2.3358180947992082E-10</v>
      </c>
      <c r="BX290">
        <v>49999.999999999942</v>
      </c>
      <c r="BY290">
        <v>7.7845194793459868E-15</v>
      </c>
    </row>
    <row r="291" spans="13:77" x14ac:dyDescent="0.35">
      <c r="M291">
        <v>22000.000001085806</v>
      </c>
      <c r="N291">
        <v>7636.3636408166858</v>
      </c>
      <c r="P291">
        <v>22000.000003152138</v>
      </c>
      <c r="Q291">
        <v>7636.3636361429471</v>
      </c>
      <c r="S291">
        <v>22000.000005680056</v>
      </c>
      <c r="T291">
        <v>7636.363642558038</v>
      </c>
      <c r="V291">
        <v>22000.000003432149</v>
      </c>
      <c r="W291">
        <v>7636.3636354727068</v>
      </c>
      <c r="Y291">
        <v>22000.000002836699</v>
      </c>
      <c r="Z291">
        <v>7636.3636350409943</v>
      </c>
      <c r="AB291">
        <v>22000.000003318255</v>
      </c>
      <c r="AC291">
        <v>7636.3636353916709</v>
      </c>
      <c r="AE291">
        <v>22000.000003261383</v>
      </c>
      <c r="AF291">
        <v>7636.3636353499351</v>
      </c>
      <c r="AH291">
        <v>22000.000003628731</v>
      </c>
      <c r="AI291">
        <v>7636.363635599957</v>
      </c>
      <c r="AK291">
        <v>22000.00002938569</v>
      </c>
      <c r="AL291">
        <v>7636.3635512372866</v>
      </c>
      <c r="AZ291">
        <v>49999.999999999505</v>
      </c>
      <c r="BA291">
        <v>2.9413307166249365E-11</v>
      </c>
      <c r="BC291">
        <v>49999.999999997344</v>
      </c>
      <c r="BD291">
        <v>1.734090348317178E-10</v>
      </c>
      <c r="BF291">
        <v>49999.999999999796</v>
      </c>
      <c r="BG291">
        <v>1.0021154200089357E-11</v>
      </c>
      <c r="BI291">
        <v>49999.999999996828</v>
      </c>
      <c r="BJ291">
        <v>2.0843364414959337E-10</v>
      </c>
      <c r="BL291">
        <v>49999.99999999717</v>
      </c>
      <c r="BM291">
        <v>1.8659795238954185E-10</v>
      </c>
      <c r="BO291">
        <v>49999.99999999685</v>
      </c>
      <c r="BP291">
        <v>2.0672566125127949E-10</v>
      </c>
      <c r="BR291">
        <v>49999.999999996879</v>
      </c>
      <c r="BS291">
        <v>2.0544276159190284E-10</v>
      </c>
      <c r="BU291">
        <v>49999.999999996806</v>
      </c>
      <c r="BV291">
        <v>2.0914113579118851E-10</v>
      </c>
      <c r="BX291">
        <v>49999.999999999949</v>
      </c>
      <c r="BY291">
        <v>6.9699915807828443E-15</v>
      </c>
    </row>
    <row r="292" spans="13:77" x14ac:dyDescent="0.35">
      <c r="M292">
        <v>21999.999999874799</v>
      </c>
      <c r="N292">
        <v>7636.363640855031</v>
      </c>
      <c r="P292">
        <v>22000.000002711553</v>
      </c>
      <c r="Q292">
        <v>7636.3636364013055</v>
      </c>
      <c r="S292">
        <v>22000.000003344408</v>
      </c>
      <c r="T292">
        <v>7636.3636429498702</v>
      </c>
      <c r="V292">
        <v>22000.000003104593</v>
      </c>
      <c r="W292">
        <v>7636.3636357612922</v>
      </c>
      <c r="Y292">
        <v>22000.000002703087</v>
      </c>
      <c r="Z292">
        <v>7636.3636352860694</v>
      </c>
      <c r="AB292">
        <v>22000.000003027435</v>
      </c>
      <c r="AC292">
        <v>7636.3636356719162</v>
      </c>
      <c r="AE292">
        <v>22000.000002989207</v>
      </c>
      <c r="AF292">
        <v>7636.3636356260304</v>
      </c>
      <c r="AH292">
        <v>22000.000003240719</v>
      </c>
      <c r="AI292">
        <v>7636.3636359030779</v>
      </c>
      <c r="AK292">
        <v>22000.000044706168</v>
      </c>
      <c r="AL292">
        <v>7636.363554574822</v>
      </c>
      <c r="AZ292">
        <v>49999.999999999556</v>
      </c>
      <c r="BA292">
        <v>2.6335665785881153E-11</v>
      </c>
      <c r="BC292">
        <v>49999.999999997621</v>
      </c>
      <c r="BD292">
        <v>1.5526449847233041E-10</v>
      </c>
      <c r="BF292">
        <v>49999.999999999818</v>
      </c>
      <c r="BG292">
        <v>8.9725975494915983E-12</v>
      </c>
      <c r="BI292">
        <v>49999.999999997162</v>
      </c>
      <c r="BJ292">
        <v>1.8662433162754352E-10</v>
      </c>
      <c r="BL292">
        <v>49999.999999997468</v>
      </c>
      <c r="BM292">
        <v>1.6707340261619857E-10</v>
      </c>
      <c r="BO292">
        <v>49999.999999997177</v>
      </c>
      <c r="BP292">
        <v>1.8509506235755786E-10</v>
      </c>
      <c r="BR292">
        <v>49999.999999997206</v>
      </c>
      <c r="BS292">
        <v>1.8394639803106104E-10</v>
      </c>
      <c r="BU292">
        <v>49999.999999997141</v>
      </c>
      <c r="BV292">
        <v>1.8725779536264953E-10</v>
      </c>
      <c r="BX292">
        <v>49999.999999999956</v>
      </c>
      <c r="BY292">
        <v>6.2406912546213095E-15</v>
      </c>
    </row>
    <row r="293" spans="13:77" x14ac:dyDescent="0.35">
      <c r="M293">
        <v>21999.999998843919</v>
      </c>
      <c r="N293">
        <v>7636.3636407946378</v>
      </c>
      <c r="P293">
        <v>22000.000002279339</v>
      </c>
      <c r="Q293">
        <v>7636.3636366210085</v>
      </c>
      <c r="S293">
        <v>22000.000001281827</v>
      </c>
      <c r="T293">
        <v>7636.3636431477125</v>
      </c>
      <c r="V293">
        <v>22000.000002760691</v>
      </c>
      <c r="W293">
        <v>7636.3636360200589</v>
      </c>
      <c r="Y293">
        <v>22000.000002533023</v>
      </c>
      <c r="Z293">
        <v>7636.3636355175568</v>
      </c>
      <c r="AB293">
        <v>22000.000002716486</v>
      </c>
      <c r="AC293">
        <v>7636.3636359254187</v>
      </c>
      <c r="AE293">
        <v>22000.000002694956</v>
      </c>
      <c r="AF293">
        <v>7636.3636358769436</v>
      </c>
      <c r="AH293">
        <v>22000.0000028424</v>
      </c>
      <c r="AI293">
        <v>7636.3636361713097</v>
      </c>
      <c r="AK293">
        <v>22000.00005685382</v>
      </c>
      <c r="AL293">
        <v>7636.3635591187485</v>
      </c>
      <c r="AZ293">
        <v>49999.9999999996</v>
      </c>
      <c r="BA293">
        <v>2.3580051317094765E-11</v>
      </c>
      <c r="BC293">
        <v>49999.999999997868</v>
      </c>
      <c r="BD293">
        <v>1.3901850332803395E-10</v>
      </c>
      <c r="BF293">
        <v>49999.99999999984</v>
      </c>
      <c r="BG293">
        <v>8.0337559105142576E-12</v>
      </c>
      <c r="BI293">
        <v>49999.999999997461</v>
      </c>
      <c r="BJ293">
        <v>1.6709702168058229E-10</v>
      </c>
      <c r="BL293">
        <v>49999.99999999773</v>
      </c>
      <c r="BM293">
        <v>1.4959179082245313E-10</v>
      </c>
      <c r="BO293">
        <v>49999.999999997475</v>
      </c>
      <c r="BP293">
        <v>1.6572776646003458E-10</v>
      </c>
      <c r="BR293">
        <v>49999.999999997497</v>
      </c>
      <c r="BS293">
        <v>1.646992918437053E-10</v>
      </c>
      <c r="BU293">
        <v>49999.999999997439</v>
      </c>
      <c r="BV293">
        <v>1.6766420336882068E-10</v>
      </c>
      <c r="BX293">
        <v>49999.999999999964</v>
      </c>
      <c r="BY293">
        <v>5.5877007718182348E-15</v>
      </c>
    </row>
    <row r="294" spans="13:77" x14ac:dyDescent="0.35">
      <c r="M294">
        <v>21999.999997988136</v>
      </c>
      <c r="N294">
        <v>7636.3636406512333</v>
      </c>
      <c r="P294">
        <v>22000.000001863231</v>
      </c>
      <c r="Q294">
        <v>7636.3636368031666</v>
      </c>
      <c r="S294">
        <v>21999.999999495041</v>
      </c>
      <c r="T294">
        <v>7636.3636431759023</v>
      </c>
      <c r="V294">
        <v>22000.000002409972</v>
      </c>
      <c r="W294">
        <v>7636.3636362480138</v>
      </c>
      <c r="Y294">
        <v>22000.000002335375</v>
      </c>
      <c r="Z294">
        <v>7636.3636357326495</v>
      </c>
      <c r="AB294">
        <v>22000.000002394801</v>
      </c>
      <c r="AC294">
        <v>7636.3636361508443</v>
      </c>
      <c r="AE294">
        <v>22000.000002387969</v>
      </c>
      <c r="AF294">
        <v>7636.3636361011631</v>
      </c>
      <c r="AH294">
        <v>22000.000002443547</v>
      </c>
      <c r="AI294">
        <v>7636.3636364042068</v>
      </c>
      <c r="AK294">
        <v>22000.000066041932</v>
      </c>
      <c r="AL294">
        <v>7636.3635645980048</v>
      </c>
      <c r="AZ294">
        <v>49999.999999999643</v>
      </c>
      <c r="BA294">
        <v>2.1112768693127574E-11</v>
      </c>
      <c r="BC294">
        <v>49999.999999998094</v>
      </c>
      <c r="BD294">
        <v>1.2447239683069406E-10</v>
      </c>
      <c r="BF294">
        <v>49999.999999999854</v>
      </c>
      <c r="BG294">
        <v>7.1931493275745749E-12</v>
      </c>
      <c r="BI294">
        <v>49999.999999997723</v>
      </c>
      <c r="BJ294">
        <v>1.4961293852210722E-10</v>
      </c>
      <c r="BL294">
        <v>49999.99999999797</v>
      </c>
      <c r="BM294">
        <v>1.3393935558297516E-10</v>
      </c>
      <c r="BO294">
        <v>49999.999999997737</v>
      </c>
      <c r="BP294">
        <v>1.483869543898198E-10</v>
      </c>
      <c r="BR294">
        <v>49999.999999997759</v>
      </c>
      <c r="BS294">
        <v>1.4746609351512057E-10</v>
      </c>
      <c r="BU294">
        <v>49999.999999997708</v>
      </c>
      <c r="BV294">
        <v>1.5012077354034878E-10</v>
      </c>
      <c r="BX294">
        <v>49999.999999999971</v>
      </c>
      <c r="BY294">
        <v>5.0030355038406231E-15</v>
      </c>
    </row>
    <row r="295" spans="13:77" x14ac:dyDescent="0.35">
      <c r="M295">
        <v>21999.999997299517</v>
      </c>
      <c r="N295">
        <v>7636.3636404399604</v>
      </c>
      <c r="P295">
        <v>22000.000001469496</v>
      </c>
      <c r="Q295">
        <v>7636.363636949508</v>
      </c>
      <c r="S295">
        <v>21999.999997980663</v>
      </c>
      <c r="T295">
        <v>7636.3636430587258</v>
      </c>
      <c r="V295">
        <v>22000.0000020607</v>
      </c>
      <c r="W295">
        <v>7636.3636364449485</v>
      </c>
      <c r="Y295">
        <v>22000.000002118286</v>
      </c>
      <c r="Z295">
        <v>7636.3636359292914</v>
      </c>
      <c r="AB295">
        <v>22000.000002070625</v>
      </c>
      <c r="AC295">
        <v>7636.3636363476344</v>
      </c>
      <c r="AE295">
        <v>22000.000002076478</v>
      </c>
      <c r="AF295">
        <v>7636.3636362979541</v>
      </c>
      <c r="AH295">
        <v>22000.000002052504</v>
      </c>
      <c r="AI295">
        <v>7636.3636366021201</v>
      </c>
      <c r="AK295">
        <v>22000.000072513874</v>
      </c>
      <c r="AL295">
        <v>7636.3635707618751</v>
      </c>
      <c r="AZ295">
        <v>49999.99999999968</v>
      </c>
      <c r="BA295">
        <v>1.8903648507599069E-11</v>
      </c>
      <c r="BC295">
        <v>49999.99999999829</v>
      </c>
      <c r="BD295">
        <v>1.1144831228846535E-10</v>
      </c>
      <c r="BF295">
        <v>49999.999999999869</v>
      </c>
      <c r="BG295">
        <v>6.44049904243039E-12</v>
      </c>
      <c r="BI295">
        <v>49999.999999997963</v>
      </c>
      <c r="BJ295">
        <v>1.3395829050746639E-10</v>
      </c>
      <c r="BL295">
        <v>49999.999999998181</v>
      </c>
      <c r="BM295">
        <v>1.1992470225371477E-10</v>
      </c>
      <c r="BO295">
        <v>49999.99999999797</v>
      </c>
      <c r="BP295">
        <v>1.3286058639061132E-10</v>
      </c>
      <c r="BR295">
        <v>49999.999999997992</v>
      </c>
      <c r="BS295">
        <v>1.3203607916691495E-10</v>
      </c>
      <c r="BU295">
        <v>49999.999999997948</v>
      </c>
      <c r="BV295">
        <v>1.3441298855414243E-10</v>
      </c>
      <c r="BX295">
        <v>49999.999999999971</v>
      </c>
      <c r="BY295">
        <v>4.4795462883287026E-15</v>
      </c>
    </row>
    <row r="296" spans="13:77" x14ac:dyDescent="0.35">
      <c r="M296">
        <v>21999.999996767838</v>
      </c>
      <c r="N296">
        <v>7636.3636401751482</v>
      </c>
      <c r="P296">
        <v>22000.000001103017</v>
      </c>
      <c r="Q296">
        <v>7636.3636370622498</v>
      </c>
      <c r="S296">
        <v>21999.999996730159</v>
      </c>
      <c r="T296">
        <v>7636.3636428199216</v>
      </c>
      <c r="V296">
        <v>22000.000001719909</v>
      </c>
      <c r="W296">
        <v>7636.3636366113269</v>
      </c>
      <c r="Y296">
        <v>22000.000001889104</v>
      </c>
      <c r="Z296">
        <v>7636.3636361061108</v>
      </c>
      <c r="AB296">
        <v>22000.000001751043</v>
      </c>
      <c r="AC296">
        <v>7636.3636365159064</v>
      </c>
      <c r="AE296">
        <v>22000.000001767603</v>
      </c>
      <c r="AF296">
        <v>7636.3636364672575</v>
      </c>
      <c r="AH296">
        <v>22000.000001676235</v>
      </c>
      <c r="AI296">
        <v>7636.3636367660756</v>
      </c>
      <c r="AK296">
        <v>22000.000076533659</v>
      </c>
      <c r="AL296">
        <v>7636.3635773822052</v>
      </c>
      <c r="AZ296">
        <v>49999.999999999716</v>
      </c>
      <c r="BA296">
        <v>1.6925678109435881E-11</v>
      </c>
      <c r="BC296">
        <v>49999.999999998472</v>
      </c>
      <c r="BD296">
        <v>9.9786993969770163E-11</v>
      </c>
      <c r="BF296">
        <v>49999.999999999884</v>
      </c>
      <c r="BG296">
        <v>5.7666018077137891E-12</v>
      </c>
      <c r="BI296">
        <v>49999.999999998174</v>
      </c>
      <c r="BJ296">
        <v>1.1994165593526658E-10</v>
      </c>
      <c r="BL296">
        <v>49999.99999999837</v>
      </c>
      <c r="BM296">
        <v>1.073764626389633E-10</v>
      </c>
      <c r="BO296">
        <v>49999.999999998181</v>
      </c>
      <c r="BP296">
        <v>1.1895880934172023E-10</v>
      </c>
      <c r="BR296">
        <v>49999.999999998203</v>
      </c>
      <c r="BS296">
        <v>1.1822057387032012E-10</v>
      </c>
      <c r="BU296">
        <v>49999.999999998159</v>
      </c>
      <c r="BV296">
        <v>1.2034877696123856E-10</v>
      </c>
      <c r="BX296">
        <v>49999.999999999971</v>
      </c>
      <c r="BY296">
        <v>4.0108320106614001E-15</v>
      </c>
    </row>
    <row r="297" spans="13:77" x14ac:dyDescent="0.35">
      <c r="M297">
        <v>21999.999996381113</v>
      </c>
      <c r="N297">
        <v>7636.3636398701356</v>
      </c>
      <c r="P297">
        <v>22000.000000767395</v>
      </c>
      <c r="Q297">
        <v>7636.3636371439798</v>
      </c>
      <c r="S297">
        <v>21999.99999573077</v>
      </c>
      <c r="T297">
        <v>7636.3636424822726</v>
      </c>
      <c r="V297">
        <v>22000.000001393422</v>
      </c>
      <c r="W297">
        <v>7636.3636367481786</v>
      </c>
      <c r="Y297">
        <v>22000.000001654353</v>
      </c>
      <c r="Z297">
        <v>7636.3636362623483</v>
      </c>
      <c r="AB297">
        <v>22000.000001442007</v>
      </c>
      <c r="AC297">
        <v>7636.3636366563533</v>
      </c>
      <c r="AE297">
        <v>22000.000001467361</v>
      </c>
      <c r="AF297">
        <v>7636.3636366095925</v>
      </c>
      <c r="AH297">
        <v>22000.000001320375</v>
      </c>
      <c r="AI297">
        <v>7636.3636368976513</v>
      </c>
      <c r="AK297">
        <v>22000.000078377427</v>
      </c>
      <c r="AL297">
        <v>7636.3635842548229</v>
      </c>
      <c r="AZ297">
        <v>49999.999999999745</v>
      </c>
      <c r="BA297">
        <v>1.5154671297928312E-11</v>
      </c>
      <c r="BC297">
        <v>49999.999999998632</v>
      </c>
      <c r="BD297">
        <v>8.9345849758135144E-11</v>
      </c>
      <c r="BF297">
        <v>49999.999999999898</v>
      </c>
      <c r="BG297">
        <v>5.1632173515826364E-12</v>
      </c>
      <c r="BI297">
        <v>49999.999999998363</v>
      </c>
      <c r="BJ297">
        <v>1.0739164238358245E-10</v>
      </c>
      <c r="BL297">
        <v>49999.999999998538</v>
      </c>
      <c r="BM297">
        <v>9.6141199537558538E-11</v>
      </c>
      <c r="BO297">
        <v>49999.99999999837</v>
      </c>
      <c r="BP297">
        <v>1.065116352745509E-10</v>
      </c>
      <c r="BR297">
        <v>49999.999999998392</v>
      </c>
      <c r="BS297">
        <v>1.0585064456935117E-10</v>
      </c>
      <c r="BU297">
        <v>49999.999999998348</v>
      </c>
      <c r="BV297">
        <v>1.0775616457803687E-10</v>
      </c>
      <c r="BX297">
        <v>49999.999999999971</v>
      </c>
      <c r="BY297">
        <v>3.5911613324902299E-15</v>
      </c>
    </row>
    <row r="298" spans="13:77" x14ac:dyDescent="0.35">
      <c r="M298">
        <v>21999.999996126109</v>
      </c>
      <c r="N298">
        <v>7636.3636395371395</v>
      </c>
      <c r="P298">
        <v>22000.000000465065</v>
      </c>
      <c r="Q298">
        <v>7636.3636371975499</v>
      </c>
      <c r="S298">
        <v>21999.999994966402</v>
      </c>
      <c r="T298">
        <v>7636.3636420672692</v>
      </c>
      <c r="V298">
        <v>22000.000001085908</v>
      </c>
      <c r="W298">
        <v>7636.363636856996</v>
      </c>
      <c r="Y298">
        <v>22000.000001419718</v>
      </c>
      <c r="Z298">
        <v>7636.3636363977812</v>
      </c>
      <c r="AB298">
        <v>22000.000001148383</v>
      </c>
      <c r="AC298">
        <v>7636.363636770142</v>
      </c>
      <c r="AE298">
        <v>22000.000001180713</v>
      </c>
      <c r="AF298">
        <v>7636.3636367259624</v>
      </c>
      <c r="AH298">
        <v>22000.000000989308</v>
      </c>
      <c r="AI298">
        <v>7636.3636369988672</v>
      </c>
      <c r="AK298">
        <v>22000.000078325957</v>
      </c>
      <c r="AL298">
        <v>7636.3635912002583</v>
      </c>
      <c r="AZ298">
        <v>49999.999999999774</v>
      </c>
      <c r="BA298">
        <v>1.3568972579019864E-11</v>
      </c>
      <c r="BC298">
        <v>49999.999999998778</v>
      </c>
      <c r="BD298">
        <v>7.9997207566164034E-11</v>
      </c>
      <c r="BF298">
        <v>49999.999999999905</v>
      </c>
      <c r="BG298">
        <v>4.6229676174317109E-12</v>
      </c>
      <c r="BI298">
        <v>49999.99999999853</v>
      </c>
      <c r="BJ298">
        <v>9.6154790959928869E-11</v>
      </c>
      <c r="BL298">
        <v>49999.99999999869</v>
      </c>
      <c r="BM298">
        <v>8.6081530545471995E-11</v>
      </c>
      <c r="BO298">
        <v>49999.999999998538</v>
      </c>
      <c r="BP298">
        <v>9.5366862795929432E-11</v>
      </c>
      <c r="BR298">
        <v>49999.999999998559</v>
      </c>
      <c r="BS298">
        <v>9.4775034403381719E-11</v>
      </c>
      <c r="BU298">
        <v>49999.999999998523</v>
      </c>
      <c r="BV298">
        <v>9.6481171622614191E-11</v>
      </c>
      <c r="BX298">
        <v>49999.999999999971</v>
      </c>
      <c r="BY298">
        <v>3.2154026101547785E-15</v>
      </c>
    </row>
    <row r="299" spans="13:77" x14ac:dyDescent="0.35">
      <c r="M299">
        <v>21999.999995988805</v>
      </c>
      <c r="N299">
        <v>7636.363639187166</v>
      </c>
      <c r="P299">
        <v>22000.000000197415</v>
      </c>
      <c r="Q299">
        <v>7636.363637225978</v>
      </c>
      <c r="S299">
        <v>21999.999994418446</v>
      </c>
      <c r="T299">
        <v>7636.3636415948558</v>
      </c>
      <c r="V299">
        <v>22000.000000800959</v>
      </c>
      <c r="W299">
        <v>7636.3636369396327</v>
      </c>
      <c r="Y299">
        <v>22000.000001190045</v>
      </c>
      <c r="Z299">
        <v>7636.3636365126522</v>
      </c>
      <c r="AB299">
        <v>22000.000000873995</v>
      </c>
      <c r="AC299">
        <v>7636.3636368588213</v>
      </c>
      <c r="AE299">
        <v>22000.000000911608</v>
      </c>
      <c r="AF299">
        <v>7636.3636368177604</v>
      </c>
      <c r="AH299">
        <v>22000.000000686265</v>
      </c>
      <c r="AI299">
        <v>7636.3636370720751</v>
      </c>
      <c r="AK299">
        <v>22000.000076658154</v>
      </c>
      <c r="AL299">
        <v>7636.363598063841</v>
      </c>
      <c r="AZ299">
        <v>49999.999999999796</v>
      </c>
      <c r="BA299">
        <v>1.2149192366538646E-11</v>
      </c>
      <c r="BC299">
        <v>49999.999999998901</v>
      </c>
      <c r="BD299">
        <v>7.1626754188447812E-11</v>
      </c>
      <c r="BF299">
        <v>49999.999999999913</v>
      </c>
      <c r="BG299">
        <v>4.1392465465881096E-12</v>
      </c>
      <c r="BI299">
        <v>49999.999999998683</v>
      </c>
      <c r="BJ299">
        <v>8.6093699838611195E-11</v>
      </c>
      <c r="BL299">
        <v>49999.999999998829</v>
      </c>
      <c r="BM299">
        <v>7.7074448173035619E-11</v>
      </c>
      <c r="BO299">
        <v>49999.99999999869</v>
      </c>
      <c r="BP299">
        <v>8.538821600188771E-11</v>
      </c>
      <c r="BR299">
        <v>49999.999999998712</v>
      </c>
      <c r="BS299">
        <v>8.4858313170470777E-11</v>
      </c>
      <c r="BU299">
        <v>49999.999999998676</v>
      </c>
      <c r="BV299">
        <v>8.6385929882749786E-11</v>
      </c>
      <c r="BX299">
        <v>49999.999999999971</v>
      </c>
      <c r="BY299">
        <v>2.8789611460370921E-15</v>
      </c>
    </row>
    <row r="300" spans="13:77" x14ac:dyDescent="0.35">
      <c r="M300">
        <v>21999.999995954789</v>
      </c>
      <c r="N300">
        <v>7636.3636388299601</v>
      </c>
      <c r="P300">
        <v>21999.999999964908</v>
      </c>
      <c r="Q300">
        <v>7636.3636372323599</v>
      </c>
      <c r="S300">
        <v>21999.999994066537</v>
      </c>
      <c r="T300">
        <v>7636.3636410832423</v>
      </c>
      <c r="V300">
        <v>22000.000000541178</v>
      </c>
      <c r="W300">
        <v>7636.3636369982132</v>
      </c>
      <c r="Y300">
        <v>22000.000000969372</v>
      </c>
      <c r="Z300">
        <v>7636.3636366075934</v>
      </c>
      <c r="AB300">
        <v>22000.000000621712</v>
      </c>
      <c r="AC300">
        <v>7636.363636924234</v>
      </c>
      <c r="AE300">
        <v>22000.000000663054</v>
      </c>
      <c r="AF300">
        <v>7636.3636368866855</v>
      </c>
      <c r="AH300">
        <v>22000.00000041342</v>
      </c>
      <c r="AI300">
        <v>7636.3636371198627</v>
      </c>
      <c r="AK300">
        <v>22000.000073645551</v>
      </c>
      <c r="AL300">
        <v>7636.3636047152741</v>
      </c>
      <c r="AZ300">
        <v>49999.999999999818</v>
      </c>
      <c r="BA300">
        <v>1.0877969890467774E-11</v>
      </c>
      <c r="BC300">
        <v>49999.999999999018</v>
      </c>
      <c r="BD300">
        <v>6.4132137504038346E-11</v>
      </c>
      <c r="BF300">
        <v>49999.99999999992</v>
      </c>
      <c r="BG300">
        <v>3.7061393008329202E-12</v>
      </c>
      <c r="BI300">
        <v>49999.999999998821</v>
      </c>
      <c r="BJ300">
        <v>7.7085344140468079E-11</v>
      </c>
      <c r="BL300">
        <v>49999.999999998952</v>
      </c>
      <c r="BM300">
        <v>6.900981573555947E-11</v>
      </c>
      <c r="BO300">
        <v>49999.999999998829</v>
      </c>
      <c r="BP300">
        <v>7.6453678124937187E-11</v>
      </c>
      <c r="BR300">
        <v>49999.999999998843</v>
      </c>
      <c r="BS300">
        <v>7.5979221315700811E-11</v>
      </c>
      <c r="BU300">
        <v>49999.999999998814</v>
      </c>
      <c r="BV300">
        <v>7.7346996892792987E-11</v>
      </c>
      <c r="BX300">
        <v>49999.999999999971</v>
      </c>
      <c r="BY300">
        <v>2.577723005577902E-15</v>
      </c>
    </row>
    <row r="301" spans="13:77" x14ac:dyDescent="0.35">
      <c r="M301">
        <v>21999.999996009625</v>
      </c>
      <c r="N301">
        <v>7636.3636384739875</v>
      </c>
      <c r="P301">
        <v>21999.999999767213</v>
      </c>
      <c r="Q301">
        <v>7636.3636372197961</v>
      </c>
      <c r="S301">
        <v>21999.999993889232</v>
      </c>
      <c r="T301">
        <v>7636.3636405487823</v>
      </c>
      <c r="V301">
        <v>22000.000000308264</v>
      </c>
      <c r="W301">
        <v>7636.3636370350487</v>
      </c>
      <c r="Y301">
        <v>22000.000000760952</v>
      </c>
      <c r="Z301">
        <v>7636.363636683559</v>
      </c>
      <c r="AB301">
        <v>22000.000000393524</v>
      </c>
      <c r="AC301">
        <v>7636.3636369684355</v>
      </c>
      <c r="AE301">
        <v>22000.00000043719</v>
      </c>
      <c r="AF301">
        <v>7636.3636369346623</v>
      </c>
      <c r="AH301">
        <v>22000.000000172004</v>
      </c>
      <c r="AI301">
        <v>7636.3636371449666</v>
      </c>
      <c r="AK301">
        <v>22000.00006954775</v>
      </c>
      <c r="AL301">
        <v>7636.3636110477582</v>
      </c>
      <c r="AZ301">
        <v>49999.99999999984</v>
      </c>
      <c r="BA301">
        <v>9.7397609131475328E-12</v>
      </c>
      <c r="BC301">
        <v>49999.99999999912</v>
      </c>
      <c r="BD301">
        <v>5.7421714936515014E-11</v>
      </c>
      <c r="BF301">
        <v>49999.999999999927</v>
      </c>
      <c r="BG301">
        <v>3.3183499370193768E-12</v>
      </c>
      <c r="BI301">
        <v>49999.999999998945</v>
      </c>
      <c r="BJ301">
        <v>6.901957161085404E-11</v>
      </c>
      <c r="BL301">
        <v>49999.999999999061</v>
      </c>
      <c r="BM301">
        <v>6.1789020625411051E-11</v>
      </c>
      <c r="BO301">
        <v>49999.999999998952</v>
      </c>
      <c r="BP301">
        <v>6.8453999539026322E-11</v>
      </c>
      <c r="BR301">
        <v>49999.999999998967</v>
      </c>
      <c r="BS301">
        <v>6.802918719516918E-11</v>
      </c>
      <c r="BU301">
        <v>49999.999999998938</v>
      </c>
      <c r="BV301">
        <v>6.9253846505487168E-11</v>
      </c>
      <c r="BX301">
        <v>49999.999999999971</v>
      </c>
      <c r="BY301">
        <v>2.3080047129611255E-15</v>
      </c>
    </row>
    <row r="302" spans="13:77" x14ac:dyDescent="0.35">
      <c r="M302">
        <v>21999.999996139151</v>
      </c>
      <c r="N302">
        <v>7636.3636381264478</v>
      </c>
      <c r="P302">
        <v>21999.999999603326</v>
      </c>
      <c r="Q302">
        <v>7636.3636371913244</v>
      </c>
      <c r="S302">
        <v>21999.999993864611</v>
      </c>
      <c r="T302">
        <v>7636.3636400059058</v>
      </c>
      <c r="V302">
        <v>22000.000000103104</v>
      </c>
      <c r="W302">
        <v>7636.3636370525646</v>
      </c>
      <c r="Y302">
        <v>22000.00000056731</v>
      </c>
      <c r="Z302">
        <v>7636.3636367417548</v>
      </c>
      <c r="AB302">
        <v>22000.000000190626</v>
      </c>
      <c r="AC302">
        <v>7636.3636369936175</v>
      </c>
      <c r="AE302">
        <v>22000.000000235374</v>
      </c>
      <c r="AF302">
        <v>7636.363636963767</v>
      </c>
      <c r="AH302">
        <v>21999.999999962412</v>
      </c>
      <c r="AI302">
        <v>7636.3636371501916</v>
      </c>
      <c r="AK302">
        <v>22000.000064608797</v>
      </c>
      <c r="AL302">
        <v>7636.3636169767633</v>
      </c>
      <c r="AZ302">
        <v>49999.999999999854</v>
      </c>
      <c r="BA302">
        <v>8.7206476576482952E-12</v>
      </c>
      <c r="BC302">
        <v>49999.999999999214</v>
      </c>
      <c r="BD302">
        <v>5.1413432868080646E-11</v>
      </c>
      <c r="BF302">
        <v>49999.999999999935</v>
      </c>
      <c r="BG302">
        <v>2.9711366494081271E-12</v>
      </c>
      <c r="BI302">
        <v>49999.999999999054</v>
      </c>
      <c r="BJ302">
        <v>6.1797755701332784E-11</v>
      </c>
      <c r="BL302">
        <v>49999.999999999156</v>
      </c>
      <c r="BM302">
        <v>5.5323768498054255E-11</v>
      </c>
      <c r="BO302">
        <v>49999.999999999061</v>
      </c>
      <c r="BP302">
        <v>6.1291361878384029E-11</v>
      </c>
      <c r="BR302">
        <v>49999.999999999076</v>
      </c>
      <c r="BS302">
        <v>6.0910999485052896E-11</v>
      </c>
      <c r="BU302">
        <v>49999.999999999047</v>
      </c>
      <c r="BV302">
        <v>6.2007517401783811E-11</v>
      </c>
      <c r="BX302">
        <v>49999.999999999971</v>
      </c>
      <c r="BY302">
        <v>2.0665082103561893E-15</v>
      </c>
    </row>
    <row r="303" spans="13:77" x14ac:dyDescent="0.35">
      <c r="M303">
        <v>21999.999996329734</v>
      </c>
      <c r="N303">
        <v>7636.363637793309</v>
      </c>
      <c r="P303">
        <v>21999.999999471689</v>
      </c>
      <c r="Q303">
        <v>7636.363637149866</v>
      </c>
      <c r="S303">
        <v>21999.9999939708</v>
      </c>
      <c r="T303">
        <v>7636.3636394671021</v>
      </c>
      <c r="V303">
        <v>21999.99999992588</v>
      </c>
      <c r="W303">
        <v>7636.3636370532304</v>
      </c>
      <c r="Y303">
        <v>22000.000000390293</v>
      </c>
      <c r="Z303">
        <v>7636.3636367835807</v>
      </c>
      <c r="AB303">
        <v>22000.000000013522</v>
      </c>
      <c r="AC303">
        <v>7636.3636370020467</v>
      </c>
      <c r="AE303">
        <v>22000.000000058266</v>
      </c>
      <c r="AF303">
        <v>7636.3636369761634</v>
      </c>
      <c r="AH303">
        <v>21999.999999784326</v>
      </c>
      <c r="AI303">
        <v>7636.3636371383436</v>
      </c>
      <c r="AK303">
        <v>22000.0000590544</v>
      </c>
      <c r="AL303">
        <v>7636.3636224385182</v>
      </c>
      <c r="AZ303">
        <v>49999.999999999869</v>
      </c>
      <c r="BA303">
        <v>7.8081686241587867E-12</v>
      </c>
      <c r="BC303">
        <v>49999.999999999294</v>
      </c>
      <c r="BD303">
        <v>4.6033823305400974E-11</v>
      </c>
      <c r="BF303">
        <v>49999.999999999942</v>
      </c>
      <c r="BG303">
        <v>2.6602537878766841E-12</v>
      </c>
      <c r="BI303">
        <v>49999.999999999156</v>
      </c>
      <c r="BJ303">
        <v>5.5331589585250902E-11</v>
      </c>
      <c r="BL303">
        <v>49999.999999999243</v>
      </c>
      <c r="BM303">
        <v>4.9535003627611556E-11</v>
      </c>
      <c r="BO303">
        <v>49999.999999999156</v>
      </c>
      <c r="BP303">
        <v>5.4878181935378886E-11</v>
      </c>
      <c r="BR303">
        <v>49999.999999999171</v>
      </c>
      <c r="BS303">
        <v>5.4537618502247474E-11</v>
      </c>
      <c r="BU303">
        <v>49999.999999999149</v>
      </c>
      <c r="BV303">
        <v>5.5519403012912487E-11</v>
      </c>
      <c r="BX303">
        <v>49999.999999999971</v>
      </c>
      <c r="BY303">
        <v>1.8502805299693808E-15</v>
      </c>
    </row>
    <row r="304" spans="13:77" x14ac:dyDescent="0.35">
      <c r="M304">
        <v>21999.999996568473</v>
      </c>
      <c r="N304">
        <v>7636.3636374793678</v>
      </c>
      <c r="P304">
        <v>21999.999999370302</v>
      </c>
      <c r="Q304">
        <v>7636.3636370981849</v>
      </c>
      <c r="S304">
        <v>21999.999994186419</v>
      </c>
      <c r="T304">
        <v>7636.3636389429439</v>
      </c>
      <c r="V304">
        <v>21999.999999776173</v>
      </c>
      <c r="W304">
        <v>7636.3636370395016</v>
      </c>
      <c r="Y304">
        <v>22000.000000231135</v>
      </c>
      <c r="Z304">
        <v>7636.3636368105681</v>
      </c>
      <c r="AB304">
        <v>21999.999999862102</v>
      </c>
      <c r="AC304">
        <v>7636.363636996005</v>
      </c>
      <c r="AE304">
        <v>21999.999999905911</v>
      </c>
      <c r="AF304">
        <v>7636.3636369740434</v>
      </c>
      <c r="AH304">
        <v>21999.999999636817</v>
      </c>
      <c r="AI304">
        <v>7636.3636371121711</v>
      </c>
      <c r="AK304">
        <v>22000.000053089938</v>
      </c>
      <c r="AL304">
        <v>7636.3636273882857</v>
      </c>
      <c r="AZ304">
        <v>49999.999999999884</v>
      </c>
      <c r="BA304">
        <v>6.9911662134207682E-12</v>
      </c>
      <c r="BC304">
        <v>49999.999999999367</v>
      </c>
      <c r="BD304">
        <v>4.1217105528631255E-11</v>
      </c>
      <c r="BF304">
        <v>49999.999999999949</v>
      </c>
      <c r="BG304">
        <v>2.3818999430140742E-12</v>
      </c>
      <c r="BI304">
        <v>49999.999999999243</v>
      </c>
      <c r="BJ304">
        <v>4.9542006360671419E-11</v>
      </c>
      <c r="BL304">
        <v>49999.999999999323</v>
      </c>
      <c r="BM304">
        <v>4.4351942230287293E-11</v>
      </c>
      <c r="BO304">
        <v>49999.999999999243</v>
      </c>
      <c r="BP304">
        <v>4.9136040711711931E-11</v>
      </c>
      <c r="BR304">
        <v>49999.999999999258</v>
      </c>
      <c r="BS304">
        <v>4.8831111901661877E-11</v>
      </c>
      <c r="BU304">
        <v>49999.999999999236</v>
      </c>
      <c r="BV304">
        <v>4.9710168058131671E-11</v>
      </c>
      <c r="BX304">
        <v>49999.999999999971</v>
      </c>
      <c r="BY304">
        <v>1.6566776857826673E-15</v>
      </c>
    </row>
    <row r="305" spans="13:77" x14ac:dyDescent="0.35">
      <c r="M305">
        <v>21999.999996843355</v>
      </c>
      <c r="N305">
        <v>7636.3636371883185</v>
      </c>
      <c r="P305">
        <v>21999.999999296833</v>
      </c>
      <c r="Q305">
        <v>7636.3636370388513</v>
      </c>
      <c r="S305">
        <v>21999.999994490958</v>
      </c>
      <c r="T305">
        <v>7636.3636384421516</v>
      </c>
      <c r="V305">
        <v>21999.999999653053</v>
      </c>
      <c r="W305">
        <v>7636.3636370137729</v>
      </c>
      <c r="Y305">
        <v>22000.000000090517</v>
      </c>
      <c r="Z305">
        <v>7636.3636368243333</v>
      </c>
      <c r="AB305">
        <v>21999.999999735741</v>
      </c>
      <c r="AC305">
        <v>7636.3636369777387</v>
      </c>
      <c r="AE305">
        <v>21999.999999777843</v>
      </c>
      <c r="AF305">
        <v>7636.3636369595788</v>
      </c>
      <c r="AH305">
        <v>21999.999999518463</v>
      </c>
      <c r="AI305">
        <v>7636.363637074317</v>
      </c>
      <c r="AK305">
        <v>22000.000046899182</v>
      </c>
      <c r="AL305">
        <v>7636.3636317985029</v>
      </c>
      <c r="AZ305">
        <v>49999.999999999898</v>
      </c>
      <c r="BA305">
        <v>6.259650293981936E-12</v>
      </c>
      <c r="BC305">
        <v>49999.999999999432</v>
      </c>
      <c r="BD305">
        <v>3.6904381738785661E-11</v>
      </c>
      <c r="BF305">
        <v>49999.999999999956</v>
      </c>
      <c r="BG305">
        <v>2.1326714632962842E-12</v>
      </c>
      <c r="BI305">
        <v>49999.999999999323</v>
      </c>
      <c r="BJ305">
        <v>4.4358212237138611E-11</v>
      </c>
      <c r="BL305">
        <v>49999.999999999396</v>
      </c>
      <c r="BM305">
        <v>3.9711206935336813E-11</v>
      </c>
      <c r="BO305">
        <v>49999.999999999323</v>
      </c>
      <c r="BP305">
        <v>4.3994724527609187E-11</v>
      </c>
      <c r="BR305">
        <v>49999.999999999338</v>
      </c>
      <c r="BS305">
        <v>4.3721701736102791E-11</v>
      </c>
      <c r="BU305">
        <v>49999.999999999316</v>
      </c>
      <c r="BV305">
        <v>4.4508778449814667E-11</v>
      </c>
      <c r="BX305">
        <v>49999.999999999971</v>
      </c>
      <c r="BY305">
        <v>1.4833323434558503E-15</v>
      </c>
    </row>
    <row r="306" spans="13:77" x14ac:dyDescent="0.35">
      <c r="M306">
        <v>21999.999997143386</v>
      </c>
      <c r="N306">
        <v>7636.3636369228389</v>
      </c>
      <c r="P306">
        <v>21999.999999248714</v>
      </c>
      <c r="Q306">
        <v>7636.3636369742171</v>
      </c>
      <c r="S306">
        <v>21999.999994865069</v>
      </c>
      <c r="T306">
        <v>7636.3636379716827</v>
      </c>
      <c r="V306">
        <v>21999.999999555177</v>
      </c>
      <c r="W306">
        <v>7636.3636369783371</v>
      </c>
      <c r="Y306">
        <v>21999.999999968637</v>
      </c>
      <c r="Z306">
        <v>7636.3636368265288</v>
      </c>
      <c r="AB306">
        <v>21999.999999633379</v>
      </c>
      <c r="AC306">
        <v>7636.3636369494179</v>
      </c>
      <c r="AE306">
        <v>21999.999999673157</v>
      </c>
      <c r="AF306">
        <v>7636.3636369348797</v>
      </c>
      <c r="AH306">
        <v>21999.999999427444</v>
      </c>
      <c r="AI306">
        <v>7636.3636370272779</v>
      </c>
      <c r="AK306">
        <v>22000.000040643656</v>
      </c>
      <c r="AL306">
        <v>7636.3636356568331</v>
      </c>
      <c r="AZ306">
        <v>49999.999999999905</v>
      </c>
      <c r="BA306">
        <v>5.6046760449964823E-12</v>
      </c>
      <c r="BC306">
        <v>49999.999999999491</v>
      </c>
      <c r="BD306">
        <v>3.304291686799687E-11</v>
      </c>
      <c r="BF306">
        <v>49999.999999999964</v>
      </c>
      <c r="BG306">
        <v>1.9095208359604208E-12</v>
      </c>
      <c r="BI306">
        <v>49999.999999999396</v>
      </c>
      <c r="BJ306">
        <v>3.9716820884287811E-11</v>
      </c>
      <c r="BL306">
        <v>49999.999999999462</v>
      </c>
      <c r="BM306">
        <v>3.5556051820076694E-11</v>
      </c>
      <c r="BO306">
        <v>49999.999999999396</v>
      </c>
      <c r="BP306">
        <v>3.9391366463901292E-11</v>
      </c>
      <c r="BR306">
        <v>49999.999999999403</v>
      </c>
      <c r="BS306">
        <v>3.9146911226399433E-11</v>
      </c>
      <c r="BU306">
        <v>49999.999999999389</v>
      </c>
      <c r="BV306">
        <v>3.9851632703756808E-11</v>
      </c>
      <c r="BX306">
        <v>49999.999999999971</v>
      </c>
      <c r="BY306">
        <v>1.3281248730665099E-15</v>
      </c>
    </row>
    <row r="307" spans="13:77" x14ac:dyDescent="0.35">
      <c r="M307">
        <v>21999.999997458657</v>
      </c>
      <c r="N307">
        <v>7636.3636366846849</v>
      </c>
      <c r="P307">
        <v>21999.999999223226</v>
      </c>
      <c r="Q307">
        <v>7636.3636369063988</v>
      </c>
      <c r="S307">
        <v>21999.999995290793</v>
      </c>
      <c r="T307">
        <v>7636.3636375368451</v>
      </c>
      <c r="V307">
        <v>21999.999999480871</v>
      </c>
      <c r="W307">
        <v>7636.3636369353517</v>
      </c>
      <c r="Y307">
        <v>21999.999999865275</v>
      </c>
      <c r="Z307">
        <v>7636.3636368188063</v>
      </c>
      <c r="AB307">
        <v>21999.999999553627</v>
      </c>
      <c r="AC307">
        <v>7636.3636369131045</v>
      </c>
      <c r="AE307">
        <v>21999.999999590593</v>
      </c>
      <c r="AF307">
        <v>7636.3636369019578</v>
      </c>
      <c r="AH307">
        <v>21999.999999361637</v>
      </c>
      <c r="AI307">
        <v>7636.3636369733758</v>
      </c>
      <c r="AK307">
        <v>22000.000034462544</v>
      </c>
      <c r="AL307">
        <v>7636.3636389641897</v>
      </c>
      <c r="AZ307">
        <v>49999.999999999913</v>
      </c>
      <c r="BA307">
        <v>5.0182345808610855E-12</v>
      </c>
      <c r="BC307">
        <v>49999.999999999542</v>
      </c>
      <c r="BD307">
        <v>2.9585493746339056E-11</v>
      </c>
      <c r="BF307">
        <v>49999.999999999971</v>
      </c>
      <c r="BG307">
        <v>1.7097194226677856E-12</v>
      </c>
      <c r="BI307">
        <v>49999.999999999462</v>
      </c>
      <c r="BJ307">
        <v>3.5561078357299347E-11</v>
      </c>
      <c r="BL307">
        <v>49999.99999999952</v>
      </c>
      <c r="BM307">
        <v>3.1835668532829416E-11</v>
      </c>
      <c r="BO307">
        <v>49999.999999999462</v>
      </c>
      <c r="BP307">
        <v>3.5269677638726903E-11</v>
      </c>
      <c r="BR307">
        <v>49999.999999999462</v>
      </c>
      <c r="BS307">
        <v>3.5050800808655774E-11</v>
      </c>
      <c r="BU307">
        <v>49999.999999999454</v>
      </c>
      <c r="BV307">
        <v>3.5681784233774058E-11</v>
      </c>
      <c r="BX307">
        <v>49999.999999999971</v>
      </c>
      <c r="BY307">
        <v>1.1891574307268074E-15</v>
      </c>
    </row>
    <row r="308" spans="13:77" x14ac:dyDescent="0.35">
      <c r="M308">
        <v>21999.999997780396</v>
      </c>
      <c r="N308">
        <v>7636.3636364747881</v>
      </c>
      <c r="P308">
        <v>21999.99999921758</v>
      </c>
      <c r="Q308">
        <v>7636.36363683727</v>
      </c>
      <c r="S308">
        <v>21999.999995751739</v>
      </c>
      <c r="T308">
        <v>7636.3636371414314</v>
      </c>
      <c r="V308">
        <v>21999.999999428223</v>
      </c>
      <c r="W308">
        <v>7636.3636368868147</v>
      </c>
      <c r="Y308">
        <v>21999.999999779859</v>
      </c>
      <c r="Z308">
        <v>7636.3636368027792</v>
      </c>
      <c r="AB308">
        <v>21999.999999494819</v>
      </c>
      <c r="AC308">
        <v>7636.363636870723</v>
      </c>
      <c r="AE308">
        <v>21999.99999952862</v>
      </c>
      <c r="AF308">
        <v>7636.3636368627012</v>
      </c>
      <c r="AH308">
        <v>21999.999999318712</v>
      </c>
      <c r="AI308">
        <v>7636.3636369147343</v>
      </c>
      <c r="AK308">
        <v>22000.000028473089</v>
      </c>
      <c r="AL308">
        <v>7636.3636417327762</v>
      </c>
      <c r="AZ308">
        <v>49999.99999999992</v>
      </c>
      <c r="BA308">
        <v>4.493155020267695E-12</v>
      </c>
      <c r="BC308">
        <v>49999.999999999593</v>
      </c>
      <c r="BD308">
        <v>2.6489835740331542E-11</v>
      </c>
      <c r="BF308">
        <v>49999.999999999971</v>
      </c>
      <c r="BG308">
        <v>1.5308240942954839E-12</v>
      </c>
      <c r="BI308">
        <v>49999.99999999952</v>
      </c>
      <c r="BJ308">
        <v>3.1840169121750198E-11</v>
      </c>
      <c r="BL308">
        <v>49999.999999999571</v>
      </c>
      <c r="BM308">
        <v>2.8504565019221506E-11</v>
      </c>
      <c r="BO308">
        <v>49999.99999999952</v>
      </c>
      <c r="BP308">
        <v>3.1579258919075151E-11</v>
      </c>
      <c r="BR308">
        <v>49999.99999999952</v>
      </c>
      <c r="BS308">
        <v>3.1383284117178666E-11</v>
      </c>
      <c r="BU308">
        <v>49999.999999999513</v>
      </c>
      <c r="BV308">
        <v>3.1948245020977111E-11</v>
      </c>
      <c r="BX308">
        <v>49999.999999999971</v>
      </c>
      <c r="BY308">
        <v>1.0647307521526755E-15</v>
      </c>
    </row>
    <row r="309" spans="13:77" x14ac:dyDescent="0.35">
      <c r="M309">
        <v>21999.999998100986</v>
      </c>
      <c r="N309">
        <v>7636.3636362933576</v>
      </c>
      <c r="P309">
        <v>21999.999999228981</v>
      </c>
      <c r="Q309">
        <v>7636.3636367684567</v>
      </c>
      <c r="S309">
        <v>21999.999996233189</v>
      </c>
      <c r="T309">
        <v>7636.3636367878589</v>
      </c>
      <c r="V309">
        <v>21999.999999395146</v>
      </c>
      <c r="W309">
        <v>7636.3636368345469</v>
      </c>
      <c r="Y309">
        <v>21999.99999971153</v>
      </c>
      <c r="Z309">
        <v>7636.3636367799973</v>
      </c>
      <c r="AB309">
        <v>21999.999999455107</v>
      </c>
      <c r="AC309">
        <v>7636.3636368240414</v>
      </c>
      <c r="AE309">
        <v>21999.999999485506</v>
      </c>
      <c r="AF309">
        <v>7636.3636368188527</v>
      </c>
      <c r="AH309">
        <v>21999.999999296204</v>
      </c>
      <c r="AI309">
        <v>7636.3636368532643</v>
      </c>
      <c r="AK309">
        <v>22000.000022771368</v>
      </c>
      <c r="AL309">
        <v>7636.3636439841766</v>
      </c>
      <c r="AZ309">
        <v>49999.999999999927</v>
      </c>
      <c r="BA309">
        <v>4.023016802194335E-12</v>
      </c>
      <c r="BC309">
        <v>49999.999999999636</v>
      </c>
      <c r="BD309">
        <v>2.3718089803269789E-11</v>
      </c>
      <c r="BF309">
        <v>49999.999999999971</v>
      </c>
      <c r="BG309">
        <v>1.3706473568739104E-12</v>
      </c>
      <c r="BI309">
        <v>49999.999999999571</v>
      </c>
      <c r="BJ309">
        <v>2.8508594692083093E-11</v>
      </c>
      <c r="BL309">
        <v>49999.999999999614</v>
      </c>
      <c r="BM309">
        <v>2.5522009255032726E-11</v>
      </c>
      <c r="BO309">
        <v>49999.999999999571</v>
      </c>
      <c r="BP309">
        <v>2.8274984650922503E-11</v>
      </c>
      <c r="BR309">
        <v>49999.999999999571</v>
      </c>
      <c r="BS309">
        <v>2.8099515539066823E-11</v>
      </c>
      <c r="BU309">
        <v>49999.999999999563</v>
      </c>
      <c r="BV309">
        <v>2.8605362143137168E-11</v>
      </c>
      <c r="BX309">
        <v>49999.999999999971</v>
      </c>
      <c r="BY309">
        <v>9.533233744221062E-16</v>
      </c>
    </row>
    <row r="310" spans="13:77" x14ac:dyDescent="0.35">
      <c r="M310">
        <v>21999.99999841395</v>
      </c>
      <c r="N310">
        <v>7636.3636361399813</v>
      </c>
      <c r="P310">
        <v>21999.999999254695</v>
      </c>
      <c r="Q310">
        <v>7636.3636367013378</v>
      </c>
      <c r="S310">
        <v>21999.999996722152</v>
      </c>
      <c r="T310">
        <v>7636.3636364773247</v>
      </c>
      <c r="V310">
        <v>21999.999999379459</v>
      </c>
      <c r="W310">
        <v>7636.3636367801782</v>
      </c>
      <c r="Y310">
        <v>21999.999999659198</v>
      </c>
      <c r="Z310">
        <v>7636.363636751923</v>
      </c>
      <c r="AB310">
        <v>21999.999999432512</v>
      </c>
      <c r="AC310">
        <v>7636.3636367746576</v>
      </c>
      <c r="AE310">
        <v>21999.999999459378</v>
      </c>
      <c r="AF310">
        <v>7636.3636367719955</v>
      </c>
      <c r="AH310">
        <v>21999.999999291587</v>
      </c>
      <c r="AI310">
        <v>7636.3636367906547</v>
      </c>
      <c r="AK310">
        <v>22000.000017433413</v>
      </c>
      <c r="AL310">
        <v>7636.3636457475322</v>
      </c>
      <c r="AZ310">
        <v>49999.999999999935</v>
      </c>
      <c r="BA310">
        <v>3.6020711766525422E-12</v>
      </c>
      <c r="BC310">
        <v>49999.999999999673</v>
      </c>
      <c r="BD310">
        <v>2.1236363616233194E-11</v>
      </c>
      <c r="BF310">
        <v>49999.999999999971</v>
      </c>
      <c r="BG310">
        <v>1.2272306033764385E-12</v>
      </c>
      <c r="BI310">
        <v>49999.999999999614</v>
      </c>
      <c r="BJ310">
        <v>2.5525617285816526E-11</v>
      </c>
      <c r="BL310">
        <v>49999.999999999658</v>
      </c>
      <c r="BM310">
        <v>2.2851531183680065E-11</v>
      </c>
      <c r="BO310">
        <v>49999.999999999614</v>
      </c>
      <c r="BP310">
        <v>2.5316450872347361E-11</v>
      </c>
      <c r="BR310">
        <v>49999.999999999614</v>
      </c>
      <c r="BS310">
        <v>2.515934185160864E-11</v>
      </c>
      <c r="BU310">
        <v>49999.999999999607</v>
      </c>
      <c r="BV310">
        <v>2.5612259540477229E-11</v>
      </c>
      <c r="BX310">
        <v>49999.999999999971</v>
      </c>
      <c r="BY310">
        <v>8.5357303185062097E-16</v>
      </c>
    </row>
    <row r="311" spans="13:77" x14ac:dyDescent="0.35">
      <c r="M311">
        <v>21999.999998713916</v>
      </c>
      <c r="N311">
        <v>7636.363636013727</v>
      </c>
      <c r="P311">
        <v>21999.999999292093</v>
      </c>
      <c r="Q311">
        <v>7636.3636366370574</v>
      </c>
      <c r="S311">
        <v>21999.999997207393</v>
      </c>
      <c r="T311">
        <v>7636.3636362099578</v>
      </c>
      <c r="V311">
        <v>21999.999999378935</v>
      </c>
      <c r="W311">
        <v>7636.3636367251447</v>
      </c>
      <c r="Y311">
        <v>21999.999999621603</v>
      </c>
      <c r="Z311">
        <v>7636.3636367199142</v>
      </c>
      <c r="AB311">
        <v>21999.999999424996</v>
      </c>
      <c r="AC311">
        <v>7636.3636367239924</v>
      </c>
      <c r="AE311">
        <v>21999.99999944829</v>
      </c>
      <c r="AF311">
        <v>7636.3636367235413</v>
      </c>
      <c r="AH311">
        <v>21999.999999302334</v>
      </c>
      <c r="AI311">
        <v>7636.3636367283698</v>
      </c>
      <c r="AK311">
        <v>22000.000012516561</v>
      </c>
      <c r="AL311">
        <v>7636.3636470578322</v>
      </c>
      <c r="AZ311">
        <v>49999.999999999942</v>
      </c>
      <c r="BA311">
        <v>3.2251709101970252E-12</v>
      </c>
      <c r="BC311">
        <v>49999.999999999709</v>
      </c>
      <c r="BD311">
        <v>1.9014311160028589E-11</v>
      </c>
      <c r="BF311">
        <v>49999.999999999971</v>
      </c>
      <c r="BG311">
        <v>1.0988201642898927E-12</v>
      </c>
      <c r="BI311">
        <v>49999.999999999658</v>
      </c>
      <c r="BJ311">
        <v>2.2854761690617972E-11</v>
      </c>
      <c r="BL311">
        <v>49999.999999999694</v>
      </c>
      <c r="BM311">
        <v>2.0460476768134176E-11</v>
      </c>
      <c r="BO311">
        <v>49999.999999999658</v>
      </c>
      <c r="BP311">
        <v>2.2667481262489977E-11</v>
      </c>
      <c r="BR311">
        <v>49999.999999999658</v>
      </c>
      <c r="BS311">
        <v>2.2526811237227748E-11</v>
      </c>
      <c r="BU311">
        <v>49999.999999999651</v>
      </c>
      <c r="BV311">
        <v>2.2932338191919997E-11</v>
      </c>
      <c r="BX311">
        <v>49999.999999999971</v>
      </c>
      <c r="BY311">
        <v>7.6425999849665103E-16</v>
      </c>
    </row>
    <row r="312" spans="13:77" x14ac:dyDescent="0.35">
      <c r="M312">
        <v>21999.999998996573</v>
      </c>
      <c r="N312">
        <v>7636.3636359132361</v>
      </c>
      <c r="P312">
        <v>21999.999999338685</v>
      </c>
      <c r="Q312">
        <v>7636.3636365765315</v>
      </c>
      <c r="S312">
        <v>21999.999997679395</v>
      </c>
      <c r="T312">
        <v>7636.3636359849725</v>
      </c>
      <c r="V312">
        <v>21999.999999391366</v>
      </c>
      <c r="W312">
        <v>7636.3636366706833</v>
      </c>
      <c r="Y312">
        <v>21999.999999597363</v>
      </c>
      <c r="Z312">
        <v>7636.3636366852115</v>
      </c>
      <c r="AB312">
        <v>21999.999999430504</v>
      </c>
      <c r="AC312">
        <v>7636.3636366732835</v>
      </c>
      <c r="AE312">
        <v>21999.999999450265</v>
      </c>
      <c r="AF312">
        <v>7636.3636366747278</v>
      </c>
      <c r="AH312">
        <v>21999.99999932597</v>
      </c>
      <c r="AI312">
        <v>7636.3636366676537</v>
      </c>
      <c r="AK312">
        <v>22000.000008061015</v>
      </c>
      <c r="AL312">
        <v>7636.3636479543284</v>
      </c>
      <c r="AZ312">
        <v>49999.999999999949</v>
      </c>
      <c r="BA312">
        <v>2.8877073466514861E-12</v>
      </c>
      <c r="BC312">
        <v>49999.999999999738</v>
      </c>
      <c r="BD312">
        <v>1.7024761650531428E-11</v>
      </c>
      <c r="BF312">
        <v>49999.999999999971</v>
      </c>
      <c r="BG312">
        <v>9.8384586411728302E-13</v>
      </c>
      <c r="BI312">
        <v>49999.999999999694</v>
      </c>
      <c r="BJ312">
        <v>2.0463369253176908E-11</v>
      </c>
      <c r="BL312">
        <v>49999.999999999724</v>
      </c>
      <c r="BM312">
        <v>1.8319608704310071E-11</v>
      </c>
      <c r="BO312">
        <v>49999.999999999694</v>
      </c>
      <c r="BP312">
        <v>2.0295684785206741E-11</v>
      </c>
      <c r="BR312">
        <v>49999.999999999694</v>
      </c>
      <c r="BS312">
        <v>2.016973367231562E-11</v>
      </c>
      <c r="BU312">
        <v>49999.999999999687</v>
      </c>
      <c r="BV312">
        <v>2.0532828590053939E-11</v>
      </c>
      <c r="BX312">
        <v>49999.999999999971</v>
      </c>
      <c r="BY312">
        <v>6.8429217361253273E-16</v>
      </c>
    </row>
    <row r="313" spans="13:77" x14ac:dyDescent="0.35">
      <c r="M313">
        <v>21999.999999258594</v>
      </c>
      <c r="N313">
        <v>7636.3636358368149</v>
      </c>
      <c r="P313">
        <v>21999.999999392156</v>
      </c>
      <c r="Q313">
        <v>7636.3636365204648</v>
      </c>
      <c r="S313">
        <v>21999.999998130312</v>
      </c>
      <c r="T313">
        <v>7636.3636358008207</v>
      </c>
      <c r="V313">
        <v>21999.999999414591</v>
      </c>
      <c r="W313">
        <v>7636.3636366178407</v>
      </c>
      <c r="Y313">
        <v>21999.999999585027</v>
      </c>
      <c r="Z313">
        <v>7636.3636366489291</v>
      </c>
      <c r="AB313">
        <v>21999.999999447009</v>
      </c>
      <c r="AC313">
        <v>7636.3636366235887</v>
      </c>
      <c r="AE313">
        <v>21999.999999463347</v>
      </c>
      <c r="AF313">
        <v>7636.363636626621</v>
      </c>
      <c r="AH313">
        <v>21999.999999360116</v>
      </c>
      <c r="AI313">
        <v>7636.3636366095361</v>
      </c>
      <c r="AK313">
        <v>22000.000004091526</v>
      </c>
      <c r="AL313">
        <v>7636.3636484790977</v>
      </c>
      <c r="AZ313">
        <v>49999.999999999956</v>
      </c>
      <c r="BA313">
        <v>2.5855540534425653E-12</v>
      </c>
      <c r="BC313">
        <v>49999.999999999767</v>
      </c>
      <c r="BD313">
        <v>1.5243387300125041E-11</v>
      </c>
      <c r="BF313">
        <v>49999.999999999971</v>
      </c>
      <c r="BG313">
        <v>8.809018216062845E-13</v>
      </c>
      <c r="BI313">
        <v>49999.999999999724</v>
      </c>
      <c r="BJ313">
        <v>1.8322198536148617E-11</v>
      </c>
      <c r="BL313">
        <v>49999.999999999753</v>
      </c>
      <c r="BM313">
        <v>1.6402748913540494E-11</v>
      </c>
      <c r="BO313">
        <v>49999.999999999724</v>
      </c>
      <c r="BP313">
        <v>1.8172059618379695E-11</v>
      </c>
      <c r="BR313">
        <v>49999.999999999724</v>
      </c>
      <c r="BS313">
        <v>1.8059287314479557E-11</v>
      </c>
      <c r="BU313">
        <v>49999.999999999716</v>
      </c>
      <c r="BV313">
        <v>1.838439004257675E-11</v>
      </c>
      <c r="BX313">
        <v>49999.999999999971</v>
      </c>
      <c r="BY313">
        <v>6.1269172766918866E-16</v>
      </c>
    </row>
    <row r="314" spans="13:77" x14ac:dyDescent="0.35">
      <c r="M314">
        <v>21999.999999497573</v>
      </c>
      <c r="N314">
        <v>7636.3636357825189</v>
      </c>
      <c r="P314">
        <v>21999.999999450392</v>
      </c>
      <c r="Q314">
        <v>7636.3636364693657</v>
      </c>
      <c r="S314">
        <v>21999.999998553889</v>
      </c>
      <c r="T314">
        <v>7636.3636356553334</v>
      </c>
      <c r="V314">
        <v>21999.999999446551</v>
      </c>
      <c r="W314">
        <v>7636.3636365674738</v>
      </c>
      <c r="Y314">
        <v>21999.999999583102</v>
      </c>
      <c r="Z314">
        <v>7636.3636366120509</v>
      </c>
      <c r="AB314">
        <v>21999.999999472562</v>
      </c>
      <c r="AC314">
        <v>7636.3636365757893</v>
      </c>
      <c r="AE314">
        <v>21999.999999485637</v>
      </c>
      <c r="AF314">
        <v>7636.3636365801149</v>
      </c>
      <c r="AH314">
        <v>21999.999999402524</v>
      </c>
      <c r="AI314">
        <v>7636.3636365548409</v>
      </c>
      <c r="AK314">
        <v>22000.000000619129</v>
      </c>
      <c r="AL314">
        <v>7636.363648675755</v>
      </c>
      <c r="AZ314">
        <v>49999.999999999964</v>
      </c>
      <c r="BA314">
        <v>2.3150163644612895E-12</v>
      </c>
      <c r="BC314">
        <v>49999.999999999789</v>
      </c>
      <c r="BD314">
        <v>1.3648405842695616E-11</v>
      </c>
      <c r="BF314">
        <v>49999.999999999971</v>
      </c>
      <c r="BG314">
        <v>7.8872925893274442E-13</v>
      </c>
      <c r="BI314">
        <v>49999.999999999753</v>
      </c>
      <c r="BJ314">
        <v>1.6405067760086927E-11</v>
      </c>
      <c r="BL314">
        <v>49999.999999999774</v>
      </c>
      <c r="BM314">
        <v>1.4686458442606048E-11</v>
      </c>
      <c r="BO314">
        <v>49999.999999999753</v>
      </c>
      <c r="BP314">
        <v>1.6270638525813221E-11</v>
      </c>
      <c r="BR314">
        <v>49999.999999999753</v>
      </c>
      <c r="BS314">
        <v>1.6169666075193124E-11</v>
      </c>
      <c r="BU314">
        <v>49999.999999999745</v>
      </c>
      <c r="BV314">
        <v>1.6460751900559615E-11</v>
      </c>
      <c r="BX314">
        <v>49999.999999999971</v>
      </c>
      <c r="BY314">
        <v>5.4858314566492943E-16</v>
      </c>
    </row>
    <row r="315" spans="13:77" x14ac:dyDescent="0.35">
      <c r="M315">
        <v>21999.999999711934</v>
      </c>
      <c r="N315">
        <v>7636.363635748231</v>
      </c>
      <c r="P315">
        <v>21999.999999511485</v>
      </c>
      <c r="Q315">
        <v>7636.3636364235663</v>
      </c>
      <c r="S315">
        <v>21999.99999894535</v>
      </c>
      <c r="T315">
        <v>7636.3636355458593</v>
      </c>
      <c r="V315">
        <v>21999.999999485299</v>
      </c>
      <c r="W315">
        <v>7636.3636365202647</v>
      </c>
      <c r="Y315">
        <v>21999.999999590102</v>
      </c>
      <c r="Z315">
        <v>7636.3636365754292</v>
      </c>
      <c r="AB315">
        <v>21999.999999505304</v>
      </c>
      <c r="AC315">
        <v>7636.3636365305993</v>
      </c>
      <c r="AE315">
        <v>21999.999999515323</v>
      </c>
      <c r="AF315">
        <v>7636.363636535938</v>
      </c>
      <c r="AH315">
        <v>21999.999999451102</v>
      </c>
      <c r="AI315">
        <v>7636.3636365041993</v>
      </c>
      <c r="AK315">
        <v>21999.999997642946</v>
      </c>
      <c r="AL315">
        <v>7636.3636485883244</v>
      </c>
      <c r="AZ315">
        <v>49999.999999999971</v>
      </c>
      <c r="BA315">
        <v>2.0727862024728758E-12</v>
      </c>
      <c r="BC315">
        <v>49999.999999999811</v>
      </c>
      <c r="BD315">
        <v>1.2220314184721908E-11</v>
      </c>
      <c r="BF315">
        <v>49999.999999999971</v>
      </c>
      <c r="BG315">
        <v>7.0620110963357562E-13</v>
      </c>
      <c r="BI315">
        <v>49999.999999999774</v>
      </c>
      <c r="BJ315">
        <v>1.4688534658222009E-11</v>
      </c>
      <c r="BL315">
        <v>49999.999999999796</v>
      </c>
      <c r="BM315">
        <v>1.3149750857207866E-11</v>
      </c>
      <c r="BO315">
        <v>49999.999999999774</v>
      </c>
      <c r="BP315">
        <v>1.4568171335401016E-11</v>
      </c>
      <c r="BR315">
        <v>49999.999999999774</v>
      </c>
      <c r="BS315">
        <v>1.4477764068442491E-11</v>
      </c>
      <c r="BU315">
        <v>49999.999999999774</v>
      </c>
      <c r="BV315">
        <v>1.4738392326547911E-11</v>
      </c>
      <c r="BX315">
        <v>49999.999999999971</v>
      </c>
      <c r="BY315">
        <v>4.9118252151450286E-16</v>
      </c>
    </row>
    <row r="316" spans="13:77" x14ac:dyDescent="0.35">
      <c r="M316">
        <v>21999.999999900843</v>
      </c>
      <c r="N316">
        <v>7636.3636357317282</v>
      </c>
      <c r="P316">
        <v>21999.999999573749</v>
      </c>
      <c r="Q316">
        <v>7636.3636363832384</v>
      </c>
      <c r="S316">
        <v>21999.99999930129</v>
      </c>
      <c r="T316">
        <v>7636.3636354693881</v>
      </c>
      <c r="V316">
        <v>21999.999999529038</v>
      </c>
      <c r="W316">
        <v>7636.3636364767299</v>
      </c>
      <c r="Y316">
        <v>21999.999999604574</v>
      </c>
      <c r="Z316">
        <v>7636.3636365397851</v>
      </c>
      <c r="AB316">
        <v>21999.999999543503</v>
      </c>
      <c r="AC316">
        <v>7636.3636364885724</v>
      </c>
      <c r="AE316">
        <v>21999.999999550706</v>
      </c>
      <c r="AF316">
        <v>7636.3636364946651</v>
      </c>
      <c r="AH316">
        <v>21999.999999503936</v>
      </c>
      <c r="AI316">
        <v>7636.363636458068</v>
      </c>
      <c r="AK316">
        <v>21999.999995151938</v>
      </c>
      <c r="AL316">
        <v>7636.3636482602651</v>
      </c>
      <c r="AZ316">
        <v>49999.999999999971</v>
      </c>
      <c r="BA316">
        <v>1.8559016286529442E-12</v>
      </c>
      <c r="BC316">
        <v>49999.999999999833</v>
      </c>
      <c r="BD316">
        <v>1.0941649925601934E-11</v>
      </c>
      <c r="BF316">
        <v>49999.999999999971</v>
      </c>
      <c r="BG316">
        <v>6.3230823707811734E-13</v>
      </c>
      <c r="BI316">
        <v>49999.999999999796</v>
      </c>
      <c r="BJ316">
        <v>1.3151609829415659E-11</v>
      </c>
      <c r="BL316">
        <v>49999.999999999818</v>
      </c>
      <c r="BM316">
        <v>1.1773835624319229E-11</v>
      </c>
      <c r="BO316">
        <v>49999.999999999796</v>
      </c>
      <c r="BP316">
        <v>1.3043840640974005E-11</v>
      </c>
      <c r="BR316">
        <v>49999.999999999796</v>
      </c>
      <c r="BS316">
        <v>1.2962893076873947E-11</v>
      </c>
      <c r="BU316">
        <v>49999.999999999796</v>
      </c>
      <c r="BV316">
        <v>1.3196250674543096E-11</v>
      </c>
      <c r="BX316">
        <v>49999.999999999971</v>
      </c>
      <c r="BY316">
        <v>4.3978797261245988E-16</v>
      </c>
    </row>
    <row r="317" spans="13:77" x14ac:dyDescent="0.35">
      <c r="M317">
        <v>22000.000000064116</v>
      </c>
      <c r="N317">
        <v>7636.363635730746</v>
      </c>
      <c r="P317">
        <v>21999.999999635722</v>
      </c>
      <c r="Q317">
        <v>7636.3636363484156</v>
      </c>
      <c r="S317">
        <v>21999.999999619533</v>
      </c>
      <c r="T317">
        <v>7636.3636354226674</v>
      </c>
      <c r="V317">
        <v>21999.999999576128</v>
      </c>
      <c r="W317">
        <v>7636.3636364372323</v>
      </c>
      <c r="Y317">
        <v>21999.999999625121</v>
      </c>
      <c r="Z317">
        <v>7636.3636365057146</v>
      </c>
      <c r="AB317">
        <v>21999.999999585565</v>
      </c>
      <c r="AC317">
        <v>7636.3636364501162</v>
      </c>
      <c r="AE317">
        <v>21999.999999590218</v>
      </c>
      <c r="AF317">
        <v>7636.3636364567255</v>
      </c>
      <c r="AH317">
        <v>21999.99999955931</v>
      </c>
      <c r="AI317">
        <v>7636.3636364167414</v>
      </c>
      <c r="AK317">
        <v>21999.999993126621</v>
      </c>
      <c r="AL317">
        <v>7636.363647733654</v>
      </c>
      <c r="AZ317">
        <v>49999.999999999971</v>
      </c>
      <c r="BA317">
        <v>1.6617106246304841E-12</v>
      </c>
      <c r="BC317">
        <v>49999.999999999847</v>
      </c>
      <c r="BD317">
        <v>9.7967778311379982E-12</v>
      </c>
      <c r="BF317">
        <v>49999.999999999971</v>
      </c>
      <c r="BG317">
        <v>5.6614709496036719E-13</v>
      </c>
      <c r="BI317">
        <v>49999.999999999818</v>
      </c>
      <c r="BJ317">
        <v>1.1775500084235041E-11</v>
      </c>
      <c r="BL317">
        <v>49999.99999999984</v>
      </c>
      <c r="BM317">
        <v>1.0541888345550217E-11</v>
      </c>
      <c r="BO317">
        <v>49999.999999999818</v>
      </c>
      <c r="BP317">
        <v>1.1679007251491916E-11</v>
      </c>
      <c r="BR317">
        <v>49999.999999999818</v>
      </c>
      <c r="BS317">
        <v>1.1606529580678807E-11</v>
      </c>
      <c r="BU317">
        <v>49999.999999999818</v>
      </c>
      <c r="BV317">
        <v>1.1815469964909475E-11</v>
      </c>
      <c r="BX317">
        <v>49999.999999999971</v>
      </c>
      <c r="BY317">
        <v>3.9377105736216011E-16</v>
      </c>
    </row>
    <row r="318" spans="13:77" x14ac:dyDescent="0.35">
      <c r="M318">
        <v>22000.000000202122</v>
      </c>
      <c r="N318">
        <v>7636.3636357430287</v>
      </c>
      <c r="P318">
        <v>21999.999999696163</v>
      </c>
      <c r="Q318">
        <v>7636.3636363190135</v>
      </c>
      <c r="S318">
        <v>21999.999999899013</v>
      </c>
      <c r="T318">
        <v>7636.3636354023047</v>
      </c>
      <c r="V318">
        <v>21999.999999625103</v>
      </c>
      <c r="W318">
        <v>7636.3636364019994</v>
      </c>
      <c r="Y318">
        <v>21999.99999965043</v>
      </c>
      <c r="Z318">
        <v>7636.3636364736931</v>
      </c>
      <c r="AB318">
        <v>21999.999999630054</v>
      </c>
      <c r="AC318">
        <v>7636.3636364155054</v>
      </c>
      <c r="AE318">
        <v>21999.999999632433</v>
      </c>
      <c r="AF318">
        <v>7636.3636364224185</v>
      </c>
      <c r="AH318">
        <v>21999.999999615702</v>
      </c>
      <c r="AI318">
        <v>7636.3636363803726</v>
      </c>
      <c r="AK318">
        <v>21999.999991540713</v>
      </c>
      <c r="AL318">
        <v>7636.3636470485171</v>
      </c>
      <c r="AZ318">
        <v>49999.999999999971</v>
      </c>
      <c r="BA318">
        <v>1.4878386641721065E-12</v>
      </c>
      <c r="BC318">
        <v>49999.999999999862</v>
      </c>
      <c r="BD318">
        <v>8.7716986492233217E-12</v>
      </c>
      <c r="BF318">
        <v>49999.999999999971</v>
      </c>
      <c r="BG318">
        <v>5.0690867892721237E-13</v>
      </c>
      <c r="BI318">
        <v>49999.99999999984</v>
      </c>
      <c r="BJ318">
        <v>1.0543378645835359E-11</v>
      </c>
      <c r="BL318">
        <v>49999.999999999854</v>
      </c>
      <c r="BM318">
        <v>9.4388450319878827E-12</v>
      </c>
      <c r="BO318">
        <v>49999.99999999984</v>
      </c>
      <c r="BP318">
        <v>1.0456982274985509E-11</v>
      </c>
      <c r="BR318">
        <v>49999.99999999984</v>
      </c>
      <c r="BS318">
        <v>1.0392088255938802E-11</v>
      </c>
      <c r="BU318">
        <v>49999.99999999984</v>
      </c>
      <c r="BV318">
        <v>1.0579166305243864E-11</v>
      </c>
      <c r="BX318">
        <v>49999.999999999971</v>
      </c>
      <c r="BY318">
        <v>3.5256909072578994E-16</v>
      </c>
    </row>
    <row r="319" spans="13:77" x14ac:dyDescent="0.35">
      <c r="M319">
        <v>22000.000000315707</v>
      </c>
      <c r="N319">
        <v>7636.3636357663772</v>
      </c>
      <c r="P319">
        <v>21999.999999754044</v>
      </c>
      <c r="Q319">
        <v>7636.3636362948473</v>
      </c>
      <c r="S319">
        <v>22000.000000139615</v>
      </c>
      <c r="T319">
        <v>7636.3636354048576</v>
      </c>
      <c r="V319">
        <v>21999.99999967467</v>
      </c>
      <c r="W319">
        <v>7636.3636363711357</v>
      </c>
      <c r="Y319">
        <v>21999.999999679276</v>
      </c>
      <c r="Z319">
        <v>7636.3636364440845</v>
      </c>
      <c r="AB319">
        <v>21999.999999675689</v>
      </c>
      <c r="AC319">
        <v>7636.3636363848927</v>
      </c>
      <c r="AE319">
        <v>21999.999999676082</v>
      </c>
      <c r="AF319">
        <v>7636.3636363919222</v>
      </c>
      <c r="AH319">
        <v>21999.999999671796</v>
      </c>
      <c r="AI319">
        <v>7636.3636363489877</v>
      </c>
      <c r="AK319">
        <v>21999.999990362678</v>
      </c>
      <c r="AL319">
        <v>7636.3636462422983</v>
      </c>
      <c r="AZ319">
        <v>49999.999999999971</v>
      </c>
      <c r="BA319">
        <v>1.332159677981052E-12</v>
      </c>
      <c r="BC319">
        <v>49999.999999999876</v>
      </c>
      <c r="BD319">
        <v>7.8538779299692012E-12</v>
      </c>
      <c r="BF319">
        <v>49999.999999999971</v>
      </c>
      <c r="BG319">
        <v>4.5386863424552188E-13</v>
      </c>
      <c r="BI319">
        <v>49999.999999999854</v>
      </c>
      <c r="BJ319">
        <v>9.4401793957167993E-12</v>
      </c>
      <c r="BL319">
        <v>49999.999999999869</v>
      </c>
      <c r="BM319">
        <v>8.451217904948541E-12</v>
      </c>
      <c r="BO319">
        <v>49999.999999999854</v>
      </c>
      <c r="BP319">
        <v>9.3628230503403929E-12</v>
      </c>
      <c r="BR319">
        <v>49999.999999999854</v>
      </c>
      <c r="BS319">
        <v>9.3047191728179871E-12</v>
      </c>
      <c r="BU319">
        <v>49999.999999999854</v>
      </c>
      <c r="BV319">
        <v>9.4722224377356443E-12</v>
      </c>
      <c r="BX319">
        <v>49999.999999999971</v>
      </c>
      <c r="BY319">
        <v>3.1567826383157517E-16</v>
      </c>
    </row>
    <row r="320" spans="13:77" x14ac:dyDescent="0.35">
      <c r="M320">
        <v>22000.000000406097</v>
      </c>
      <c r="N320">
        <v>7636.3636357986852</v>
      </c>
      <c r="P320">
        <v>21999.999999808537</v>
      </c>
      <c r="Q320">
        <v>7636.3636362756497</v>
      </c>
      <c r="S320">
        <v>22000.00000034205</v>
      </c>
      <c r="T320">
        <v>7636.3636354269138</v>
      </c>
      <c r="V320">
        <v>21999.999999723717</v>
      </c>
      <c r="W320">
        <v>7636.3636363446412</v>
      </c>
      <c r="Y320">
        <v>21999.999999710541</v>
      </c>
      <c r="Z320">
        <v>7636.363636417148</v>
      </c>
      <c r="AB320">
        <v>21999.99999972136</v>
      </c>
      <c r="AC320">
        <v>7636.3636363583273</v>
      </c>
      <c r="AE320">
        <v>21999.999999720047</v>
      </c>
      <c r="AF320">
        <v>7636.3636363653104</v>
      </c>
      <c r="AH320">
        <v>21999.999999726471</v>
      </c>
      <c r="AI320">
        <v>7636.3636363225078</v>
      </c>
      <c r="AK320">
        <v>21999.999989557145</v>
      </c>
      <c r="AL320">
        <v>7636.3636453494628</v>
      </c>
      <c r="AZ320">
        <v>49999.999999999971</v>
      </c>
      <c r="BA320">
        <v>1.1927700565746936E-12</v>
      </c>
      <c r="BC320">
        <v>49999.999999999891</v>
      </c>
      <c r="BD320">
        <v>7.0320927571216755E-12</v>
      </c>
      <c r="BF320">
        <v>49999.999999999971</v>
      </c>
      <c r="BG320">
        <v>4.0637839854676202E-13</v>
      </c>
      <c r="BI320">
        <v>49999.999999999869</v>
      </c>
      <c r="BJ320">
        <v>8.452412648436681E-12</v>
      </c>
      <c r="BL320">
        <v>49999.999999999884</v>
      </c>
      <c r="BM320">
        <v>7.5669304702929988E-12</v>
      </c>
      <c r="BO320">
        <v>49999.999999999869</v>
      </c>
      <c r="BP320">
        <v>8.3831504316198018E-12</v>
      </c>
      <c r="BR320">
        <v>49999.999999999869</v>
      </c>
      <c r="BS320">
        <v>8.3311262137838107E-12</v>
      </c>
      <c r="BU320">
        <v>49999.999999999869</v>
      </c>
      <c r="BV320">
        <v>8.481102888558321E-12</v>
      </c>
      <c r="BX320">
        <v>49999.999999999971</v>
      </c>
      <c r="BY320">
        <v>2.8264748350621119E-16</v>
      </c>
    </row>
    <row r="321" spans="13:77" x14ac:dyDescent="0.35">
      <c r="M321">
        <v>22000.000000474814</v>
      </c>
      <c r="N321">
        <v>7636.3636358379699</v>
      </c>
      <c r="P321">
        <v>21999.99999985901</v>
      </c>
      <c r="Q321">
        <v>7636.3636362610905</v>
      </c>
      <c r="S321">
        <v>22000.000000507716</v>
      </c>
      <c r="T321">
        <v>7636.3636354651571</v>
      </c>
      <c r="V321">
        <v>21999.999999771302</v>
      </c>
      <c r="W321">
        <v>7636.363636322425</v>
      </c>
      <c r="Y321">
        <v>21999.999999743224</v>
      </c>
      <c r="Z321">
        <v>7636.3636363930509</v>
      </c>
      <c r="AB321">
        <v>21999.999999766111</v>
      </c>
      <c r="AC321">
        <v>7636.3636363357664</v>
      </c>
      <c r="AE321">
        <v>21999.999999763368</v>
      </c>
      <c r="AF321">
        <v>7636.3636363425649</v>
      </c>
      <c r="AH321">
        <v>21999.9999997788</v>
      </c>
      <c r="AI321">
        <v>7636.3636363007627</v>
      </c>
      <c r="AK321">
        <v>21999.999989086205</v>
      </c>
      <c r="AL321">
        <v>7636.3636444012191</v>
      </c>
      <c r="AZ321">
        <v>49999.999999999971</v>
      </c>
      <c r="BA321">
        <v>1.0679653733532638E-12</v>
      </c>
      <c r="BC321">
        <v>49999.999999999905</v>
      </c>
      <c r="BD321">
        <v>6.2962945166321224E-12</v>
      </c>
      <c r="BF321">
        <v>49999.999999999971</v>
      </c>
      <c r="BG321">
        <v>3.6385727134450103E-13</v>
      </c>
      <c r="BI321">
        <v>49999.999999999884</v>
      </c>
      <c r="BJ321">
        <v>7.5680002026092493E-12</v>
      </c>
      <c r="BL321">
        <v>49999.999999999898</v>
      </c>
      <c r="BM321">
        <v>6.775169849628587E-12</v>
      </c>
      <c r="BO321">
        <v>49999.999999999884</v>
      </c>
      <c r="BP321">
        <v>7.50598519071791E-12</v>
      </c>
      <c r="BR321">
        <v>49999.999999999884</v>
      </c>
      <c r="BS321">
        <v>7.4594044915140911E-12</v>
      </c>
      <c r="BU321">
        <v>49999.999999999884</v>
      </c>
      <c r="BV321">
        <v>7.5936884589787059E-12</v>
      </c>
      <c r="BX321">
        <v>49999.999999999971</v>
      </c>
      <c r="BY321">
        <v>2.5307285640362516E-16</v>
      </c>
    </row>
    <row r="322" spans="13:77" x14ac:dyDescent="0.35">
      <c r="M322">
        <v>22000.000000523614</v>
      </c>
      <c r="N322">
        <v>7636.3636358823942</v>
      </c>
      <c r="P322">
        <v>21999.999999905009</v>
      </c>
      <c r="Q322">
        <v>7636.3636362507914</v>
      </c>
      <c r="S322">
        <v>22000.000000638571</v>
      </c>
      <c r="T322">
        <v>7636.3636355164217</v>
      </c>
      <c r="V322">
        <v>21999.99999981665</v>
      </c>
      <c r="W322">
        <v>7636.3636363043206</v>
      </c>
      <c r="Y322">
        <v>21999.999999776439</v>
      </c>
      <c r="Z322">
        <v>7636.363636371877</v>
      </c>
      <c r="AB322">
        <v>21999.999999809152</v>
      </c>
      <c r="AC322">
        <v>7636.3636363170908</v>
      </c>
      <c r="AE322">
        <v>21999.999999805244</v>
      </c>
      <c r="AF322">
        <v>7636.3636363235901</v>
      </c>
      <c r="AH322">
        <v>21999.999999828044</v>
      </c>
      <c r="AI322">
        <v>7636.3636362835086</v>
      </c>
      <c r="AK322">
        <v>21999.999988910575</v>
      </c>
      <c r="AL322">
        <v>7636.3636434253494</v>
      </c>
      <c r="AZ322">
        <v>49999.999999999971</v>
      </c>
      <c r="BA322">
        <v>9.5621954323444462E-13</v>
      </c>
      <c r="BC322">
        <v>49999.999999999913</v>
      </c>
      <c r="BD322">
        <v>5.6374860243450844E-12</v>
      </c>
      <c r="BF322">
        <v>49999.999999999971</v>
      </c>
      <c r="BG322">
        <v>3.257853133525538E-13</v>
      </c>
      <c r="BI322">
        <v>49999.999999999898</v>
      </c>
      <c r="BJ322">
        <v>6.7761276512318508E-12</v>
      </c>
      <c r="BL322">
        <v>49999.999999999905</v>
      </c>
      <c r="BM322">
        <v>6.0662545627353762E-12</v>
      </c>
      <c r="BO322">
        <v>49999.999999999898</v>
      </c>
      <c r="BP322">
        <v>6.7206015379101975E-12</v>
      </c>
      <c r="BR322">
        <v>49999.999999999898</v>
      </c>
      <c r="BS322">
        <v>6.6788947784706446E-12</v>
      </c>
      <c r="BU322">
        <v>49999.999999999898</v>
      </c>
      <c r="BV322">
        <v>6.7991280343762635E-12</v>
      </c>
      <c r="BX322">
        <v>49999.999999999971</v>
      </c>
      <c r="BY322">
        <v>2.2659275028317197E-16</v>
      </c>
    </row>
    <row r="323" spans="13:77" x14ac:dyDescent="0.35">
      <c r="M323">
        <v>22000.000000554403</v>
      </c>
      <c r="N323">
        <v>7636.3636359302827</v>
      </c>
      <c r="P323">
        <v>21999.999999946234</v>
      </c>
      <c r="Q323">
        <v>7636.3636362443422</v>
      </c>
      <c r="S323">
        <v>22000.000000737004</v>
      </c>
      <c r="T323">
        <v>7636.3636355777353</v>
      </c>
      <c r="V323">
        <v>21999.999999859152</v>
      </c>
      <c r="W323">
        <v>7636.3636362900997</v>
      </c>
      <c r="Y323">
        <v>21999.999999809421</v>
      </c>
      <c r="Z323">
        <v>7636.3636363536361</v>
      </c>
      <c r="AB323">
        <v>21999.999999849839</v>
      </c>
      <c r="AC323">
        <v>7636.3636363021187</v>
      </c>
      <c r="AE323">
        <v>21999.999999845022</v>
      </c>
      <c r="AF323">
        <v>7636.3636363082278</v>
      </c>
      <c r="AH323">
        <v>21999.999999873635</v>
      </c>
      <c r="AI323">
        <v>7636.3636362704456</v>
      </c>
      <c r="AK323">
        <v>21999.999988990599</v>
      </c>
      <c r="AL323">
        <v>7636.3636424461356</v>
      </c>
      <c r="AZ323">
        <v>49999.999999999971</v>
      </c>
      <c r="BA323">
        <v>8.5616616201004612E-13</v>
      </c>
      <c r="BC323">
        <v>49999.99999999992</v>
      </c>
      <c r="BD323">
        <v>5.0476115103468644E-12</v>
      </c>
      <c r="BF323">
        <v>49999.999999999971</v>
      </c>
      <c r="BG323">
        <v>2.9169698877814029E-13</v>
      </c>
      <c r="BI323">
        <v>49999.999999999905</v>
      </c>
      <c r="BJ323">
        <v>6.0671121454196409E-12</v>
      </c>
      <c r="BL323">
        <v>49999.999999999913</v>
      </c>
      <c r="BM323">
        <v>5.431516144488261E-12</v>
      </c>
      <c r="BO323">
        <v>49999.999999999905</v>
      </c>
      <c r="BP323">
        <v>6.017395969181357E-12</v>
      </c>
      <c r="BR323">
        <v>49999.999999999905</v>
      </c>
      <c r="BS323">
        <v>5.9800531681354227E-12</v>
      </c>
      <c r="BU323">
        <v>49999.999999999905</v>
      </c>
      <c r="BV323">
        <v>6.0877058991248863E-12</v>
      </c>
      <c r="BX323">
        <v>49999.999999999971</v>
      </c>
      <c r="BY323">
        <v>2.0288337204762529E-16</v>
      </c>
    </row>
    <row r="324" spans="13:77" x14ac:dyDescent="0.35">
      <c r="M324">
        <v>22000.000000569184</v>
      </c>
      <c r="N324">
        <v>7636.3636359801358</v>
      </c>
      <c r="P324">
        <v>21999.99999998253</v>
      </c>
      <c r="Q324">
        <v>7636.3636362413117</v>
      </c>
      <c r="S324">
        <v>22000.000000805725</v>
      </c>
      <c r="T324">
        <v>7636.3636356463539</v>
      </c>
      <c r="V324">
        <v>21999.999999898344</v>
      </c>
      <c r="W324">
        <v>7636.3636362794878</v>
      </c>
      <c r="Y324">
        <v>21999.999999841519</v>
      </c>
      <c r="Z324">
        <v>7636.3636363382766</v>
      </c>
      <c r="AB324">
        <v>21999.999999887674</v>
      </c>
      <c r="AC324">
        <v>7636.3636362906163</v>
      </c>
      <c r="AE324">
        <v>21999.99999988218</v>
      </c>
      <c r="AF324">
        <v>7636.3636362962661</v>
      </c>
      <c r="AH324">
        <v>21999.999999915162</v>
      </c>
      <c r="AI324">
        <v>7636.3636362612297</v>
      </c>
      <c r="AK324">
        <v>21999.999989287142</v>
      </c>
      <c r="AL324">
        <v>7636.3636414843695</v>
      </c>
      <c r="AZ324">
        <v>49999.999999999971</v>
      </c>
      <c r="BA324">
        <v>7.6658179824640081E-13</v>
      </c>
      <c r="BC324">
        <v>49999.999999999927</v>
      </c>
      <c r="BD324">
        <v>4.5194581147269483E-12</v>
      </c>
      <c r="BF324">
        <v>49999.999999999971</v>
      </c>
      <c r="BG324">
        <v>2.6117547284937334E-13</v>
      </c>
      <c r="BI324">
        <v>49999.999999999913</v>
      </c>
      <c r="BJ324">
        <v>5.4322839945919201E-12</v>
      </c>
      <c r="BL324">
        <v>49999.99999999992</v>
      </c>
      <c r="BM324">
        <v>4.8631931487118405E-12</v>
      </c>
      <c r="BO324">
        <v>49999.999999999913</v>
      </c>
      <c r="BP324">
        <v>5.3877698366237945E-12</v>
      </c>
      <c r="BR324">
        <v>49999.999999999913</v>
      </c>
      <c r="BS324">
        <v>5.3543343741545196E-12</v>
      </c>
      <c r="BU324">
        <v>49999.999999999913</v>
      </c>
      <c r="BV324">
        <v>5.4507229348917175E-12</v>
      </c>
      <c r="BX324">
        <v>49999.999999999971</v>
      </c>
      <c r="BY324">
        <v>1.8165480847015445E-16</v>
      </c>
    </row>
    <row r="325" spans="13:77" x14ac:dyDescent="0.35">
      <c r="M325">
        <v>22000.000000569999</v>
      </c>
      <c r="N325">
        <v>7636.3636360306309</v>
      </c>
      <c r="P325">
        <v>22000.000000013868</v>
      </c>
      <c r="Q325">
        <v>7636.3636362412617</v>
      </c>
      <c r="S325">
        <v>22000.000000847667</v>
      </c>
      <c r="T325">
        <v>7636.3636357197838</v>
      </c>
      <c r="V325">
        <v>21999.999999933898</v>
      </c>
      <c r="W325">
        <v>7636.3636362721763</v>
      </c>
      <c r="Y325">
        <v>21999.999999872198</v>
      </c>
      <c r="Z325">
        <v>7636.3636363256946</v>
      </c>
      <c r="AB325">
        <v>21999.999999922289</v>
      </c>
      <c r="AC325">
        <v>7636.3636362823145</v>
      </c>
      <c r="AE325">
        <v>21999.999999916334</v>
      </c>
      <c r="AF325">
        <v>7636.3636362874549</v>
      </c>
      <c r="AH325">
        <v>21999.999999952361</v>
      </c>
      <c r="AI325">
        <v>7636.363636255488</v>
      </c>
      <c r="AK325">
        <v>21999.999989762317</v>
      </c>
      <c r="AL325">
        <v>7636.3636405574325</v>
      </c>
      <c r="AZ325">
        <v>49999.999999999971</v>
      </c>
      <c r="BA325">
        <v>6.8637103342539032E-13</v>
      </c>
      <c r="BC325">
        <v>49999.999999999935</v>
      </c>
      <c r="BD325">
        <v>4.0465676902633993E-12</v>
      </c>
      <c r="BF325">
        <v>49999.999999999971</v>
      </c>
      <c r="BG325">
        <v>2.3384755497073404E-13</v>
      </c>
      <c r="BI325">
        <v>49999.99999999992</v>
      </c>
      <c r="BJ325">
        <v>4.863880655342405E-12</v>
      </c>
      <c r="BL325">
        <v>49999.999999999927</v>
      </c>
      <c r="BM325">
        <v>4.3543362428698199E-12</v>
      </c>
      <c r="BO325">
        <v>49999.99999999992</v>
      </c>
      <c r="BP325">
        <v>4.8240242060025749E-12</v>
      </c>
      <c r="BR325">
        <v>49999.99999999992</v>
      </c>
      <c r="BS325">
        <v>4.7940872403968308E-12</v>
      </c>
      <c r="BU325">
        <v>49999.99999999992</v>
      </c>
      <c r="BV325">
        <v>4.8803902496711409E-12</v>
      </c>
      <c r="BX325">
        <v>49999.999999999971</v>
      </c>
      <c r="BY325">
        <v>1.6264748119714003E-16</v>
      </c>
    </row>
    <row r="326" spans="13:77" x14ac:dyDescent="0.35">
      <c r="M326">
        <v>22000.000000558877</v>
      </c>
      <c r="N326">
        <v>7636.3636360806277</v>
      </c>
      <c r="P326">
        <v>22000.000000040323</v>
      </c>
      <c r="Q326">
        <v>7636.3636362437564</v>
      </c>
      <c r="S326">
        <v>22000.000000865886</v>
      </c>
      <c r="T326">
        <v>7636.3636357957976</v>
      </c>
      <c r="V326">
        <v>21999.99999996561</v>
      </c>
      <c r="W326">
        <v>7636.3636362678326</v>
      </c>
      <c r="Y326">
        <v>21999.999999901029</v>
      </c>
      <c r="Z326">
        <v>7636.3636363157439</v>
      </c>
      <c r="AB326">
        <v>21999.999999953441</v>
      </c>
      <c r="AC326">
        <v>7636.3636362769157</v>
      </c>
      <c r="AE326">
        <v>21999.999999947217</v>
      </c>
      <c r="AF326">
        <v>7636.363636281515</v>
      </c>
      <c r="AH326">
        <v>21999.999999985092</v>
      </c>
      <c r="AI326">
        <v>7636.3636362528296</v>
      </c>
      <c r="AK326">
        <v>21999.999990380082</v>
      </c>
      <c r="AL326">
        <v>7636.3636396794363</v>
      </c>
      <c r="AZ326">
        <v>49999.999999999971</v>
      </c>
      <c r="BA326">
        <v>6.1455306740013666E-13</v>
      </c>
      <c r="BC326">
        <v>49999.999999999942</v>
      </c>
      <c r="BD326">
        <v>3.6231578335742522E-12</v>
      </c>
      <c r="BF326">
        <v>49999.999999999971</v>
      </c>
      <c r="BG326">
        <v>2.0937907518340573E-13</v>
      </c>
      <c r="BI326">
        <v>49999.999999999927</v>
      </c>
      <c r="BJ326">
        <v>4.3549518127119254E-12</v>
      </c>
      <c r="BL326">
        <v>49999.999999999935</v>
      </c>
      <c r="BM326">
        <v>3.8987232331070045E-12</v>
      </c>
      <c r="BO326">
        <v>49999.999999999927</v>
      </c>
      <c r="BP326">
        <v>4.3192657158275157E-12</v>
      </c>
      <c r="BR326">
        <v>49999.999999999927</v>
      </c>
      <c r="BS326">
        <v>4.292461184246621E-12</v>
      </c>
      <c r="BU326">
        <v>49999.999999999927</v>
      </c>
      <c r="BV326">
        <v>4.3697339368724135E-12</v>
      </c>
      <c r="BX326">
        <v>49999.999999999971</v>
      </c>
      <c r="BY326">
        <v>1.4562897267935739E-16</v>
      </c>
    </row>
    <row r="327" spans="13:77" x14ac:dyDescent="0.35">
      <c r="M327">
        <v>22000.000000537799</v>
      </c>
      <c r="N327">
        <v>7636.3636361291619</v>
      </c>
      <c r="P327">
        <v>22000.000000062064</v>
      </c>
      <c r="Q327">
        <v>7636.3636362483703</v>
      </c>
      <c r="S327">
        <v>22000.000000863485</v>
      </c>
      <c r="T327">
        <v>7636.3636358724407</v>
      </c>
      <c r="V327">
        <v>21999.999999993386</v>
      </c>
      <c r="W327">
        <v>7636.3636362661118</v>
      </c>
      <c r="Y327">
        <v>21999.999999927684</v>
      </c>
      <c r="Z327">
        <v>7636.3636363082451</v>
      </c>
      <c r="AB327">
        <v>21999.999999980992</v>
      </c>
      <c r="AC327">
        <v>7636.3636362741063</v>
      </c>
      <c r="AE327">
        <v>21999.999999974665</v>
      </c>
      <c r="AF327">
        <v>7636.3636362781481</v>
      </c>
      <c r="AH327">
        <v>22000.000000013333</v>
      </c>
      <c r="AI327">
        <v>7636.3636362528587</v>
      </c>
      <c r="AK327">
        <v>21999.999991106724</v>
      </c>
      <c r="AL327">
        <v>7636.3636388614095</v>
      </c>
      <c r="AZ327">
        <v>49999.999999999971</v>
      </c>
      <c r="BA327">
        <v>5.5024972537972179E-13</v>
      </c>
      <c r="BC327">
        <v>49999.999999999949</v>
      </c>
      <c r="BD327">
        <v>3.2440511791206406E-12</v>
      </c>
      <c r="BF327">
        <v>49999.999999999971</v>
      </c>
      <c r="BG327">
        <v>1.8747083812847552E-13</v>
      </c>
      <c r="BI327">
        <v>49999.999999999935</v>
      </c>
      <c r="BJ327">
        <v>3.8992743932175604E-12</v>
      </c>
      <c r="BL327">
        <v>49999.999999999942</v>
      </c>
      <c r="BM327">
        <v>3.4907829805882003E-12</v>
      </c>
      <c r="BO327">
        <v>49999.999999999935</v>
      </c>
      <c r="BP327">
        <v>3.8673222867972126E-12</v>
      </c>
      <c r="BR327">
        <v>49999.999999999935</v>
      </c>
      <c r="BS327">
        <v>3.8433224291385147E-12</v>
      </c>
      <c r="BU327">
        <v>49999.999999999935</v>
      </c>
      <c r="BV327">
        <v>3.912509799875358E-12</v>
      </c>
      <c r="BX327">
        <v>49999.999999999971</v>
      </c>
      <c r="BY327">
        <v>1.3039118421969103E-16</v>
      </c>
    </row>
    <row r="328" spans="13:77" x14ac:dyDescent="0.35">
      <c r="M328">
        <v>22000.000000508659</v>
      </c>
      <c r="N328">
        <v>7636.3636361754425</v>
      </c>
      <c r="P328">
        <v>22000.00000007933</v>
      </c>
      <c r="Q328">
        <v>7636.3636362546977</v>
      </c>
      <c r="S328">
        <v>22000.000000843535</v>
      </c>
      <c r="T328">
        <v>7636.3636359480315</v>
      </c>
      <c r="V328">
        <v>22000.000000017229</v>
      </c>
      <c r="W328">
        <v>7636.3636362666657</v>
      </c>
      <c r="Y328">
        <v>21999.999999951931</v>
      </c>
      <c r="Z328">
        <v>7636.3636363029937</v>
      </c>
      <c r="AB328">
        <v>22000.000000004897</v>
      </c>
      <c r="AC328">
        <v>7636.3636362735642</v>
      </c>
      <c r="AE328">
        <v>21999.999999998614</v>
      </c>
      <c r="AF328">
        <v>7636.3636362770476</v>
      </c>
      <c r="AH328">
        <v>22000.000000037158</v>
      </c>
      <c r="AI328">
        <v>7636.3636362551797</v>
      </c>
      <c r="AK328">
        <v>21999.99999191122</v>
      </c>
      <c r="AL328">
        <v>7636.3636381115193</v>
      </c>
      <c r="AZ328">
        <v>49999.999999999971</v>
      </c>
      <c r="BA328">
        <v>4.9267471979490103E-13</v>
      </c>
      <c r="BC328">
        <v>49999.999999999956</v>
      </c>
      <c r="BD328">
        <v>2.9046120914837992E-12</v>
      </c>
      <c r="BF328">
        <v>49999.999999999971</v>
      </c>
      <c r="BG328">
        <v>1.67854954549816E-13</v>
      </c>
      <c r="BI328">
        <v>49999.999999999942</v>
      </c>
      <c r="BJ328">
        <v>3.491276470435638E-12</v>
      </c>
      <c r="BL328">
        <v>49999.999999999949</v>
      </c>
      <c r="BM328">
        <v>3.1255272787992219E-12</v>
      </c>
      <c r="BO328">
        <v>49999.999999999942</v>
      </c>
      <c r="BP328">
        <v>3.4626676509280256E-12</v>
      </c>
      <c r="BR328">
        <v>49999.999999999942</v>
      </c>
      <c r="BS328">
        <v>3.4411790020441813E-12</v>
      </c>
      <c r="BU328">
        <v>49999.999999999942</v>
      </c>
      <c r="BV328">
        <v>3.5031269993241386E-12</v>
      </c>
      <c r="BX328">
        <v>49999.999999999971</v>
      </c>
      <c r="BY328">
        <v>1.1674779138659255E-16</v>
      </c>
    </row>
    <row r="329" spans="13:77" x14ac:dyDescent="0.35">
      <c r="M329">
        <v>22000.000000473246</v>
      </c>
      <c r="N329">
        <v>7636.3636362188399</v>
      </c>
      <c r="P329">
        <v>22000.000000092419</v>
      </c>
      <c r="Q329">
        <v>7636.3636362623556</v>
      </c>
      <c r="S329">
        <v>22000.000000809017</v>
      </c>
      <c r="T329">
        <v>7636.3636360211576</v>
      </c>
      <c r="V329">
        <v>22000.000000037217</v>
      </c>
      <c r="W329">
        <v>7636.3636362691486</v>
      </c>
      <c r="Y329">
        <v>21999.999999973621</v>
      </c>
      <c r="Z329">
        <v>7636.3636362997695</v>
      </c>
      <c r="AB329">
        <v>22000.000000025197</v>
      </c>
      <c r="AC329">
        <v>7636.3636362749694</v>
      </c>
      <c r="AE329">
        <v>22000.000000019081</v>
      </c>
      <c r="AF329">
        <v>7636.3636362779034</v>
      </c>
      <c r="AH329">
        <v>22000.000000056723</v>
      </c>
      <c r="AI329">
        <v>7636.3636362594088</v>
      </c>
      <c r="AK329">
        <v>21999.999992765475</v>
      </c>
      <c r="AL329">
        <v>7636.3636374353246</v>
      </c>
      <c r="AZ329">
        <v>49999.999999999971</v>
      </c>
      <c r="BA329">
        <v>4.4112403574118981E-13</v>
      </c>
      <c r="BC329">
        <v>49999.999999999964</v>
      </c>
      <c r="BD329">
        <v>2.6006899818025781E-12</v>
      </c>
      <c r="BF329">
        <v>49999.999999999971</v>
      </c>
      <c r="BG329">
        <v>1.5029156560132304E-13</v>
      </c>
      <c r="BI329">
        <v>49999.999999999949</v>
      </c>
      <c r="BJ329">
        <v>3.1259691326722797E-12</v>
      </c>
      <c r="BL329">
        <v>49999.999999999956</v>
      </c>
      <c r="BM329">
        <v>2.7984898588201542E-12</v>
      </c>
      <c r="BO329">
        <v>49999.999999999949</v>
      </c>
      <c r="BP329">
        <v>3.1003537775263065E-12</v>
      </c>
      <c r="BR329">
        <v>49999.999999999949</v>
      </c>
      <c r="BS329">
        <v>3.0811135787959698E-12</v>
      </c>
      <c r="BU329">
        <v>49999.999999999949</v>
      </c>
      <c r="BV329">
        <v>3.1365796895345014E-12</v>
      </c>
      <c r="BX329">
        <v>49999.999999999971</v>
      </c>
      <c r="BY329">
        <v>1.045319656786198E-16</v>
      </c>
    </row>
    <row r="330" spans="13:77" x14ac:dyDescent="0.35">
      <c r="M330">
        <v>22000.000000433214</v>
      </c>
      <c r="N330">
        <v>7636.3636362588777</v>
      </c>
      <c r="P330">
        <v>22000.000000101674</v>
      </c>
      <c r="Q330">
        <v>7636.3636362709904</v>
      </c>
      <c r="S330">
        <v>22000.00000076279</v>
      </c>
      <c r="T330">
        <v>7636.3636360906639</v>
      </c>
      <c r="V330">
        <v>22000.000000053504</v>
      </c>
      <c r="W330">
        <v>7636.3636362732268</v>
      </c>
      <c r="Y330">
        <v>21999.999999992677</v>
      </c>
      <c r="Z330">
        <v>7636.3636362983425</v>
      </c>
      <c r="AB330">
        <v>22000.000000042</v>
      </c>
      <c r="AC330">
        <v>7636.3636362780062</v>
      </c>
      <c r="AE330">
        <v>22000.000000036154</v>
      </c>
      <c r="AF330">
        <v>7636.3636362804109</v>
      </c>
      <c r="AH330">
        <v>22000.000000072243</v>
      </c>
      <c r="AI330">
        <v>7636.3636362651796</v>
      </c>
      <c r="AK330">
        <v>21999.999993644487</v>
      </c>
      <c r="AL330">
        <v>7636.3636368360403</v>
      </c>
      <c r="AZ330">
        <v>49999.999999999971</v>
      </c>
      <c r="BA330">
        <v>3.9496732243457077E-13</v>
      </c>
      <c r="BC330">
        <v>49999.999999999964</v>
      </c>
      <c r="BD330">
        <v>2.3285685552569485E-12</v>
      </c>
      <c r="BF330">
        <v>49999.999999999971</v>
      </c>
      <c r="BG330">
        <v>1.3456590990403715E-13</v>
      </c>
      <c r="BI330">
        <v>49999.999999999956</v>
      </c>
      <c r="BJ330">
        <v>2.7988854796138743E-12</v>
      </c>
      <c r="BL330">
        <v>49999.999999999964</v>
      </c>
      <c r="BM330">
        <v>2.5056717767403399E-12</v>
      </c>
      <c r="BO330">
        <v>49999.999999999956</v>
      </c>
      <c r="BP330">
        <v>2.7759503697230327E-12</v>
      </c>
      <c r="BR330">
        <v>49999.999999999956</v>
      </c>
      <c r="BS330">
        <v>2.7587233560944019E-12</v>
      </c>
      <c r="BU330">
        <v>49999.999999999956</v>
      </c>
      <c r="BV330">
        <v>2.8083858080790188E-12</v>
      </c>
      <c r="BX330">
        <v>49999.999999999971</v>
      </c>
      <c r="BY330">
        <v>9.359433458105666E-17</v>
      </c>
    </row>
    <row r="331" spans="13:77" x14ac:dyDescent="0.35">
      <c r="M331">
        <v>22000.000000390068</v>
      </c>
      <c r="N331">
        <v>7636.3636362952175</v>
      </c>
      <c r="P331">
        <v>22000.000000107466</v>
      </c>
      <c r="Q331">
        <v>7636.3636362802799</v>
      </c>
      <c r="S331">
        <v>22000.000000707525</v>
      </c>
      <c r="T331">
        <v>7636.3636361556401</v>
      </c>
      <c r="V331">
        <v>22000.000000066295</v>
      </c>
      <c r="W331">
        <v>7636.363636278581</v>
      </c>
      <c r="Y331">
        <v>22000.000000009091</v>
      </c>
      <c r="Z331">
        <v>7636.363636298478</v>
      </c>
      <c r="AB331">
        <v>22000.000000055468</v>
      </c>
      <c r="AC331">
        <v>7636.3636362823736</v>
      </c>
      <c r="AE331">
        <v>22000.000000049975</v>
      </c>
      <c r="AF331">
        <v>7636.3636362842763</v>
      </c>
      <c r="AH331">
        <v>22000.00000008399</v>
      </c>
      <c r="AI331">
        <v>7636.3636362721454</v>
      </c>
      <c r="AK331">
        <v>21999.999994526403</v>
      </c>
      <c r="AL331">
        <v>7636.3636363148162</v>
      </c>
      <c r="AZ331">
        <v>49999.999999999971</v>
      </c>
      <c r="BA331">
        <v>3.5364018541637546E-13</v>
      </c>
      <c r="BC331">
        <v>49999.999999999971</v>
      </c>
      <c r="BD331">
        <v>2.0849203690065358E-12</v>
      </c>
      <c r="BF331">
        <v>49999.999999999971</v>
      </c>
      <c r="BG331">
        <v>1.2048569748974677E-13</v>
      </c>
      <c r="BI331">
        <v>49999.999999999964</v>
      </c>
      <c r="BJ331">
        <v>2.5060260020215184E-12</v>
      </c>
      <c r="BL331">
        <v>49999.999999999971</v>
      </c>
      <c r="BM331">
        <v>2.243492515424039E-12</v>
      </c>
      <c r="BO331">
        <v>49999.999999999964</v>
      </c>
      <c r="BP331">
        <v>2.4854906917473735E-12</v>
      </c>
      <c r="BR331">
        <v>49999.999999999964</v>
      </c>
      <c r="BS331">
        <v>2.4700662149672504E-12</v>
      </c>
      <c r="BU331">
        <v>49999.999999999964</v>
      </c>
      <c r="BV331">
        <v>2.5145322700824334E-12</v>
      </c>
      <c r="BX331">
        <v>49999.999999999971</v>
      </c>
      <c r="BY331">
        <v>8.380115507062031E-17</v>
      </c>
    </row>
    <row r="332" spans="13:77" x14ac:dyDescent="0.35">
      <c r="M332">
        <v>22000.000000345161</v>
      </c>
      <c r="N332">
        <v>7636.3636363276482</v>
      </c>
      <c r="P332">
        <v>22000.00000011018</v>
      </c>
      <c r="Q332">
        <v>7636.363636289936</v>
      </c>
      <c r="S332">
        <v>22000.00000064569</v>
      </c>
      <c r="T332">
        <v>7636.3636362154029</v>
      </c>
      <c r="V332">
        <v>22000.000000075834</v>
      </c>
      <c r="W332">
        <v>7636.3636362849138</v>
      </c>
      <c r="Y332">
        <v>22000.000000022912</v>
      </c>
      <c r="Z332">
        <v>7636.363636299945</v>
      </c>
      <c r="AB332">
        <v>22000.000000065811</v>
      </c>
      <c r="AC332">
        <v>7636.3636362877851</v>
      </c>
      <c r="AE332">
        <v>22000.000000060732</v>
      </c>
      <c r="AF332">
        <v>7636.3636362892203</v>
      </c>
      <c r="AH332">
        <v>22000.000000092274</v>
      </c>
      <c r="AI332">
        <v>7636.3636362799871</v>
      </c>
      <c r="AK332">
        <v>21999.999995392511</v>
      </c>
      <c r="AL332">
        <v>7636.3636358710155</v>
      </c>
      <c r="AZ332">
        <v>49999.999999999971</v>
      </c>
      <c r="BA332">
        <v>3.1663728525806271E-13</v>
      </c>
      <c r="BC332">
        <v>49999.999999999971</v>
      </c>
      <c r="BD332">
        <v>1.8667661449283322E-12</v>
      </c>
      <c r="BF332">
        <v>49999.999999999971</v>
      </c>
      <c r="BG332">
        <v>1.0787875852021605E-13</v>
      </c>
      <c r="BI332">
        <v>49999.999999999971</v>
      </c>
      <c r="BJ332">
        <v>2.2438096765839625E-12</v>
      </c>
      <c r="BL332">
        <v>49999.999999999971</v>
      </c>
      <c r="BM332">
        <v>2.0087462027095631E-12</v>
      </c>
      <c r="BO332">
        <v>49999.999999999971</v>
      </c>
      <c r="BP332">
        <v>2.2254230645266205E-12</v>
      </c>
      <c r="BR332">
        <v>49999.999999999971</v>
      </c>
      <c r="BS332">
        <v>2.2116125173784402E-12</v>
      </c>
      <c r="BU332">
        <v>49999.999999999971</v>
      </c>
      <c r="BV332">
        <v>2.2514258970746122E-12</v>
      </c>
      <c r="BX332">
        <v>49999.999999999971</v>
      </c>
      <c r="BY332">
        <v>7.5032678234260583E-17</v>
      </c>
    </row>
    <row r="333" spans="13:77" x14ac:dyDescent="0.35">
      <c r="M333">
        <v>22000.000000299682</v>
      </c>
      <c r="N333">
        <v>7636.3636363560709</v>
      </c>
      <c r="P333">
        <v>22000.000000110213</v>
      </c>
      <c r="Q333">
        <v>7636.3636362997049</v>
      </c>
      <c r="S333">
        <v>22000.000000579534</v>
      </c>
      <c r="T333">
        <v>7636.3636362694779</v>
      </c>
      <c r="V333">
        <v>22000.000000082404</v>
      </c>
      <c r="W333">
        <v>7636.3636362919506</v>
      </c>
      <c r="Y333">
        <v>22000.00000003423</v>
      </c>
      <c r="Z333">
        <v>7636.3636363025171</v>
      </c>
      <c r="AB333">
        <v>22000.000000073276</v>
      </c>
      <c r="AC333">
        <v>7636.363636293976</v>
      </c>
      <c r="AE333">
        <v>22000.000000068652</v>
      </c>
      <c r="AF333">
        <v>7636.3636362949828</v>
      </c>
      <c r="AH333">
        <v>22000.000000097429</v>
      </c>
      <c r="AI333">
        <v>7636.3636362884126</v>
      </c>
      <c r="AK333">
        <v>21999.999996227172</v>
      </c>
      <c r="AL333">
        <v>7636.3636355024883</v>
      </c>
      <c r="AZ333">
        <v>49999.999999999971</v>
      </c>
      <c r="BA333">
        <v>2.8350615837832675E-13</v>
      </c>
      <c r="BC333">
        <v>49999.999999999971</v>
      </c>
      <c r="BD333">
        <v>1.6714383396384108E-12</v>
      </c>
      <c r="BF333">
        <v>49999.999999999971</v>
      </c>
      <c r="BG333">
        <v>9.6590938031075897E-14</v>
      </c>
      <c r="BI333">
        <v>49999.999999999971</v>
      </c>
      <c r="BJ333">
        <v>2.0090301779273377E-12</v>
      </c>
      <c r="BL333">
        <v>49999.999999999971</v>
      </c>
      <c r="BM333">
        <v>1.7985624106873514E-12</v>
      </c>
      <c r="BO333">
        <v>49999.999999999971</v>
      </c>
      <c r="BP333">
        <v>1.9925674365110159E-12</v>
      </c>
      <c r="BR333">
        <v>49999.999999999971</v>
      </c>
      <c r="BS333">
        <v>1.9802019465659757E-12</v>
      </c>
      <c r="BU333">
        <v>49999.999999999971</v>
      </c>
      <c r="BV333">
        <v>2.0158494803695838E-12</v>
      </c>
      <c r="BX333">
        <v>49999.999999999971</v>
      </c>
      <c r="BY333">
        <v>6.7181685004958342E-17</v>
      </c>
    </row>
    <row r="334" spans="13:77" x14ac:dyDescent="0.35">
      <c r="M334">
        <v>22000.000000254659</v>
      </c>
      <c r="N334">
        <v>7636.3636363804835</v>
      </c>
      <c r="P334">
        <v>22000.000000107953</v>
      </c>
      <c r="Q334">
        <v>7636.3636363093665</v>
      </c>
      <c r="S334">
        <v>22000.000000511063</v>
      </c>
      <c r="T334">
        <v>7636.3636363175774</v>
      </c>
      <c r="V334">
        <v>22000.000000086304</v>
      </c>
      <c r="W334">
        <v>7636.3636362994421</v>
      </c>
      <c r="Y334">
        <v>22000.000000043179</v>
      </c>
      <c r="Z334">
        <v>7636.3636363059795</v>
      </c>
      <c r="AB334">
        <v>22000.000000078126</v>
      </c>
      <c r="AC334">
        <v>7636.3636363007035</v>
      </c>
      <c r="AE334">
        <v>22000.000000073989</v>
      </c>
      <c r="AF334">
        <v>7636.3636363013238</v>
      </c>
      <c r="AH334">
        <v>22000.000000099808</v>
      </c>
      <c r="AI334">
        <v>7636.3636362971629</v>
      </c>
      <c r="AK334">
        <v>21999.999997017694</v>
      </c>
      <c r="AL334">
        <v>7636.3636352058402</v>
      </c>
      <c r="AZ334">
        <v>49999.999999999971</v>
      </c>
      <c r="BA334">
        <v>2.5384168441480233E-13</v>
      </c>
      <c r="BC334">
        <v>49999.999999999971</v>
      </c>
      <c r="BD334">
        <v>1.49654852633963E-12</v>
      </c>
      <c r="BF334">
        <v>49999.999999999971</v>
      </c>
      <c r="BG334">
        <v>8.6484210957755647E-14</v>
      </c>
      <c r="BI334">
        <v>49999.999999999971</v>
      </c>
      <c r="BJ334">
        <v>1.7988166723514518E-12</v>
      </c>
      <c r="BL334">
        <v>49999.999999999971</v>
      </c>
      <c r="BM334">
        <v>1.61037105671891E-12</v>
      </c>
      <c r="BO334">
        <v>49999.999999999971</v>
      </c>
      <c r="BP334">
        <v>1.7840764986807695E-12</v>
      </c>
      <c r="BR334">
        <v>49999.999999999971</v>
      </c>
      <c r="BS334">
        <v>1.7730048633617421E-12</v>
      </c>
      <c r="BU334">
        <v>49999.999999999971</v>
      </c>
      <c r="BV334">
        <v>1.8049224417230072E-12</v>
      </c>
      <c r="BX334">
        <v>49999.999999999971</v>
      </c>
      <c r="BY334">
        <v>6.0152175109812302E-17</v>
      </c>
    </row>
    <row r="335" spans="13:77" x14ac:dyDescent="0.35">
      <c r="M335">
        <v>22000.000000210955</v>
      </c>
      <c r="N335">
        <v>7636.3636364009681</v>
      </c>
      <c r="P335">
        <v>22000.000000103788</v>
      </c>
      <c r="Q335">
        <v>7636.363636318737</v>
      </c>
      <c r="S335">
        <v>22000.000000442033</v>
      </c>
      <c r="T335">
        <v>7636.3636363595806</v>
      </c>
      <c r="V335">
        <v>22000.000000087843</v>
      </c>
      <c r="W335">
        <v>7636.3636363071664</v>
      </c>
      <c r="Y335">
        <v>22000.00000004992</v>
      </c>
      <c r="Z335">
        <v>7636.3636363101296</v>
      </c>
      <c r="AB335">
        <v>22000.000000080647</v>
      </c>
      <c r="AC335">
        <v>7636.3636363077494</v>
      </c>
      <c r="AE335">
        <v>22000.000000077009</v>
      </c>
      <c r="AF335">
        <v>7636.3636363080268</v>
      </c>
      <c r="AH335">
        <v>22000.000000099772</v>
      </c>
      <c r="AI335">
        <v>7636.3636363060086</v>
      </c>
      <c r="AK335">
        <v>21999.999997754156</v>
      </c>
      <c r="AL335">
        <v>7636.3636349766848</v>
      </c>
      <c r="AZ335">
        <v>49999.999999999971</v>
      </c>
      <c r="BA335">
        <v>2.2728113249856659E-13</v>
      </c>
      <c r="BC335">
        <v>49999.999999999971</v>
      </c>
      <c r="BD335">
        <v>1.3399581896475059E-12</v>
      </c>
      <c r="BF335">
        <v>49999.999999999971</v>
      </c>
      <c r="BG335">
        <v>7.7434994394393598E-14</v>
      </c>
      <c r="BI335">
        <v>49999.999999999971</v>
      </c>
      <c r="BJ335">
        <v>1.6105987138868055E-12</v>
      </c>
      <c r="BL335">
        <v>49999.999999999971</v>
      </c>
      <c r="BM335">
        <v>1.441870977013751E-12</v>
      </c>
      <c r="BO335">
        <v>49999.999999999971</v>
      </c>
      <c r="BP335">
        <v>1.5974008682578594E-12</v>
      </c>
      <c r="BR335">
        <v>49999.999999999971</v>
      </c>
      <c r="BS335">
        <v>1.5874877059664853E-12</v>
      </c>
      <c r="BU335">
        <v>49999.999999999971</v>
      </c>
      <c r="BV335">
        <v>1.6160656102349817E-12</v>
      </c>
      <c r="BX335">
        <v>49999.999999999971</v>
      </c>
      <c r="BY335">
        <v>5.3858193199150565E-17</v>
      </c>
    </row>
    <row r="336" spans="13:77" x14ac:dyDescent="0.35">
      <c r="M336">
        <v>22000.000000169282</v>
      </c>
      <c r="N336">
        <v>7636.3636364176764</v>
      </c>
      <c r="P336">
        <v>22000.000000098084</v>
      </c>
      <c r="Q336">
        <v>7636.3636363276646</v>
      </c>
      <c r="S336">
        <v>22000.000000373959</v>
      </c>
      <c r="T336">
        <v>7636.3636363955102</v>
      </c>
      <c r="V336">
        <v>22000.000000087333</v>
      </c>
      <c r="W336">
        <v>7636.363636314929</v>
      </c>
      <c r="Y336">
        <v>22000.000000054639</v>
      </c>
      <c r="Z336">
        <v>7636.3636363147807</v>
      </c>
      <c r="AB336">
        <v>22000.000000081123</v>
      </c>
      <c r="AC336">
        <v>7636.3636363149217</v>
      </c>
      <c r="AE336">
        <v>22000.000000077991</v>
      </c>
      <c r="AF336">
        <v>7636.3636363148998</v>
      </c>
      <c r="AH336">
        <v>22000.000000097669</v>
      </c>
      <c r="AI336">
        <v>7636.3636363147525</v>
      </c>
      <c r="AK336">
        <v>21999.999998429212</v>
      </c>
      <c r="AL336">
        <v>7636.363634809878</v>
      </c>
      <c r="AZ336">
        <v>49999.999999999971</v>
      </c>
      <c r="BA336">
        <v>2.0349972585833785E-13</v>
      </c>
      <c r="BC336">
        <v>49999.999999999971</v>
      </c>
      <c r="BD336">
        <v>1.1997525762796077E-12</v>
      </c>
      <c r="BF336">
        <v>49999.999999999971</v>
      </c>
      <c r="BG336">
        <v>6.9332636448388019E-14</v>
      </c>
      <c r="BI336">
        <v>49999.999999999971</v>
      </c>
      <c r="BJ336">
        <v>1.4420748134287985E-12</v>
      </c>
      <c r="BL336">
        <v>49999.999999999971</v>
      </c>
      <c r="BM336">
        <v>1.2910017884887239E-12</v>
      </c>
      <c r="BO336">
        <v>49999.999999999971</v>
      </c>
      <c r="BP336">
        <v>1.4302579153964545E-12</v>
      </c>
      <c r="BR336">
        <v>49999.999999999971</v>
      </c>
      <c r="BS336">
        <v>1.4213820100957954E-12</v>
      </c>
      <c r="BU336">
        <v>49999.999999999971</v>
      </c>
      <c r="BV336">
        <v>1.4469696847976606E-12</v>
      </c>
      <c r="BX336">
        <v>49999.999999999971</v>
      </c>
      <c r="BY336">
        <v>4.8222777802823823E-17</v>
      </c>
    </row>
    <row r="337" spans="13:77" x14ac:dyDescent="0.35">
      <c r="M337">
        <v>22000.000000130211</v>
      </c>
      <c r="N337">
        <v>7636.363636430814</v>
      </c>
      <c r="P337">
        <v>22000.000000091182</v>
      </c>
      <c r="Q337">
        <v>7636.3636363360292</v>
      </c>
      <c r="S337">
        <v>22000.000000308111</v>
      </c>
      <c r="T337">
        <v>7636.3636364255117</v>
      </c>
      <c r="V337">
        <v>22000.000000085089</v>
      </c>
      <c r="W337">
        <v>7636.3636363225633</v>
      </c>
      <c r="Y337">
        <v>22000.000000057535</v>
      </c>
      <c r="Z337">
        <v>7636.3636363197629</v>
      </c>
      <c r="AB337">
        <v>22000.00000007985</v>
      </c>
      <c r="AC337">
        <v>7636.3636363220521</v>
      </c>
      <c r="AE337">
        <v>22000.000000077212</v>
      </c>
      <c r="AF337">
        <v>7636.3636363217765</v>
      </c>
      <c r="AH337">
        <v>22000.000000093853</v>
      </c>
      <c r="AI337">
        <v>7636.3636363232281</v>
      </c>
      <c r="AK337">
        <v>21999.999999037875</v>
      </c>
      <c r="AL337">
        <v>7636.3636346997382</v>
      </c>
      <c r="AZ337">
        <v>49999.999999999971</v>
      </c>
      <c r="BA337">
        <v>1.8220667051929547E-13</v>
      </c>
      <c r="BC337">
        <v>49999.999999999971</v>
      </c>
      <c r="BD337">
        <v>1.074217281860273E-12</v>
      </c>
      <c r="BF337">
        <v>49999.999999999971</v>
      </c>
      <c r="BG337">
        <v>6.2078063212623902E-14</v>
      </c>
      <c r="BI337">
        <v>49999.999999999971</v>
      </c>
      <c r="BJ337">
        <v>1.291184296619188E-12</v>
      </c>
      <c r="BL337">
        <v>49999.999999999971</v>
      </c>
      <c r="BM337">
        <v>1.1559186948425473E-12</v>
      </c>
      <c r="BO337">
        <v>49999.999999999971</v>
      </c>
      <c r="BP337">
        <v>1.280603851671374E-12</v>
      </c>
      <c r="BR337">
        <v>49999.999999999971</v>
      </c>
      <c r="BS337">
        <v>1.272656670682032E-12</v>
      </c>
      <c r="BU337">
        <v>49999.999999999971</v>
      </c>
      <c r="BV337">
        <v>1.295566996453199E-12</v>
      </c>
      <c r="BX337">
        <v>49999.999999999971</v>
      </c>
      <c r="BY337">
        <v>4.3177020261741602E-17</v>
      </c>
    </row>
    <row r="338" spans="13:77" x14ac:dyDescent="0.35">
      <c r="M338">
        <v>22000.000000094169</v>
      </c>
      <c r="N338">
        <v>7636.3636364406329</v>
      </c>
      <c r="P338">
        <v>22000.000000083401</v>
      </c>
      <c r="Q338">
        <v>7636.3636363437399</v>
      </c>
      <c r="S338">
        <v>22000.000000245531</v>
      </c>
      <c r="T338">
        <v>7636.3636364498325</v>
      </c>
      <c r="V338">
        <v>22000.000000081407</v>
      </c>
      <c r="W338">
        <v>7636.3636363299302</v>
      </c>
      <c r="Y338">
        <v>22000.000000058812</v>
      </c>
      <c r="Z338">
        <v>7636.3636363249243</v>
      </c>
      <c r="AB338">
        <v>22000.000000077107</v>
      </c>
      <c r="AC338">
        <v>7636.3636363289997</v>
      </c>
      <c r="AE338">
        <v>22000.000000074946</v>
      </c>
      <c r="AF338">
        <v>7636.3636363285132</v>
      </c>
      <c r="AH338">
        <v>22000.000000088647</v>
      </c>
      <c r="AI338">
        <v>7636.3636363312989</v>
      </c>
      <c r="AK338">
        <v>21999.999999577252</v>
      </c>
      <c r="AL338">
        <v>7636.3636346402409</v>
      </c>
      <c r="AZ338">
        <v>49999.999999999971</v>
      </c>
      <c r="BA338">
        <v>1.6314159953629659E-13</v>
      </c>
      <c r="BC338">
        <v>49999.999999999971</v>
      </c>
      <c r="BD338">
        <v>9.6181728754908021E-13</v>
      </c>
      <c r="BF338">
        <v>49999.999999999971</v>
      </c>
      <c r="BG338">
        <v>5.5582567310840044E-14</v>
      </c>
      <c r="BI338">
        <v>49999.999999999971</v>
      </c>
      <c r="BJ338">
        <v>1.1560821063589724E-12</v>
      </c>
      <c r="BL338">
        <v>49999.999999999971</v>
      </c>
      <c r="BM338">
        <v>1.0349699287795901E-12</v>
      </c>
      <c r="BO338">
        <v>49999.999999999971</v>
      </c>
      <c r="BP338">
        <v>1.1466087390685618E-12</v>
      </c>
      <c r="BR338">
        <v>49999.999999999971</v>
      </c>
      <c r="BS338">
        <v>1.1394931059541945E-12</v>
      </c>
      <c r="BU338">
        <v>49999.999999999971</v>
      </c>
      <c r="BV338">
        <v>1.1600062253781622E-12</v>
      </c>
      <c r="BX338">
        <v>49999.999999999971</v>
      </c>
      <c r="BY338">
        <v>3.8659222127466872E-17</v>
      </c>
    </row>
    <row r="339" spans="13:77" x14ac:dyDescent="0.35">
      <c r="M339">
        <v>22000.000000061456</v>
      </c>
      <c r="N339">
        <v>7636.363636447416</v>
      </c>
      <c r="P339">
        <v>22000.00000007503</v>
      </c>
      <c r="Q339">
        <v>7636.363636350733</v>
      </c>
      <c r="S339">
        <v>22000.000000187032</v>
      </c>
      <c r="T339">
        <v>7636.3636364688009</v>
      </c>
      <c r="V339">
        <v>22000.000000076579</v>
      </c>
      <c r="W339">
        <v>7636.363636336916</v>
      </c>
      <c r="Y339">
        <v>22000.000000058681</v>
      </c>
      <c r="Z339">
        <v>7636.3636363301312</v>
      </c>
      <c r="AB339">
        <v>22000.000000073167</v>
      </c>
      <c r="AC339">
        <v>7636.3636363356463</v>
      </c>
      <c r="AE339">
        <v>22000.000000071457</v>
      </c>
      <c r="AF339">
        <v>7636.3636363349897</v>
      </c>
      <c r="AH339">
        <v>22000.000000082367</v>
      </c>
      <c r="AI339">
        <v>7636.3636363388568</v>
      </c>
      <c r="AK339">
        <v>22000.000000046322</v>
      </c>
      <c r="AL339">
        <v>7636.363634625196</v>
      </c>
      <c r="AZ339">
        <v>49999.999999999971</v>
      </c>
      <c r="BA339">
        <v>1.4607138928233067E-13</v>
      </c>
      <c r="BC339">
        <v>49999.999999999971</v>
      </c>
      <c r="BD339">
        <v>8.6117819015743579E-13</v>
      </c>
      <c r="BF339">
        <v>49999.999999999971</v>
      </c>
      <c r="BG339">
        <v>4.9766723202727334E-14</v>
      </c>
      <c r="BI339">
        <v>49999.999999999971</v>
      </c>
      <c r="BJ339">
        <v>1.0351162418431914E-12</v>
      </c>
      <c r="BL339">
        <v>49999.999999999971</v>
      </c>
      <c r="BM339">
        <v>9.2667655455121566E-13</v>
      </c>
      <c r="BO339">
        <v>49999.999999999971</v>
      </c>
      <c r="BP339">
        <v>1.0266341138928387E-12</v>
      </c>
      <c r="BR339">
        <v>49999.999999999971</v>
      </c>
      <c r="BS339">
        <v>1.0202630202073944E-12</v>
      </c>
      <c r="BU339">
        <v>49999.999999999971</v>
      </c>
      <c r="BV339">
        <v>1.0386297633390667E-12</v>
      </c>
      <c r="BX339">
        <v>49999.999999999971</v>
      </c>
      <c r="BY339">
        <v>3.4614140726730643E-17</v>
      </c>
    </row>
    <row r="340" spans="13:77" x14ac:dyDescent="0.35">
      <c r="M340">
        <v>22000.000000032265</v>
      </c>
      <c r="N340">
        <v>7636.3636364514678</v>
      </c>
      <c r="P340">
        <v>22000.000000066331</v>
      </c>
      <c r="Q340">
        <v>7636.3636363569685</v>
      </c>
      <c r="S340">
        <v>22000.00000013323</v>
      </c>
      <c r="T340">
        <v>7636.363636482808</v>
      </c>
      <c r="V340">
        <v>22000.000000070871</v>
      </c>
      <c r="W340">
        <v>7636.3636363434316</v>
      </c>
      <c r="Y340">
        <v>22000.000000057353</v>
      </c>
      <c r="Z340">
        <v>7636.3636363352698</v>
      </c>
      <c r="AB340">
        <v>22000.000000068289</v>
      </c>
      <c r="AC340">
        <v>7636.3636363418991</v>
      </c>
      <c r="AE340">
        <v>22000.000000067001</v>
      </c>
      <c r="AF340">
        <v>7636.3636363411106</v>
      </c>
      <c r="AH340">
        <v>22000.000000075303</v>
      </c>
      <c r="AI340">
        <v>7636.3636363458209</v>
      </c>
      <c r="AK340">
        <v>22000.000000445667</v>
      </c>
      <c r="AL340">
        <v>7636.3636346483981</v>
      </c>
      <c r="AZ340">
        <v>49999.999999999971</v>
      </c>
      <c r="BA340">
        <v>1.3078730886246491E-13</v>
      </c>
      <c r="BC340">
        <v>49999.999999999971</v>
      </c>
      <c r="BD340">
        <v>7.7106939623914006E-13</v>
      </c>
      <c r="BF340">
        <v>49999.999999999971</v>
      </c>
      <c r="BG340">
        <v>4.4559415985339947E-14</v>
      </c>
      <c r="BI340">
        <v>49999.999999999971</v>
      </c>
      <c r="BJ340">
        <v>9.2680755824696927E-13</v>
      </c>
      <c r="BL340">
        <v>49999.999999999971</v>
      </c>
      <c r="BM340">
        <v>8.2971438384446967E-13</v>
      </c>
      <c r="BO340">
        <v>49999.999999999971</v>
      </c>
      <c r="BP340">
        <v>9.1921295198283954E-13</v>
      </c>
      <c r="BR340">
        <v>49999.999999999971</v>
      </c>
      <c r="BS340">
        <v>9.1350849334981195E-13</v>
      </c>
      <c r="BU340">
        <v>49999.999999999971</v>
      </c>
      <c r="BV340">
        <v>9.2995344481198142E-13</v>
      </c>
      <c r="BX340">
        <v>49999.999999999971</v>
      </c>
      <c r="BY340">
        <v>3.0992313665790265E-17</v>
      </c>
    </row>
    <row r="341" spans="13:77" x14ac:dyDescent="0.35">
      <c r="M341">
        <v>22000.000000006687</v>
      </c>
      <c r="N341">
        <v>7636.3636364531048</v>
      </c>
      <c r="P341">
        <v>22000.000000057535</v>
      </c>
      <c r="Q341">
        <v>7636.3636363624273</v>
      </c>
      <c r="S341">
        <v>22000.000000084554</v>
      </c>
      <c r="T341">
        <v>7636.3636364922904</v>
      </c>
      <c r="V341">
        <v>22000.00000006453</v>
      </c>
      <c r="W341">
        <v>7636.3636363494106</v>
      </c>
      <c r="Y341">
        <v>22000.000000055032</v>
      </c>
      <c r="Z341">
        <v>7636.3636363402429</v>
      </c>
      <c r="AB341">
        <v>22000.000000062708</v>
      </c>
      <c r="AC341">
        <v>7636.3636363476853</v>
      </c>
      <c r="AE341">
        <v>22000.000000061806</v>
      </c>
      <c r="AF341">
        <v>7636.3636363468013</v>
      </c>
      <c r="AH341">
        <v>22000.00000006771</v>
      </c>
      <c r="AI341">
        <v>7636.3636363521327</v>
      </c>
      <c r="AK341">
        <v>22000.000000777229</v>
      </c>
      <c r="AL341">
        <v>7636.3636347037591</v>
      </c>
      <c r="AZ341">
        <v>49999.999999999971</v>
      </c>
      <c r="BA341">
        <v>1.1710246779692205E-13</v>
      </c>
      <c r="BC341">
        <v>49999.999999999971</v>
      </c>
      <c r="BD341">
        <v>6.9038907465585028E-13</v>
      </c>
      <c r="BF341">
        <v>49999.999999999971</v>
      </c>
      <c r="BG341">
        <v>3.9896971815209985E-14</v>
      </c>
      <c r="BI341">
        <v>49999.999999999971</v>
      </c>
      <c r="BJ341">
        <v>8.2983168005766264E-13</v>
      </c>
      <c r="BL341">
        <v>49999.999999999971</v>
      </c>
      <c r="BM341">
        <v>7.4289778388944875E-13</v>
      </c>
      <c r="BO341">
        <v>49999.999999999971</v>
      </c>
      <c r="BP341">
        <v>8.230317302520528E-13</v>
      </c>
      <c r="BR341">
        <v>49999.999999999971</v>
      </c>
      <c r="BS341">
        <v>8.1792415376635981E-13</v>
      </c>
      <c r="BU341">
        <v>49999.999999999971</v>
      </c>
      <c r="BV341">
        <v>8.3264839892263681E-13</v>
      </c>
      <c r="BX341">
        <v>49999.999999999971</v>
      </c>
      <c r="BY341">
        <v>2.7749454014814508E-17</v>
      </c>
    </row>
    <row r="342" spans="13:77" x14ac:dyDescent="0.35">
      <c r="M342">
        <v>21999.999999984717</v>
      </c>
      <c r="N342">
        <v>7636.3636364526474</v>
      </c>
      <c r="P342">
        <v>22000.000000048833</v>
      </c>
      <c r="Q342">
        <v>7636.3636363671112</v>
      </c>
      <c r="S342">
        <v>22000.000000041262</v>
      </c>
      <c r="T342">
        <v>7636.3636364977156</v>
      </c>
      <c r="V342">
        <v>22000.000000057782</v>
      </c>
      <c r="W342">
        <v>7636.3636363548076</v>
      </c>
      <c r="Y342">
        <v>22000.00000005191</v>
      </c>
      <c r="Z342">
        <v>7636.3636363449723</v>
      </c>
      <c r="AB342">
        <v>22000.000000056647</v>
      </c>
      <c r="AC342">
        <v>7636.363636352954</v>
      </c>
      <c r="AE342">
        <v>22000.000000056094</v>
      </c>
      <c r="AF342">
        <v>7636.3636363520063</v>
      </c>
      <c r="AH342">
        <v>22000.000000059827</v>
      </c>
      <c r="AI342">
        <v>7636.363636357758</v>
      </c>
      <c r="AK342">
        <v>22000.000001044071</v>
      </c>
      <c r="AL342">
        <v>7636.3636347854172</v>
      </c>
      <c r="AZ342">
        <v>49999.999999999971</v>
      </c>
      <c r="BA342">
        <v>1.0484953076410232E-13</v>
      </c>
      <c r="BC342">
        <v>49999.999999999971</v>
      </c>
      <c r="BD342">
        <v>6.1815068362061748E-13</v>
      </c>
      <c r="BF342">
        <v>49999.999999999971</v>
      </c>
      <c r="BG342">
        <v>3.5722379318152462E-14</v>
      </c>
      <c r="BI342">
        <v>49999.999999999971</v>
      </c>
      <c r="BJ342">
        <v>7.4300280689319116E-13</v>
      </c>
      <c r="BL342">
        <v>49999.999999999971</v>
      </c>
      <c r="BM342">
        <v>6.6516517979433683E-13</v>
      </c>
      <c r="BO342">
        <v>49999.999999999971</v>
      </c>
      <c r="BP342">
        <v>7.3691436520830659E-13</v>
      </c>
      <c r="BR342">
        <v>49999.999999999971</v>
      </c>
      <c r="BS342">
        <v>7.3234121651262425E-13</v>
      </c>
      <c r="BU342">
        <v>49999.999999999971</v>
      </c>
      <c r="BV342">
        <v>7.4552480029643094E-13</v>
      </c>
      <c r="BX342">
        <v>49999.999999999971</v>
      </c>
      <c r="BY342">
        <v>2.4845908776738955E-17</v>
      </c>
    </row>
    <row r="343" spans="13:77" x14ac:dyDescent="0.35">
      <c r="M343">
        <v>21999.999999966287</v>
      </c>
      <c r="N343">
        <v>7636.3636364504109</v>
      </c>
      <c r="P343">
        <v>22000.000000040396</v>
      </c>
      <c r="Q343">
        <v>7636.3636363710366</v>
      </c>
      <c r="S343">
        <v>22000.00000000346</v>
      </c>
      <c r="T343">
        <v>7636.3636364995655</v>
      </c>
      <c r="V343">
        <v>22000.000000050826</v>
      </c>
      <c r="W343">
        <v>7636.363636359597</v>
      </c>
      <c r="Y343">
        <v>22000.00000004817</v>
      </c>
      <c r="Z343">
        <v>7636.3636363493952</v>
      </c>
      <c r="AB343">
        <v>22000.000000050299</v>
      </c>
      <c r="AC343">
        <v>7636.3636363576716</v>
      </c>
      <c r="AE343">
        <v>22000.000000050055</v>
      </c>
      <c r="AF343">
        <v>7636.3636363566902</v>
      </c>
      <c r="AH343">
        <v>22000.000000051859</v>
      </c>
      <c r="AI343">
        <v>7636.3636363626802</v>
      </c>
      <c r="AK343">
        <v>22000.000001250148</v>
      </c>
      <c r="AL343">
        <v>7636.3636348878244</v>
      </c>
      <c r="AZ343">
        <v>49999.999999999971</v>
      </c>
      <c r="BA343">
        <v>9.3878671459914294E-14</v>
      </c>
      <c r="BC343">
        <v>49999.999999999971</v>
      </c>
      <c r="BD343">
        <v>5.5347090747505467E-13</v>
      </c>
      <c r="BF343">
        <v>49999.999999999971</v>
      </c>
      <c r="BG343">
        <v>3.1984592466325512E-14</v>
      </c>
      <c r="BI343">
        <v>49999.999999999971</v>
      </c>
      <c r="BJ343">
        <v>6.6525921378754801E-13</v>
      </c>
      <c r="BL343">
        <v>49999.999999999971</v>
      </c>
      <c r="BM343">
        <v>5.9556607383374967E-13</v>
      </c>
      <c r="BO343">
        <v>49999.999999999971</v>
      </c>
      <c r="BP343">
        <v>6.5980783205533894E-13</v>
      </c>
      <c r="BR343">
        <v>49999.999999999971</v>
      </c>
      <c r="BS343">
        <v>6.5571319166152341E-13</v>
      </c>
      <c r="BU343">
        <v>49999.999999999971</v>
      </c>
      <c r="BV343">
        <v>6.6751732012718911E-13</v>
      </c>
      <c r="BX343">
        <v>49999.999999999971</v>
      </c>
      <c r="BY343">
        <v>2.2246174018864217E-17</v>
      </c>
    </row>
    <row r="344" spans="13:77" x14ac:dyDescent="0.35">
      <c r="M344">
        <v>21999.999999951258</v>
      </c>
      <c r="N344">
        <v>7636.3636364467038</v>
      </c>
      <c r="P344">
        <v>22000.000000032356</v>
      </c>
      <c r="Q344">
        <v>7636.3636363742326</v>
      </c>
      <c r="S344">
        <v>21999.999999971129</v>
      </c>
      <c r="T344">
        <v>7636.3636364983258</v>
      </c>
      <c r="V344">
        <v>22000.000000043834</v>
      </c>
      <c r="W344">
        <v>7636.3636363637679</v>
      </c>
      <c r="Y344">
        <v>22000.00000004398</v>
      </c>
      <c r="Z344">
        <v>7636.3636363534652</v>
      </c>
      <c r="AB344">
        <v>22000.000000043841</v>
      </c>
      <c r="AC344">
        <v>7636.3636363618216</v>
      </c>
      <c r="AE344">
        <v>22000.000000043863</v>
      </c>
      <c r="AF344">
        <v>7636.3636363608312</v>
      </c>
      <c r="AH344">
        <v>22000.000000043987</v>
      </c>
      <c r="AI344">
        <v>7636.3636363669011</v>
      </c>
      <c r="AK344">
        <v>22000.000001400098</v>
      </c>
      <c r="AL344">
        <v>7636.3636350058159</v>
      </c>
      <c r="AZ344">
        <v>49999.999999999971</v>
      </c>
      <c r="BA344">
        <v>8.4055740553642356E-14</v>
      </c>
      <c r="BC344">
        <v>49999.999999999971</v>
      </c>
      <c r="BD344">
        <v>4.9555885569361745E-13</v>
      </c>
      <c r="BF344">
        <v>49999.999999999971</v>
      </c>
      <c r="BG344">
        <v>2.8637906398275054E-14</v>
      </c>
      <c r="BI344">
        <v>49999.999999999971</v>
      </c>
      <c r="BJ344">
        <v>5.9565026864406882E-13</v>
      </c>
      <c r="BL344">
        <v>49999.999999999971</v>
      </c>
      <c r="BM344">
        <v>5.3324942296501023E-13</v>
      </c>
      <c r="BO344">
        <v>49999.999999999971</v>
      </c>
      <c r="BP344">
        <v>5.9076928852988935E-13</v>
      </c>
      <c r="BR344">
        <v>49999.999999999971</v>
      </c>
      <c r="BS344">
        <v>5.8710308804738693E-13</v>
      </c>
      <c r="BU344">
        <v>49999.999999999971</v>
      </c>
      <c r="BV344">
        <v>5.9767209956344283E-13</v>
      </c>
      <c r="BX344">
        <v>49999.999999999971</v>
      </c>
      <c r="BY344">
        <v>1.9918460738329423E-17</v>
      </c>
    </row>
    <row r="345" spans="13:77" x14ac:dyDescent="0.35">
      <c r="M345">
        <v>21999.999999939442</v>
      </c>
      <c r="N345">
        <v>7636.363636441818</v>
      </c>
      <c r="P345">
        <v>22000.000000024826</v>
      </c>
      <c r="Q345">
        <v>7636.3636363767409</v>
      </c>
      <c r="S345">
        <v>21999.999999944135</v>
      </c>
      <c r="T345">
        <v>7636.3636364944759</v>
      </c>
      <c r="V345">
        <v>22000.000000036958</v>
      </c>
      <c r="W345">
        <v>7636.3636363673249</v>
      </c>
      <c r="Y345">
        <v>22000.00000003949</v>
      </c>
      <c r="Z345">
        <v>7636.3636363571495</v>
      </c>
      <c r="AB345">
        <v>22000.00000003742</v>
      </c>
      <c r="AC345">
        <v>7636.3636363654005</v>
      </c>
      <c r="AE345">
        <v>22000.000000037671</v>
      </c>
      <c r="AF345">
        <v>7636.3636363644227</v>
      </c>
      <c r="AH345">
        <v>22000.000000036354</v>
      </c>
      <c r="AI345">
        <v>7636.3636363704354</v>
      </c>
      <c r="AK345">
        <v>22000.000001499036</v>
      </c>
      <c r="AL345">
        <v>7636.3636351346604</v>
      </c>
      <c r="AZ345">
        <v>49999.999999999971</v>
      </c>
      <c r="BA345">
        <v>7.5260625338505257E-14</v>
      </c>
      <c r="BC345">
        <v>49999.999999999971</v>
      </c>
      <c r="BD345">
        <v>4.4370639204272171E-13</v>
      </c>
      <c r="BF345">
        <v>49999.999999999971</v>
      </c>
      <c r="BG345">
        <v>2.5641398549624298E-14</v>
      </c>
      <c r="BI345">
        <v>49999.999999999971</v>
      </c>
      <c r="BJ345">
        <v>5.3332480810864388E-13</v>
      </c>
      <c r="BL345">
        <v>49999.999999999971</v>
      </c>
      <c r="BM345">
        <v>4.7745323245509966E-13</v>
      </c>
      <c r="BO345">
        <v>49999.999999999971</v>
      </c>
      <c r="BP345">
        <v>5.2895454602733463E-13</v>
      </c>
      <c r="BR345">
        <v>49999.999999999971</v>
      </c>
      <c r="BS345">
        <v>5.25671955937567E-13</v>
      </c>
      <c r="BU345">
        <v>49999.999999999971</v>
      </c>
      <c r="BV345">
        <v>5.3513508612557133E-13</v>
      </c>
      <c r="BX345">
        <v>49999.999999999971</v>
      </c>
      <c r="BY345">
        <v>1.7834306152956482E-17</v>
      </c>
    </row>
    <row r="346" spans="13:77" x14ac:dyDescent="0.35">
      <c r="M346">
        <v>21999.999999930613</v>
      </c>
      <c r="N346">
        <v>7636.3636364360273</v>
      </c>
      <c r="P346">
        <v>22000.000000017884</v>
      </c>
      <c r="Q346">
        <v>7636.36363637861</v>
      </c>
      <c r="S346">
        <v>21999.999999922256</v>
      </c>
      <c r="T346">
        <v>7636.3636364884778</v>
      </c>
      <c r="V346">
        <v>22000.000000030326</v>
      </c>
      <c r="W346">
        <v>7636.3636363702844</v>
      </c>
      <c r="Y346">
        <v>22000.000000034841</v>
      </c>
      <c r="Z346">
        <v>7636.3636363604273</v>
      </c>
      <c r="AB346">
        <v>22000.000000031163</v>
      </c>
      <c r="AC346">
        <v>7636.3636363684182</v>
      </c>
      <c r="AE346">
        <v>22000.000000031607</v>
      </c>
      <c r="AF346">
        <v>7636.3636363674723</v>
      </c>
      <c r="AH346">
        <v>22000.000000029089</v>
      </c>
      <c r="AI346">
        <v>7636.3636363733103</v>
      </c>
      <c r="AK346">
        <v>22000.000001552395</v>
      </c>
      <c r="AL346">
        <v>7636.363635270096</v>
      </c>
      <c r="AZ346">
        <v>49999.999999999971</v>
      </c>
      <c r="BA346">
        <v>6.7385781019062312E-14</v>
      </c>
      <c r="BC346">
        <v>49999.999999999971</v>
      </c>
      <c r="BD346">
        <v>3.9727947564171661E-13</v>
      </c>
      <c r="BF346">
        <v>49999.999999999971</v>
      </c>
      <c r="BG346">
        <v>2.2958428260673311E-14</v>
      </c>
      <c r="BI346">
        <v>49999.999999999971</v>
      </c>
      <c r="BJ346">
        <v>4.7752072972552682E-13</v>
      </c>
      <c r="BL346">
        <v>49999.999999999971</v>
      </c>
      <c r="BM346">
        <v>4.2749523837137169E-13</v>
      </c>
      <c r="BO346">
        <v>49999.999999999971</v>
      </c>
      <c r="BP346">
        <v>4.7360774704324841E-13</v>
      </c>
      <c r="BR346">
        <v>49999.999999999971</v>
      </c>
      <c r="BS346">
        <v>4.7066862853380844E-13</v>
      </c>
      <c r="BU346">
        <v>49999.999999999971</v>
      </c>
      <c r="BV346">
        <v>4.7914159053399905E-13</v>
      </c>
      <c r="BX346">
        <v>49999.999999999971</v>
      </c>
      <c r="BY346">
        <v>1.5968225664412338E-17</v>
      </c>
    </row>
    <row r="347" spans="13:77" x14ac:dyDescent="0.35">
      <c r="M347">
        <v>21999.999999924516</v>
      </c>
      <c r="N347">
        <v>7636.3636364295844</v>
      </c>
      <c r="P347">
        <v>22000.000000011591</v>
      </c>
      <c r="Q347">
        <v>7636.3636363798942</v>
      </c>
      <c r="S347">
        <v>21999.999999905198</v>
      </c>
      <c r="T347">
        <v>7636.3636364807708</v>
      </c>
      <c r="V347">
        <v>22000.000000024036</v>
      </c>
      <c r="W347">
        <v>7636.3636363726719</v>
      </c>
      <c r="Y347">
        <v>22000.000000030152</v>
      </c>
      <c r="Z347">
        <v>7636.3636363632913</v>
      </c>
      <c r="AB347">
        <v>22000.000000025178</v>
      </c>
      <c r="AC347">
        <v>7636.3636363708947</v>
      </c>
      <c r="AE347">
        <v>22000.000000025775</v>
      </c>
      <c r="AF347">
        <v>7636.3636363699952</v>
      </c>
      <c r="AH347">
        <v>22000.000000022286</v>
      </c>
      <c r="AI347">
        <v>7636.3636363755631</v>
      </c>
      <c r="AK347">
        <v>22000.000001565746</v>
      </c>
      <c r="AL347">
        <v>7636.3636354083492</v>
      </c>
      <c r="AZ347">
        <v>49999.999999999971</v>
      </c>
      <c r="BA347">
        <v>6.033491567636241E-14</v>
      </c>
      <c r="BC347">
        <v>49999.999999999971</v>
      </c>
      <c r="BD347">
        <v>3.5571040804605027E-13</v>
      </c>
      <c r="BF347">
        <v>49999.999999999971</v>
      </c>
      <c r="BG347">
        <v>2.0556188742216871E-14</v>
      </c>
      <c r="BI347">
        <v>49999.999999999971</v>
      </c>
      <c r="BJ347">
        <v>4.275556731108378E-13</v>
      </c>
      <c r="BL347">
        <v>49999.999999999971</v>
      </c>
      <c r="BM347">
        <v>3.8276456500350987E-13</v>
      </c>
      <c r="BO347">
        <v>49999.999999999971</v>
      </c>
      <c r="BP347">
        <v>4.2405212270883906E-13</v>
      </c>
      <c r="BR347">
        <v>49999.999999999971</v>
      </c>
      <c r="BS347">
        <v>4.2142053686464248E-13</v>
      </c>
      <c r="BU347">
        <v>49999.999999999971</v>
      </c>
      <c r="BV347">
        <v>4.2900693625156817E-13</v>
      </c>
      <c r="BX347">
        <v>49999.999999999971</v>
      </c>
      <c r="BY347">
        <v>1.4297401237968927E-17</v>
      </c>
    </row>
    <row r="348" spans="13:77" x14ac:dyDescent="0.35">
      <c r="M348">
        <v>21999.999999920878</v>
      </c>
      <c r="N348">
        <v>7636.3636364227186</v>
      </c>
      <c r="P348">
        <v>22000.000000005977</v>
      </c>
      <c r="Q348">
        <v>7636.3636363806536</v>
      </c>
      <c r="S348">
        <v>21999.999999892607</v>
      </c>
      <c r="T348">
        <v>7636.3636364717649</v>
      </c>
      <c r="V348">
        <v>22000.000000018172</v>
      </c>
      <c r="W348">
        <v>7636.3636363745218</v>
      </c>
      <c r="Y348">
        <v>22000.000000025524</v>
      </c>
      <c r="Z348">
        <v>7636.3636363657424</v>
      </c>
      <c r="AB348">
        <v>22000.00000001955</v>
      </c>
      <c r="AC348">
        <v>7636.3636363728574</v>
      </c>
      <c r="AE348">
        <v>22000.000000020264</v>
      </c>
      <c r="AF348">
        <v>7636.3636363720161</v>
      </c>
      <c r="AH348">
        <v>22000.000000016018</v>
      </c>
      <c r="AI348">
        <v>7636.3636363772393</v>
      </c>
      <c r="AK348">
        <v>22000.000001544679</v>
      </c>
      <c r="AL348">
        <v>7636.3636355461394</v>
      </c>
      <c r="AZ348">
        <v>49999.999999999971</v>
      </c>
      <c r="BA348">
        <v>5.4021812830869789E-14</v>
      </c>
      <c r="BC348">
        <v>49999.999999999971</v>
      </c>
      <c r="BD348">
        <v>3.1849089155161288E-13</v>
      </c>
      <c r="BF348">
        <v>49999.999999999971</v>
      </c>
      <c r="BG348">
        <v>1.8405305921114093E-14</v>
      </c>
      <c r="BI348">
        <v>49999.999999999971</v>
      </c>
      <c r="BJ348">
        <v>3.8281867619513616E-13</v>
      </c>
      <c r="BL348">
        <v>49999.999999999971</v>
      </c>
      <c r="BM348">
        <v>3.4271425520546213E-13</v>
      </c>
      <c r="BO348">
        <v>49999.999999999971</v>
      </c>
      <c r="BP348">
        <v>3.7968171740537781E-13</v>
      </c>
      <c r="BR348">
        <v>49999.999999999971</v>
      </c>
      <c r="BS348">
        <v>3.7732548575526464E-13</v>
      </c>
      <c r="BU348">
        <v>49999.999999999971</v>
      </c>
      <c r="BV348">
        <v>3.8411808740468217E-13</v>
      </c>
      <c r="BX348">
        <v>49999.999999999971</v>
      </c>
      <c r="BY348">
        <v>1.280140238843489E-17</v>
      </c>
    </row>
    <row r="349" spans="13:77" x14ac:dyDescent="0.35">
      <c r="M349">
        <v>21999.999999919415</v>
      </c>
      <c r="N349">
        <v>7636.3636364156346</v>
      </c>
      <c r="P349">
        <v>22000.000000001062</v>
      </c>
      <c r="Q349">
        <v>7636.3636363809483</v>
      </c>
      <c r="S349">
        <v>21999.999999884087</v>
      </c>
      <c r="T349">
        <v>7636.3636364618369</v>
      </c>
      <c r="V349">
        <v>22000.000000012787</v>
      </c>
      <c r="W349">
        <v>7636.3636363758751</v>
      </c>
      <c r="Y349">
        <v>22000.000000021046</v>
      </c>
      <c r="Z349">
        <v>7636.3636363677915</v>
      </c>
      <c r="AB349">
        <v>22000.000000014341</v>
      </c>
      <c r="AC349">
        <v>7636.3636363743417</v>
      </c>
      <c r="AE349">
        <v>22000.000000015141</v>
      </c>
      <c r="AF349">
        <v>7636.3636363735668</v>
      </c>
      <c r="AH349">
        <v>22000.000000010335</v>
      </c>
      <c r="AI349">
        <v>7636.363636378388</v>
      </c>
      <c r="AK349">
        <v>22000.000001494675</v>
      </c>
      <c r="AL349">
        <v>7636.3636356806792</v>
      </c>
      <c r="AZ349">
        <v>49999.999999999971</v>
      </c>
      <c r="BA349">
        <v>4.8369277205716904E-14</v>
      </c>
      <c r="BC349">
        <v>49999.999999999971</v>
      </c>
      <c r="BD349">
        <v>2.8516581383868099E-13</v>
      </c>
      <c r="BF349">
        <v>49999.999999999971</v>
      </c>
      <c r="BG349">
        <v>1.6479479260378914E-14</v>
      </c>
      <c r="BI349">
        <v>49999.999999999971</v>
      </c>
      <c r="BJ349">
        <v>3.4276270450937379E-13</v>
      </c>
      <c r="BL349">
        <v>49999.999999999971</v>
      </c>
      <c r="BM349">
        <v>3.068545823199637E-13</v>
      </c>
      <c r="BO349">
        <v>49999.999999999971</v>
      </c>
      <c r="BP349">
        <v>3.3995397926796489E-13</v>
      </c>
      <c r="BR349">
        <v>49999.999999999971</v>
      </c>
      <c r="BS349">
        <v>3.378442903132084E-13</v>
      </c>
      <c r="BU349">
        <v>49999.999999999971</v>
      </c>
      <c r="BV349">
        <v>3.4392615271122368E-13</v>
      </c>
      <c r="BX349">
        <v>49999.999999999971</v>
      </c>
      <c r="BY349">
        <v>1.1461936360534465E-17</v>
      </c>
    </row>
    <row r="350" spans="13:77" x14ac:dyDescent="0.35">
      <c r="M350">
        <v>21999.999999919837</v>
      </c>
      <c r="N350">
        <v>7636.3636364085114</v>
      </c>
      <c r="P350">
        <v>21999.999999996846</v>
      </c>
      <c r="Q350">
        <v>7636.3636363808409</v>
      </c>
      <c r="S350">
        <v>21999.999999879219</v>
      </c>
      <c r="T350">
        <v>7636.3636364513286</v>
      </c>
      <c r="V350">
        <v>22000.000000007927</v>
      </c>
      <c r="W350">
        <v>7636.3636363767764</v>
      </c>
      <c r="Y350">
        <v>22000.000000016789</v>
      </c>
      <c r="Z350">
        <v>7636.3636363694532</v>
      </c>
      <c r="AB350">
        <v>22000.000000009597</v>
      </c>
      <c r="AC350">
        <v>7636.3636363753858</v>
      </c>
      <c r="AE350">
        <v>22000.000000010456</v>
      </c>
      <c r="AF350">
        <v>7636.3636363746846</v>
      </c>
      <c r="AH350">
        <v>22000.000000005271</v>
      </c>
      <c r="AI350">
        <v>7636.363636379062</v>
      </c>
      <c r="AK350">
        <v>22000.000001421013</v>
      </c>
      <c r="AL350">
        <v>7636.3636358096546</v>
      </c>
      <c r="AZ350">
        <v>49999.999999999971</v>
      </c>
      <c r="BA350">
        <v>4.3308190799301913E-14</v>
      </c>
      <c r="BC350">
        <v>49999.999999999971</v>
      </c>
      <c r="BD350">
        <v>2.5532768295541374E-13</v>
      </c>
      <c r="BF350">
        <v>49999.999999999971</v>
      </c>
      <c r="BG350">
        <v>1.4755160161815998E-14</v>
      </c>
      <c r="BI350">
        <v>49999.999999999971</v>
      </c>
      <c r="BJ350">
        <v>3.0689796216392902E-13</v>
      </c>
      <c r="BL350">
        <v>49999.999999999971</v>
      </c>
      <c r="BM350">
        <v>2.7474706190528686E-13</v>
      </c>
      <c r="BO350">
        <v>49999.999999999971</v>
      </c>
      <c r="BP350">
        <v>3.0438312597689222E-13</v>
      </c>
      <c r="BR350">
        <v>49999.999999999971</v>
      </c>
      <c r="BS350">
        <v>3.0249418289032949E-13</v>
      </c>
      <c r="BU350">
        <v>49999.999999999971</v>
      </c>
      <c r="BV350">
        <v>3.0793967375487387E-13</v>
      </c>
      <c r="BX350">
        <v>49999.999999999971</v>
      </c>
      <c r="BY350">
        <v>1.0262624448992433E-17</v>
      </c>
    </row>
    <row r="351" spans="13:77" x14ac:dyDescent="0.35">
      <c r="M351">
        <v>21999.99999992186</v>
      </c>
      <c r="N351">
        <v>7636.3636364015019</v>
      </c>
      <c r="P351">
        <v>21999.999999993313</v>
      </c>
      <c r="Q351">
        <v>7636.3636363803926</v>
      </c>
      <c r="S351">
        <v>21999.999999877571</v>
      </c>
      <c r="T351">
        <v>7636.3636364405429</v>
      </c>
      <c r="V351">
        <v>22000.000000003616</v>
      </c>
      <c r="W351">
        <v>7636.363636377273</v>
      </c>
      <c r="Y351">
        <v>22000.000000012806</v>
      </c>
      <c r="Z351">
        <v>7636.363636370751</v>
      </c>
      <c r="AB351">
        <v>22000.000000005351</v>
      </c>
      <c r="AC351">
        <v>7636.3636363760334</v>
      </c>
      <c r="AE351">
        <v>22000.000000006239</v>
      </c>
      <c r="AF351">
        <v>7636.3636363754094</v>
      </c>
      <c r="AH351">
        <v>22000.00000000084</v>
      </c>
      <c r="AI351">
        <v>7636.3636363793175</v>
      </c>
      <c r="AK351">
        <v>22000.000001328688</v>
      </c>
      <c r="AL351">
        <v>7636.3636359312077</v>
      </c>
      <c r="AZ351">
        <v>49999.999999999971</v>
      </c>
      <c r="BA351">
        <v>3.8776667725087617E-14</v>
      </c>
      <c r="BC351">
        <v>49999.999999999971</v>
      </c>
      <c r="BD351">
        <v>2.2861164459306356E-13</v>
      </c>
      <c r="BF351">
        <v>49999.999999999971</v>
      </c>
      <c r="BG351">
        <v>1.3211264018777981E-14</v>
      </c>
      <c r="BI351">
        <v>49999.999999999971</v>
      </c>
      <c r="BJ351">
        <v>2.7478590272879769E-13</v>
      </c>
      <c r="BL351">
        <v>49999.999999999971</v>
      </c>
      <c r="BM351">
        <v>2.4599909004088704E-13</v>
      </c>
      <c r="BO351">
        <v>49999.999999999971</v>
      </c>
      <c r="BP351">
        <v>2.7253420471491243E-13</v>
      </c>
      <c r="BR351">
        <v>49999.999999999971</v>
      </c>
      <c r="BS351">
        <v>2.708429099028367E-13</v>
      </c>
      <c r="BU351">
        <v>49999.999999999971</v>
      </c>
      <c r="BV351">
        <v>2.7571861553628101E-13</v>
      </c>
      <c r="BX351">
        <v>49999.999999999971</v>
      </c>
      <c r="BY351">
        <v>9.1888017232147814E-18</v>
      </c>
    </row>
    <row r="352" spans="13:77" x14ac:dyDescent="0.35">
      <c r="M352">
        <v>21999.999999925207</v>
      </c>
      <c r="N352">
        <v>7636.3636363947344</v>
      </c>
      <c r="P352">
        <v>21999.999999990439</v>
      </c>
      <c r="Q352">
        <v>7636.3636363796622</v>
      </c>
      <c r="S352">
        <v>21999.999999878703</v>
      </c>
      <c r="T352">
        <v>7636.3636364297445</v>
      </c>
      <c r="V352">
        <v>21999.999999999862</v>
      </c>
      <c r="W352">
        <v>7636.363636377414</v>
      </c>
      <c r="Y352">
        <v>22000.000000009142</v>
      </c>
      <c r="Z352">
        <v>7636.3636363717105</v>
      </c>
      <c r="AB352">
        <v>22000.000000001615</v>
      </c>
      <c r="AC352">
        <v>7636.3636363763289</v>
      </c>
      <c r="AE352">
        <v>22000.00000000251</v>
      </c>
      <c r="AF352">
        <v>7636.3636363757842</v>
      </c>
      <c r="AH352">
        <v>21999.999999997042</v>
      </c>
      <c r="AI352">
        <v>7636.3636363792102</v>
      </c>
      <c r="AK352">
        <v>22000.00000122235</v>
      </c>
      <c r="AL352">
        <v>7636.3636360439068</v>
      </c>
      <c r="AZ352">
        <v>49999.999999999971</v>
      </c>
      <c r="BA352">
        <v>3.4719297484162942E-14</v>
      </c>
      <c r="BC352">
        <v>49999.999999999971</v>
      </c>
      <c r="BD352">
        <v>2.0469102072520518E-13</v>
      </c>
      <c r="BF352">
        <v>49999.999999999971</v>
      </c>
      <c r="BG352">
        <v>1.1828912398086531E-14</v>
      </c>
      <c r="BI352">
        <v>49999.999999999971</v>
      </c>
      <c r="BJ352">
        <v>2.4603386678125993E-13</v>
      </c>
      <c r="BL352">
        <v>49999.999999999971</v>
      </c>
      <c r="BM352">
        <v>2.202591426502893E-13</v>
      </c>
      <c r="BO352">
        <v>49999.999999999971</v>
      </c>
      <c r="BP352">
        <v>2.4401777365683704E-13</v>
      </c>
      <c r="BR352">
        <v>49999.999999999971</v>
      </c>
      <c r="BS352">
        <v>2.4250344632654174E-13</v>
      </c>
      <c r="BU352">
        <v>49999.999999999971</v>
      </c>
      <c r="BV352">
        <v>2.4686898581881847E-13</v>
      </c>
      <c r="BX352">
        <v>49999.999999999971</v>
      </c>
      <c r="BY352">
        <v>8.227337707641102E-18</v>
      </c>
    </row>
    <row r="353" spans="13:77" x14ac:dyDescent="0.35">
      <c r="M353">
        <v>21999.999999929612</v>
      </c>
      <c r="N353">
        <v>7636.3636363883152</v>
      </c>
      <c r="P353">
        <v>21999.999999988184</v>
      </c>
      <c r="Q353">
        <v>7636.3636363787064</v>
      </c>
      <c r="S353">
        <v>21999.99999988218</v>
      </c>
      <c r="T353">
        <v>7636.363636419158</v>
      </c>
      <c r="V353">
        <v>21999.99999999666</v>
      </c>
      <c r="W353">
        <v>7636.3636363772484</v>
      </c>
      <c r="Y353">
        <v>22000.000000005828</v>
      </c>
      <c r="Z353">
        <v>7636.3636363723626</v>
      </c>
      <c r="AB353">
        <v>21999.999999998396</v>
      </c>
      <c r="AC353">
        <v>7636.363636376318</v>
      </c>
      <c r="AE353">
        <v>21999.999999999276</v>
      </c>
      <c r="AF353">
        <v>7636.3636363758524</v>
      </c>
      <c r="AH353">
        <v>21999.999999993863</v>
      </c>
      <c r="AI353">
        <v>7636.3636363787964</v>
      </c>
      <c r="AK353">
        <v>22000.000001106258</v>
      </c>
      <c r="AL353">
        <v>7636.3636361467125</v>
      </c>
      <c r="AZ353">
        <v>49999.999999999971</v>
      </c>
      <c r="BA353">
        <v>3.108646741746501E-14</v>
      </c>
      <c r="BC353">
        <v>49999.999999999971</v>
      </c>
      <c r="BD353">
        <v>1.8327331505841256E-13</v>
      </c>
      <c r="BF353">
        <v>49999.999999999971</v>
      </c>
      <c r="BG353">
        <v>1.0591202198572662E-14</v>
      </c>
      <c r="BI353">
        <v>49999.999999999971</v>
      </c>
      <c r="BJ353">
        <v>2.2029028055009792E-13</v>
      </c>
      <c r="BL353">
        <v>49999.999999999971</v>
      </c>
      <c r="BM353">
        <v>1.9721247713955793E-13</v>
      </c>
      <c r="BO353">
        <v>49999.999999999971</v>
      </c>
      <c r="BP353">
        <v>2.1848513995785133E-13</v>
      </c>
      <c r="BR353">
        <v>49999.999999999971</v>
      </c>
      <c r="BS353">
        <v>2.1712926323730205E-13</v>
      </c>
      <c r="BU353">
        <v>49999.999999999971</v>
      </c>
      <c r="BV353">
        <v>2.2103801747543779E-13</v>
      </c>
      <c r="BX353">
        <v>49999.999999999971</v>
      </c>
      <c r="BY353">
        <v>7.3664758250863131E-18</v>
      </c>
    </row>
    <row r="354" spans="13:77" x14ac:dyDescent="0.35">
      <c r="M354">
        <v>21999.999999934833</v>
      </c>
      <c r="N354">
        <v>7636.3636363823252</v>
      </c>
      <c r="P354">
        <v>21999.999999986503</v>
      </c>
      <c r="Q354">
        <v>7636.3636363775786</v>
      </c>
      <c r="S354">
        <v>21999.999999887594</v>
      </c>
      <c r="T354">
        <v>7636.3636364089725</v>
      </c>
      <c r="V354">
        <v>21999.999999993997</v>
      </c>
      <c r="W354">
        <v>7636.3636363768255</v>
      </c>
      <c r="Y354">
        <v>22000.000000002878</v>
      </c>
      <c r="Z354">
        <v>7636.3636363727383</v>
      </c>
      <c r="AB354">
        <v>21999.999999995682</v>
      </c>
      <c r="AC354">
        <v>7636.3636363760461</v>
      </c>
      <c r="AE354">
        <v>21999.999999996533</v>
      </c>
      <c r="AF354">
        <v>7636.3636363756568</v>
      </c>
      <c r="AH354">
        <v>21999.999999991276</v>
      </c>
      <c r="AI354">
        <v>7636.3636363781288</v>
      </c>
      <c r="AK354">
        <v>22000.000000984252</v>
      </c>
      <c r="AL354">
        <v>7636.3636362389443</v>
      </c>
      <c r="AZ354">
        <v>49999.999999999971</v>
      </c>
      <c r="BA354">
        <v>2.7833756052751885E-14</v>
      </c>
      <c r="BC354">
        <v>49999.999999999971</v>
      </c>
      <c r="BD354">
        <v>1.6409663644988639E-13</v>
      </c>
      <c r="BF354">
        <v>49999.999999999971</v>
      </c>
      <c r="BG354">
        <v>9.4829989635560925E-15</v>
      </c>
      <c r="BI354">
        <v>49999.999999999971</v>
      </c>
      <c r="BJ354">
        <v>1.9724035694640861E-13</v>
      </c>
      <c r="BL354">
        <v>49999.999999999971</v>
      </c>
      <c r="BM354">
        <v>1.7657728379189973E-13</v>
      </c>
      <c r="BO354">
        <v>49999.999999999971</v>
      </c>
      <c r="BP354">
        <v>1.9562409601168163E-13</v>
      </c>
      <c r="BR354">
        <v>49999.999999999971</v>
      </c>
      <c r="BS354">
        <v>1.9441009052914901E-13</v>
      </c>
      <c r="BU354">
        <v>49999.999999999971</v>
      </c>
      <c r="BV354">
        <v>1.9790985492738059E-13</v>
      </c>
      <c r="BX354">
        <v>49999.999999999971</v>
      </c>
      <c r="BY354">
        <v>6.5956896398190565E-18</v>
      </c>
    </row>
    <row r="355" spans="13:77" x14ac:dyDescent="0.35">
      <c r="M355">
        <v>21999.999999940639</v>
      </c>
      <c r="N355">
        <v>7636.3636363768264</v>
      </c>
      <c r="P355">
        <v>21999.99999998535</v>
      </c>
      <c r="Q355">
        <v>7636.3636363763271</v>
      </c>
      <c r="S355">
        <v>21999.999999894542</v>
      </c>
      <c r="T355">
        <v>7636.3636363993401</v>
      </c>
      <c r="V355">
        <v>21999.999999991851</v>
      </c>
      <c r="W355">
        <v>7636.3636363761907</v>
      </c>
      <c r="Y355">
        <v>22000.000000000298</v>
      </c>
      <c r="Z355">
        <v>7636.3636363728692</v>
      </c>
      <c r="AB355">
        <v>21999.999999993452</v>
      </c>
      <c r="AC355">
        <v>7636.3636363755568</v>
      </c>
      <c r="AE355">
        <v>21999.999999994263</v>
      </c>
      <c r="AF355">
        <v>7636.3636363752412</v>
      </c>
      <c r="AH355">
        <v>21999.99999998925</v>
      </c>
      <c r="AI355">
        <v>7636.3636363772584</v>
      </c>
      <c r="AK355">
        <v>22000.000000859724</v>
      </c>
      <c r="AL355">
        <v>7636.3636363202404</v>
      </c>
      <c r="AZ355">
        <v>49999.999999999971</v>
      </c>
      <c r="BA355">
        <v>2.4921389928302046E-14</v>
      </c>
      <c r="BC355">
        <v>49999.999999999971</v>
      </c>
      <c r="BD355">
        <v>1.4692649655834417E-13</v>
      </c>
      <c r="BF355">
        <v>49999.999999999971</v>
      </c>
      <c r="BG355">
        <v>8.4907518199326887E-15</v>
      </c>
      <c r="BI355">
        <v>49999.999999999971</v>
      </c>
      <c r="BJ355">
        <v>1.7660224641413207E-13</v>
      </c>
      <c r="BL355">
        <v>49999.999999999971</v>
      </c>
      <c r="BM355">
        <v>1.5810123985847414E-13</v>
      </c>
      <c r="BO355">
        <v>49999.999999999971</v>
      </c>
      <c r="BP355">
        <v>1.7515510184248772E-13</v>
      </c>
      <c r="BR355">
        <v>49999.999999999971</v>
      </c>
      <c r="BS355">
        <v>1.7406812299752149E-13</v>
      </c>
      <c r="BU355">
        <v>49999.999999999971</v>
      </c>
      <c r="BV355">
        <v>1.7720169192944061E-13</v>
      </c>
      <c r="BX355">
        <v>49999.999999999971</v>
      </c>
      <c r="BY355">
        <v>5.9055541425477639E-18</v>
      </c>
    </row>
    <row r="356" spans="13:77" x14ac:dyDescent="0.35">
      <c r="M356">
        <v>21999.999999946824</v>
      </c>
      <c r="N356">
        <v>7636.3636363718597</v>
      </c>
      <c r="P356">
        <v>21999.99999998467</v>
      </c>
      <c r="Q356">
        <v>7636.3636363749956</v>
      </c>
      <c r="S356">
        <v>21999.999999902659</v>
      </c>
      <c r="T356">
        <v>7636.3636363903797</v>
      </c>
      <c r="V356">
        <v>21999.999999990188</v>
      </c>
      <c r="W356">
        <v>7636.3636363753885</v>
      </c>
      <c r="Y356">
        <v>21999.999999998094</v>
      </c>
      <c r="Z356">
        <v>7636.3636363727901</v>
      </c>
      <c r="AB356">
        <v>21999.999999991687</v>
      </c>
      <c r="AC356">
        <v>7636.3636363748919</v>
      </c>
      <c r="AE356">
        <v>21999.999999992444</v>
      </c>
      <c r="AF356">
        <v>7636.3636363746455</v>
      </c>
      <c r="AH356">
        <v>21999.999999987744</v>
      </c>
      <c r="AI356">
        <v>7636.3636363762334</v>
      </c>
      <c r="AK356">
        <v>22000.000000735628</v>
      </c>
      <c r="AL356">
        <v>7636.363636390518</v>
      </c>
      <c r="AZ356">
        <v>49999.999999999971</v>
      </c>
      <c r="BA356">
        <v>2.2313757251496417E-14</v>
      </c>
      <c r="BC356">
        <v>49999.999999999971</v>
      </c>
      <c r="BD356">
        <v>1.3155294257053048E-13</v>
      </c>
      <c r="BF356">
        <v>49999.999999999971</v>
      </c>
      <c r="BG356">
        <v>7.6023277809845594E-15</v>
      </c>
      <c r="BI356">
        <v>49999.999999999971</v>
      </c>
      <c r="BJ356">
        <v>1.5812359053371561E-13</v>
      </c>
      <c r="BL356">
        <v>49999.999999999971</v>
      </c>
      <c r="BM356">
        <v>1.4155842420956663E-13</v>
      </c>
      <c r="BO356">
        <v>49999.999999999971</v>
      </c>
      <c r="BP356">
        <v>1.568278669495819E-13</v>
      </c>
      <c r="BR356">
        <v>49999.999999999971</v>
      </c>
      <c r="BS356">
        <v>1.5585462339639856E-13</v>
      </c>
      <c r="BU356">
        <v>49999.999999999971</v>
      </c>
      <c r="BV356">
        <v>1.5866031347543654E-13</v>
      </c>
      <c r="BX356">
        <v>49999.999999999971</v>
      </c>
      <c r="BY356">
        <v>5.2876305034146237E-18</v>
      </c>
    </row>
    <row r="357" spans="13:77" x14ac:dyDescent="0.35">
      <c r="M357">
        <v>21999.999999953205</v>
      </c>
      <c r="N357">
        <v>7636.3636363674514</v>
      </c>
      <c r="P357">
        <v>21999.999999984408</v>
      </c>
      <c r="Q357">
        <v>7636.3636363736241</v>
      </c>
      <c r="S357">
        <v>21999.999999911604</v>
      </c>
      <c r="T357">
        <v>7636.3636363821779</v>
      </c>
      <c r="V357">
        <v>21999.999999988973</v>
      </c>
      <c r="W357">
        <v>7636.3636363744608</v>
      </c>
      <c r="Y357">
        <v>21999.999999996249</v>
      </c>
      <c r="Z357">
        <v>7636.3636363725327</v>
      </c>
      <c r="AB357">
        <v>21999.999999990352</v>
      </c>
      <c r="AC357">
        <v>7636.3636363740916</v>
      </c>
      <c r="AE357">
        <v>21999.999999991051</v>
      </c>
      <c r="AF357">
        <v>7636.3636363739088</v>
      </c>
      <c r="AH357">
        <v>21999.99999998671</v>
      </c>
      <c r="AI357">
        <v>7636.3636363750975</v>
      </c>
      <c r="AK357">
        <v>22000.000000614476</v>
      </c>
      <c r="AL357">
        <v>7636.3636364499353</v>
      </c>
      <c r="AZ357">
        <v>49999.999999999971</v>
      </c>
      <c r="BA357">
        <v>1.9978972445403744E-14</v>
      </c>
      <c r="BC357">
        <v>49999.999999999971</v>
      </c>
      <c r="BD357">
        <v>1.1778798994293753E-13</v>
      </c>
      <c r="BF357">
        <v>49999.999999999971</v>
      </c>
      <c r="BG357">
        <v>6.8068633868028648E-15</v>
      </c>
      <c r="BI357">
        <v>49999.999999999971</v>
      </c>
      <c r="BJ357">
        <v>1.4157843623711323E-13</v>
      </c>
      <c r="BL357">
        <v>49999.999999999971</v>
      </c>
      <c r="BM357">
        <v>1.2674655481913697E-13</v>
      </c>
      <c r="BO357">
        <v>49999.999999999971</v>
      </c>
      <c r="BP357">
        <v>1.4041828980849995E-13</v>
      </c>
      <c r="BR357">
        <v>49999.999999999971</v>
      </c>
      <c r="BS357">
        <v>1.3954688093223763E-13</v>
      </c>
      <c r="BU357">
        <v>49999.999999999971</v>
      </c>
      <c r="BV357">
        <v>1.4205899953905285E-13</v>
      </c>
      <c r="BX357">
        <v>49999.999999999971</v>
      </c>
      <c r="BY357">
        <v>4.7343628837815967E-18</v>
      </c>
    </row>
    <row r="358" spans="13:77" x14ac:dyDescent="0.35">
      <c r="M358">
        <v>21999.999999959618</v>
      </c>
      <c r="N358">
        <v>7636.3636363636097</v>
      </c>
      <c r="P358">
        <v>21999.999999984506</v>
      </c>
      <c r="Q358">
        <v>7636.3636363722462</v>
      </c>
      <c r="S358">
        <v>21999.99999992107</v>
      </c>
      <c r="T358">
        <v>7636.3636363747946</v>
      </c>
      <c r="V358">
        <v>21999.999999988162</v>
      </c>
      <c r="W358">
        <v>7636.3636363734449</v>
      </c>
      <c r="Y358">
        <v>21999.999999994754</v>
      </c>
      <c r="Z358">
        <v>7636.3636363721289</v>
      </c>
      <c r="AB358">
        <v>21999.999999989413</v>
      </c>
      <c r="AC358">
        <v>7636.3636363731912</v>
      </c>
      <c r="AE358">
        <v>21999.999999990046</v>
      </c>
      <c r="AF358">
        <v>7636.3636363730675</v>
      </c>
      <c r="AH358">
        <v>21999.999999986107</v>
      </c>
      <c r="AI358">
        <v>7636.3636363738906</v>
      </c>
      <c r="AK358">
        <v>22000.000000498345</v>
      </c>
      <c r="AL358">
        <v>7636.3636364988533</v>
      </c>
      <c r="AZ358">
        <v>49999.999999999971</v>
      </c>
      <c r="BA358">
        <v>1.7888486258737685E-14</v>
      </c>
      <c r="BC358">
        <v>49999.999999999971</v>
      </c>
      <c r="BD358">
        <v>1.0546332376684904E-13</v>
      </c>
      <c r="BF358">
        <v>49999.999999999971</v>
      </c>
      <c r="BG358">
        <v>6.094631868214033E-15</v>
      </c>
      <c r="BI358">
        <v>49999.999999999971</v>
      </c>
      <c r="BJ358">
        <v>1.2676447290179889E-13</v>
      </c>
      <c r="BL358">
        <v>49999.999999999971</v>
      </c>
      <c r="BM358">
        <v>1.134845153032922E-13</v>
      </c>
      <c r="BO358">
        <v>49999.999999999971</v>
      </c>
      <c r="BP358">
        <v>1.2572571760529481E-13</v>
      </c>
      <c r="BR358">
        <v>49999.999999999971</v>
      </c>
      <c r="BS358">
        <v>1.2494548800382967E-13</v>
      </c>
      <c r="BU358">
        <v>49999.999999999971</v>
      </c>
      <c r="BV358">
        <v>1.2719475278965059E-13</v>
      </c>
      <c r="BX358">
        <v>49999.999999999971</v>
      </c>
      <c r="BY358">
        <v>4.2389860450449887E-18</v>
      </c>
    </row>
    <row r="359" spans="13:77" x14ac:dyDescent="0.35">
      <c r="M359">
        <v>21999.99999996593</v>
      </c>
      <c r="N359">
        <v>7636.3636363603318</v>
      </c>
      <c r="P359">
        <v>21999.999999984913</v>
      </c>
      <c r="Q359">
        <v>7636.363636370892</v>
      </c>
      <c r="S359">
        <v>21999.999999930787</v>
      </c>
      <c r="T359">
        <v>7636.3636363682617</v>
      </c>
      <c r="V359">
        <v>21999.999999987718</v>
      </c>
      <c r="W359">
        <v>7636.3636363723745</v>
      </c>
      <c r="Y359">
        <v>21999.999999993586</v>
      </c>
      <c r="Z359">
        <v>7636.3636363716078</v>
      </c>
      <c r="AB359">
        <v>21999.999999988831</v>
      </c>
      <c r="AC359">
        <v>7636.3636363722244</v>
      </c>
      <c r="AE359">
        <v>21999.999999989395</v>
      </c>
      <c r="AF359">
        <v>7636.3636363721535</v>
      </c>
      <c r="AH359">
        <v>21999.999999985877</v>
      </c>
      <c r="AI359">
        <v>7636.3636363726482</v>
      </c>
      <c r="AK359">
        <v>22000.000000388904</v>
      </c>
      <c r="AL359">
        <v>7636.363636537797</v>
      </c>
      <c r="AZ359">
        <v>49999.999999999971</v>
      </c>
      <c r="BA359">
        <v>1.6016736671693242E-14</v>
      </c>
      <c r="BC359">
        <v>49999.999999999971</v>
      </c>
      <c r="BD359">
        <v>9.4428240649488403E-14</v>
      </c>
      <c r="BF359">
        <v>49999.999999999971</v>
      </c>
      <c r="BG359">
        <v>5.45692420991816E-15</v>
      </c>
      <c r="BI359">
        <v>49999.999999999971</v>
      </c>
      <c r="BJ359">
        <v>1.1350055853956758E-13</v>
      </c>
      <c r="BL359">
        <v>49999.999999999971</v>
      </c>
      <c r="BM359">
        <v>1.016101402677231E-13</v>
      </c>
      <c r="BO359">
        <v>49999.999999999971</v>
      </c>
      <c r="BP359">
        <v>1.1257049269666789E-13</v>
      </c>
      <c r="BR359">
        <v>49999.999999999971</v>
      </c>
      <c r="BS359">
        <v>1.1187190188862658E-13</v>
      </c>
      <c r="BU359">
        <v>49999.999999999971</v>
      </c>
      <c r="BV359">
        <v>1.1388581638414793E-13</v>
      </c>
      <c r="BX359">
        <v>49999.999999999971</v>
      </c>
      <c r="BY359">
        <v>3.795442624738837E-18</v>
      </c>
    </row>
    <row r="360" spans="13:77" x14ac:dyDescent="0.35">
      <c r="M360">
        <v>21999.999999972024</v>
      </c>
      <c r="N360">
        <v>7636.3636363576024</v>
      </c>
      <c r="P360">
        <v>21999.999999985572</v>
      </c>
      <c r="Q360">
        <v>7636.3636363695859</v>
      </c>
      <c r="S360">
        <v>21999.999999940512</v>
      </c>
      <c r="T360">
        <v>7636.363636362591</v>
      </c>
      <c r="V360">
        <v>21999.999999987591</v>
      </c>
      <c r="W360">
        <v>7636.3636363712794</v>
      </c>
      <c r="Y360">
        <v>21999.999999992724</v>
      </c>
      <c r="Z360">
        <v>7636.3636363709984</v>
      </c>
      <c r="AB360">
        <v>21999.999999988566</v>
      </c>
      <c r="AC360">
        <v>7636.3636363712212</v>
      </c>
      <c r="AE360">
        <v>21999.999999989061</v>
      </c>
      <c r="AF360">
        <v>7636.3636363711976</v>
      </c>
      <c r="AH360">
        <v>21999.999999985976</v>
      </c>
      <c r="AI360">
        <v>7636.3636363714004</v>
      </c>
      <c r="AK360">
        <v>22000.000000287444</v>
      </c>
      <c r="AL360">
        <v>7636.3636365674211</v>
      </c>
      <c r="AZ360">
        <v>49999.999999999971</v>
      </c>
      <c r="BA360">
        <v>1.4340836329013442E-14</v>
      </c>
      <c r="BC360">
        <v>49999.999999999971</v>
      </c>
      <c r="BD360">
        <v>8.454780594503257E-14</v>
      </c>
      <c r="BF360">
        <v>49999.999999999971</v>
      </c>
      <c r="BG360">
        <v>4.8859426585049952E-15</v>
      </c>
      <c r="BI360">
        <v>49999.999999999971</v>
      </c>
      <c r="BJ360">
        <v>1.016245048308878E-13</v>
      </c>
      <c r="BL360">
        <v>49999.999999999971</v>
      </c>
      <c r="BM360">
        <v>9.0978232383804746E-14</v>
      </c>
      <c r="BO360">
        <v>49999.999999999971</v>
      </c>
      <c r="BP360">
        <v>1.0079175579457487E-13</v>
      </c>
      <c r="BR360">
        <v>49999.999999999971</v>
      </c>
      <c r="BS360">
        <v>1.0016626156036052E-13</v>
      </c>
      <c r="BU360">
        <v>49999.999999999971</v>
      </c>
      <c r="BV360">
        <v>1.0196945148305818E-13</v>
      </c>
      <c r="BX360">
        <v>49999.999999999971</v>
      </c>
      <c r="BY360">
        <v>3.3983090683969326E-18</v>
      </c>
    </row>
    <row r="361" spans="13:77" x14ac:dyDescent="0.35">
      <c r="M361">
        <v>21999.999999977805</v>
      </c>
      <c r="N361">
        <v>7636.3636363553987</v>
      </c>
      <c r="P361">
        <v>21999.999999986434</v>
      </c>
      <c r="Q361">
        <v>7636.3636363683481</v>
      </c>
      <c r="S361">
        <v>21999.999999950047</v>
      </c>
      <c r="T361">
        <v>7636.3636363577734</v>
      </c>
      <c r="V361">
        <v>21999.99999998774</v>
      </c>
      <c r="W361">
        <v>7636.3636363701871</v>
      </c>
      <c r="Y361">
        <v>21999.999999992138</v>
      </c>
      <c r="Z361">
        <v>7636.3636363703254</v>
      </c>
      <c r="AB361">
        <v>21999.999999988577</v>
      </c>
      <c r="AC361">
        <v>7636.363636370208</v>
      </c>
      <c r="AE361">
        <v>21999.999999989002</v>
      </c>
      <c r="AF361">
        <v>7636.3636363702244</v>
      </c>
      <c r="AH361">
        <v>21999.99999998635</v>
      </c>
      <c r="AI361">
        <v>7636.3636363701753</v>
      </c>
      <c r="AK361">
        <v>22000.000000194901</v>
      </c>
      <c r="AL361">
        <v>7636.3636365884768</v>
      </c>
      <c r="AZ361">
        <v>49999.999999999971</v>
      </c>
      <c r="BA361">
        <v>1.2840292678284385E-14</v>
      </c>
      <c r="BC361">
        <v>49999.999999999971</v>
      </c>
      <c r="BD361">
        <v>7.5701203802504753E-14</v>
      </c>
      <c r="BF361">
        <v>49999.999999999971</v>
      </c>
      <c r="BG361">
        <v>4.3747053731862042E-15</v>
      </c>
      <c r="BI361">
        <v>49999.999999999971</v>
      </c>
      <c r="BJ361">
        <v>9.0991093920677402E-14</v>
      </c>
      <c r="BL361">
        <v>49999.999999999971</v>
      </c>
      <c r="BM361">
        <v>8.1458786946589962E-14</v>
      </c>
      <c r="BO361">
        <v>49999.999999999971</v>
      </c>
      <c r="BP361">
        <v>9.0245479013115532E-14</v>
      </c>
      <c r="BR361">
        <v>49999.999999999971</v>
      </c>
      <c r="BS361">
        <v>8.9685432942466029E-14</v>
      </c>
      <c r="BU361">
        <v>49999.999999999971</v>
      </c>
      <c r="BV361">
        <v>9.1299947314624944E-14</v>
      </c>
      <c r="BX361">
        <v>49999.999999999971</v>
      </c>
      <c r="BY361">
        <v>3.0427293114840527E-18</v>
      </c>
    </row>
    <row r="362" spans="13:77" x14ac:dyDescent="0.35">
      <c r="M362">
        <v>21999.999999983196</v>
      </c>
      <c r="N362">
        <v>7636.3636363536889</v>
      </c>
      <c r="P362">
        <v>21999.999999987449</v>
      </c>
      <c r="Q362">
        <v>7636.363636367194</v>
      </c>
      <c r="S362">
        <v>21999.999999959218</v>
      </c>
      <c r="T362">
        <v>7636.3636363537835</v>
      </c>
      <c r="V362">
        <v>21999.999999988122</v>
      </c>
      <c r="W362">
        <v>7636.3636363691185</v>
      </c>
      <c r="Y362">
        <v>21999.9999999918</v>
      </c>
      <c r="Z362">
        <v>7636.3636363696123</v>
      </c>
      <c r="AB362">
        <v>21999.999999988824</v>
      </c>
      <c r="AC362">
        <v>7636.3636363692067</v>
      </c>
      <c r="AE362">
        <v>21999.999999989181</v>
      </c>
      <c r="AF362">
        <v>7636.3636363692576</v>
      </c>
      <c r="AH362">
        <v>21999.999999986951</v>
      </c>
      <c r="AI362">
        <v>7636.3636363689939</v>
      </c>
      <c r="AK362">
        <v>22000.000000111882</v>
      </c>
      <c r="AL362">
        <v>7636.3636366017845</v>
      </c>
      <c r="AZ362">
        <v>49999.999999999971</v>
      </c>
      <c r="BA362">
        <v>1.1496757391369363E-14</v>
      </c>
      <c r="BC362">
        <v>49999.999999999971</v>
      </c>
      <c r="BD362">
        <v>6.7780259855283132E-14</v>
      </c>
      <c r="BF362">
        <v>49999.999999999971</v>
      </c>
      <c r="BG362">
        <v>3.9169610533333857E-15</v>
      </c>
      <c r="BI362">
        <v>49999.999999999971</v>
      </c>
      <c r="BJ362">
        <v>8.1470302725303885E-14</v>
      </c>
      <c r="BL362">
        <v>49999.999999999971</v>
      </c>
      <c r="BM362">
        <v>7.2935402204969007E-14</v>
      </c>
      <c r="BO362">
        <v>49999.999999999971</v>
      </c>
      <c r="BP362">
        <v>8.080270472622367E-14</v>
      </c>
      <c r="BR362">
        <v>49999.999999999971</v>
      </c>
      <c r="BS362">
        <v>8.0301258695080133E-14</v>
      </c>
      <c r="BU362">
        <v>49999.999999999971</v>
      </c>
      <c r="BV362">
        <v>8.1746839454542234E-14</v>
      </c>
      <c r="BX362">
        <v>49999.999999999971</v>
      </c>
      <c r="BY362">
        <v>2.7243554004731956E-18</v>
      </c>
    </row>
    <row r="363" spans="13:77" x14ac:dyDescent="0.35">
      <c r="M363">
        <v>21999.999999988147</v>
      </c>
      <c r="N363">
        <v>7636.3636363524356</v>
      </c>
      <c r="P363">
        <v>21999.999999988577</v>
      </c>
      <c r="Q363">
        <v>7636.3636363661353</v>
      </c>
      <c r="S363">
        <v>21999.999999967891</v>
      </c>
      <c r="T363">
        <v>7636.363636350583</v>
      </c>
      <c r="V363">
        <v>21999.999999988693</v>
      </c>
      <c r="W363">
        <v>7636.3636363680926</v>
      </c>
      <c r="Y363">
        <v>21999.999999991684</v>
      </c>
      <c r="Z363">
        <v>7636.3636363688802</v>
      </c>
      <c r="AB363">
        <v>21999.999999989268</v>
      </c>
      <c r="AC363">
        <v>7636.3636363682372</v>
      </c>
      <c r="AE363">
        <v>21999.999999989555</v>
      </c>
      <c r="AF363">
        <v>7636.3636363683163</v>
      </c>
      <c r="AH363">
        <v>21999.999999987736</v>
      </c>
      <c r="AI363">
        <v>7636.3636363678743</v>
      </c>
      <c r="AK363">
        <v>22000.000000038715</v>
      </c>
      <c r="AL363">
        <v>7636.3636366082037</v>
      </c>
      <c r="AZ363">
        <v>49999.999999999971</v>
      </c>
      <c r="BA363">
        <v>1.0293802004960707E-14</v>
      </c>
      <c r="BC363">
        <v>49999.999999999971</v>
      </c>
      <c r="BD363">
        <v>6.0688118487987604E-14</v>
      </c>
      <c r="BF363">
        <v>49999.999999999971</v>
      </c>
      <c r="BG363">
        <v>3.5071124989055453E-15</v>
      </c>
      <c r="BI363">
        <v>49999.999999999971</v>
      </c>
      <c r="BJ363">
        <v>7.294571303801338E-14</v>
      </c>
      <c r="BL363">
        <v>49999.999999999971</v>
      </c>
      <c r="BM363">
        <v>6.5303856025851196E-14</v>
      </c>
      <c r="BO363">
        <v>49999.999999999971</v>
      </c>
      <c r="BP363">
        <v>7.2347968701284271E-14</v>
      </c>
      <c r="BR363">
        <v>49999.999999999971</v>
      </c>
      <c r="BS363">
        <v>7.1898991134388766E-14</v>
      </c>
      <c r="BU363">
        <v>49999.999999999971</v>
      </c>
      <c r="BV363">
        <v>7.3193314534763757E-14</v>
      </c>
      <c r="BX363">
        <v>49999.999999999971</v>
      </c>
      <c r="BY363">
        <v>2.4392943269959905E-18</v>
      </c>
    </row>
    <row r="364" spans="13:77" x14ac:dyDescent="0.35">
      <c r="M364">
        <v>21999.999999992619</v>
      </c>
      <c r="N364">
        <v>7636.3636363515989</v>
      </c>
      <c r="P364">
        <v>21999.999999989777</v>
      </c>
      <c r="Q364">
        <v>7636.3636363651804</v>
      </c>
      <c r="S364">
        <v>21999.999999975957</v>
      </c>
      <c r="T364">
        <v>7636.3636363481228</v>
      </c>
      <c r="V364">
        <v>21999.999999989417</v>
      </c>
      <c r="W364">
        <v>7636.3636363671249</v>
      </c>
      <c r="Y364">
        <v>21999.999999991756</v>
      </c>
      <c r="Z364">
        <v>7636.3636363681462</v>
      </c>
      <c r="AB364">
        <v>21999.999999989868</v>
      </c>
      <c r="AC364">
        <v>7636.363636367314</v>
      </c>
      <c r="AE364">
        <v>21999.99999999009</v>
      </c>
      <c r="AF364">
        <v>7636.3636363674159</v>
      </c>
      <c r="AH364">
        <v>21999.99999998866</v>
      </c>
      <c r="AI364">
        <v>7636.3636363668311</v>
      </c>
      <c r="AK364">
        <v>21999.999999975473</v>
      </c>
      <c r="AL364">
        <v>7636.3636366086112</v>
      </c>
      <c r="AZ364">
        <v>49999.999999999971</v>
      </c>
      <c r="BA364">
        <v>9.2167170368298111E-15</v>
      </c>
      <c r="BC364">
        <v>49999.999999999971</v>
      </c>
      <c r="BD364">
        <v>5.433805850664569E-14</v>
      </c>
      <c r="BF364">
        <v>49999.999999999971</v>
      </c>
      <c r="BG364">
        <v>3.1401481690792343E-15</v>
      </c>
      <c r="BI364">
        <v>49999.999999999971</v>
      </c>
      <c r="BJ364">
        <v>6.5313087991896216E-14</v>
      </c>
      <c r="BL364">
        <v>49999.999999999971</v>
      </c>
      <c r="BM364">
        <v>5.8470831488121415E-14</v>
      </c>
      <c r="BO364">
        <v>49999.999999999971</v>
      </c>
      <c r="BP364">
        <v>6.4777888227091652E-14</v>
      </c>
      <c r="BR364">
        <v>49999.999999999971</v>
      </c>
      <c r="BS364">
        <v>6.4375889122390988E-14</v>
      </c>
      <c r="BU364">
        <v>49999.999999999971</v>
      </c>
      <c r="BV364">
        <v>6.5534781874520348E-14</v>
      </c>
      <c r="BX364">
        <v>49999.999999999971</v>
      </c>
      <c r="BY364">
        <v>2.1840604249656028E-18</v>
      </c>
    </row>
    <row r="365" spans="13:77" x14ac:dyDescent="0.35">
      <c r="M365">
        <v>21999.999999996588</v>
      </c>
      <c r="N365">
        <v>7636.3636363511341</v>
      </c>
      <c r="P365">
        <v>21999.999999991011</v>
      </c>
      <c r="Q365">
        <v>7636.3636363643336</v>
      </c>
      <c r="S365">
        <v>21999.999999983338</v>
      </c>
      <c r="T365">
        <v>7636.3636363463447</v>
      </c>
      <c r="V365">
        <v>21999.999999990254</v>
      </c>
      <c r="W365">
        <v>7636.3636363662263</v>
      </c>
      <c r="Y365">
        <v>21999.999999991989</v>
      </c>
      <c r="Z365">
        <v>7636.3636363674268</v>
      </c>
      <c r="AB365">
        <v>21999.999999990589</v>
      </c>
      <c r="AC365">
        <v>7636.36363636645</v>
      </c>
      <c r="AE365">
        <v>21999.999999990752</v>
      </c>
      <c r="AF365">
        <v>7636.3636363665692</v>
      </c>
      <c r="AH365">
        <v>21999.999999989683</v>
      </c>
      <c r="AI365">
        <v>7636.3636363658752</v>
      </c>
      <c r="AK365">
        <v>21999.999999922009</v>
      </c>
      <c r="AL365">
        <v>7636.36363660388</v>
      </c>
      <c r="AZ365">
        <v>49999.999999999971</v>
      </c>
      <c r="BA365">
        <v>8.2523321214116502E-15</v>
      </c>
      <c r="BC365">
        <v>49999.999999999971</v>
      </c>
      <c r="BD365">
        <v>4.8652432730404757E-14</v>
      </c>
      <c r="BF365">
        <v>49999.999999999971</v>
      </c>
      <c r="BG365">
        <v>2.8115809021948442E-15</v>
      </c>
      <c r="BI365">
        <v>49999.999999999971</v>
      </c>
      <c r="BJ365">
        <v>5.8479097473681425E-14</v>
      </c>
      <c r="BL365">
        <v>49999.999999999971</v>
      </c>
      <c r="BM365">
        <v>5.2352775823205736E-14</v>
      </c>
      <c r="BO365">
        <v>49999.999999999971</v>
      </c>
      <c r="BP365">
        <v>5.7999897972077995E-14</v>
      </c>
      <c r="BR365">
        <v>49999.999999999971</v>
      </c>
      <c r="BS365">
        <v>5.7639961770147997E-14</v>
      </c>
      <c r="BU365">
        <v>49999.999999999971</v>
      </c>
      <c r="BV365">
        <v>5.867759456775396E-14</v>
      </c>
      <c r="BX365">
        <v>49999.999999999971</v>
      </c>
      <c r="BY365">
        <v>1.9555327485942906E-18</v>
      </c>
    </row>
    <row r="366" spans="13:77" x14ac:dyDescent="0.35">
      <c r="M366">
        <v>22000.000000000044</v>
      </c>
      <c r="N366">
        <v>7636.3636363509968</v>
      </c>
      <c r="P366">
        <v>21999.999999992251</v>
      </c>
      <c r="Q366">
        <v>7636.363636363596</v>
      </c>
      <c r="S366">
        <v>21999.999999989985</v>
      </c>
      <c r="T366">
        <v>7636.3636363451851</v>
      </c>
      <c r="V366">
        <v>21999.999999991171</v>
      </c>
      <c r="W366">
        <v>7636.3636363654059</v>
      </c>
      <c r="Y366">
        <v>21999.999999992353</v>
      </c>
      <c r="Z366">
        <v>7636.3636363667338</v>
      </c>
      <c r="AB366">
        <v>21999.9999999914</v>
      </c>
      <c r="AC366">
        <v>7636.3636363656542</v>
      </c>
      <c r="AE366">
        <v>21999.999999991509</v>
      </c>
      <c r="AF366">
        <v>7636.3636363657852</v>
      </c>
      <c r="AH366">
        <v>21999.99999999077</v>
      </c>
      <c r="AI366">
        <v>7636.3636363650121</v>
      </c>
      <c r="AK366">
        <v>21999.999999878</v>
      </c>
      <c r="AL366">
        <v>7636.3636365948614</v>
      </c>
      <c r="AZ366">
        <v>49999.999999999971</v>
      </c>
      <c r="BA366">
        <v>7.3888549653800141E-15</v>
      </c>
      <c r="BC366">
        <v>49999.999999999971</v>
      </c>
      <c r="BD366">
        <v>4.3561718538343843E-14</v>
      </c>
      <c r="BF366">
        <v>49999.999999999971</v>
      </c>
      <c r="BG366">
        <v>2.5173930476996259E-15</v>
      </c>
      <c r="BI366">
        <v>49999.999999999971</v>
      </c>
      <c r="BJ366">
        <v>5.2360176902991455E-14</v>
      </c>
      <c r="BL366">
        <v>49999.999999999971</v>
      </c>
      <c r="BM366">
        <v>4.6874878749614538E-14</v>
      </c>
      <c r="BO366">
        <v>49999.999999999971</v>
      </c>
      <c r="BP366">
        <v>5.1931118115155801E-14</v>
      </c>
      <c r="BR366">
        <v>49999.999999999971</v>
      </c>
      <c r="BS366">
        <v>5.1608843592787748E-14</v>
      </c>
      <c r="BU366">
        <v>49999.999999999971</v>
      </c>
      <c r="BV366">
        <v>5.2537904388697701E-14</v>
      </c>
      <c r="BX366">
        <v>49999.999999999971</v>
      </c>
      <c r="BY366">
        <v>1.7509169101330919E-18</v>
      </c>
    </row>
    <row r="367" spans="13:77" x14ac:dyDescent="0.35">
      <c r="M367">
        <v>22000.000000002994</v>
      </c>
      <c r="N367">
        <v>7636.3636363511414</v>
      </c>
      <c r="P367">
        <v>21999.99999999347</v>
      </c>
      <c r="Q367">
        <v>7636.3636363629666</v>
      </c>
      <c r="S367">
        <v>21999.999999995864</v>
      </c>
      <c r="T367">
        <v>7636.3636363445785</v>
      </c>
      <c r="V367">
        <v>21999.999999992135</v>
      </c>
      <c r="W367">
        <v>7636.3636363646692</v>
      </c>
      <c r="Y367">
        <v>21999.999999992822</v>
      </c>
      <c r="Z367">
        <v>7636.363636366078</v>
      </c>
      <c r="AB367">
        <v>21999.999999992269</v>
      </c>
      <c r="AC367">
        <v>7636.363636364933</v>
      </c>
      <c r="AE367">
        <v>21999.999999992331</v>
      </c>
      <c r="AF367">
        <v>7636.3636363650721</v>
      </c>
      <c r="AH367">
        <v>21999.999999991891</v>
      </c>
      <c r="AI367">
        <v>7636.3636363642472</v>
      </c>
      <c r="AK367">
        <v>21999.999999842974</v>
      </c>
      <c r="AL367">
        <v>7636.3636365823713</v>
      </c>
      <c r="AZ367">
        <v>49999.999999999971</v>
      </c>
      <c r="BA367">
        <v>6.6157271539965347E-15</v>
      </c>
      <c r="BC367">
        <v>49999.999999999971</v>
      </c>
      <c r="BD367">
        <v>3.9003667761673767E-14</v>
      </c>
      <c r="BF367">
        <v>49999.999999999971</v>
      </c>
      <c r="BG367">
        <v>2.2539873391725132E-15</v>
      </c>
      <c r="BI367">
        <v>49999.999999999971</v>
      </c>
      <c r="BJ367">
        <v>4.6881505422453113E-14</v>
      </c>
      <c r="BL367">
        <v>49999.999999999971</v>
      </c>
      <c r="BM367">
        <v>4.1970157708755457E-14</v>
      </c>
      <c r="BO367">
        <v>49999.999999999971</v>
      </c>
      <c r="BP367">
        <v>4.6497340908919568E-14</v>
      </c>
      <c r="BR367">
        <v>49999.999999999971</v>
      </c>
      <c r="BS367">
        <v>4.6208787361900262E-14</v>
      </c>
      <c r="BU367">
        <v>49999.999999999971</v>
      </c>
      <c r="BV367">
        <v>4.7040636513631311E-14</v>
      </c>
      <c r="BX367">
        <v>49999.999999999971</v>
      </c>
      <c r="BY367">
        <v>1.5677109106936508E-18</v>
      </c>
    </row>
    <row r="368" spans="13:77" x14ac:dyDescent="0.35">
      <c r="M368">
        <v>22000.00000000545</v>
      </c>
      <c r="N368">
        <v>7636.3636363515243</v>
      </c>
      <c r="P368">
        <v>21999.999999994645</v>
      </c>
      <c r="Q368">
        <v>7636.3636363624437</v>
      </c>
      <c r="S368">
        <v>22000.000000000968</v>
      </c>
      <c r="T368">
        <v>7636.3636363444557</v>
      </c>
      <c r="V368">
        <v>21999.999999993121</v>
      </c>
      <c r="W368">
        <v>7636.3636363640189</v>
      </c>
      <c r="Y368">
        <v>21999.999999993372</v>
      </c>
      <c r="Z368">
        <v>7636.3636363654678</v>
      </c>
      <c r="AB368">
        <v>21999.999999993175</v>
      </c>
      <c r="AC368">
        <v>7636.3636363642909</v>
      </c>
      <c r="AE368">
        <v>21999.999999993193</v>
      </c>
      <c r="AF368">
        <v>7636.3636363644328</v>
      </c>
      <c r="AH368">
        <v>21999.999999993015</v>
      </c>
      <c r="AI368">
        <v>7636.3636363635824</v>
      </c>
      <c r="AK368">
        <v>21999.999999816337</v>
      </c>
      <c r="AL368">
        <v>7636.3636365671773</v>
      </c>
      <c r="AZ368">
        <v>49999.999999999971</v>
      </c>
      <c r="BA368">
        <v>5.9234950450642766E-15</v>
      </c>
      <c r="BC368">
        <v>49999.999999999971</v>
      </c>
      <c r="BD368">
        <v>3.4922545526388379E-14</v>
      </c>
      <c r="BF368">
        <v>49999.999999999971</v>
      </c>
      <c r="BG368">
        <v>2.018142907716564E-15</v>
      </c>
      <c r="BI368">
        <v>49999.999999999971</v>
      </c>
      <c r="BJ368">
        <v>4.1976091004190844E-14</v>
      </c>
      <c r="BL368">
        <v>49999.999999999971</v>
      </c>
      <c r="BM368">
        <v>3.7578638816474598E-14</v>
      </c>
      <c r="BO368">
        <v>49999.999999999971</v>
      </c>
      <c r="BP368">
        <v>4.163212328311716E-14</v>
      </c>
      <c r="BR368">
        <v>49999.999999999971</v>
      </c>
      <c r="BS368">
        <v>4.1373762340137211E-14</v>
      </c>
      <c r="BU368">
        <v>49999.999999999971</v>
      </c>
      <c r="BV368">
        <v>4.2118571521928083E-14</v>
      </c>
      <c r="BX368">
        <v>49999.999999999971</v>
      </c>
      <c r="BY368">
        <v>1.4036745463387515E-18</v>
      </c>
    </row>
    <row r="369" spans="13:77" x14ac:dyDescent="0.35">
      <c r="M369">
        <v>22000.000000007432</v>
      </c>
      <c r="N369">
        <v>7636.3636363521018</v>
      </c>
      <c r="P369">
        <v>21999.999999995762</v>
      </c>
      <c r="Q369">
        <v>7636.3636363620226</v>
      </c>
      <c r="S369">
        <v>22000.000000005304</v>
      </c>
      <c r="T369">
        <v>7636.3636363447486</v>
      </c>
      <c r="V369">
        <v>21999.999999994106</v>
      </c>
      <c r="W369">
        <v>7636.363636363456</v>
      </c>
      <c r="Y369">
        <v>21999.999999993979</v>
      </c>
      <c r="Z369">
        <v>7636.3636363649093</v>
      </c>
      <c r="AB369">
        <v>21999.999999994088</v>
      </c>
      <c r="AC369">
        <v>7636.3636363637297</v>
      </c>
      <c r="AE369">
        <v>21999.99999999407</v>
      </c>
      <c r="AF369">
        <v>7636.3636363638707</v>
      </c>
      <c r="AH369">
        <v>21999.999999994117</v>
      </c>
      <c r="AI369">
        <v>7636.3636363630158</v>
      </c>
      <c r="AK369">
        <v>21999.999999797412</v>
      </c>
      <c r="AL369">
        <v>7636.3636365499915</v>
      </c>
      <c r="AZ369">
        <v>49999.999999999971</v>
      </c>
      <c r="BA369">
        <v>5.3036941718046274E-15</v>
      </c>
      <c r="BC369">
        <v>49999.999999999971</v>
      </c>
      <c r="BD369">
        <v>3.126844873909707E-14</v>
      </c>
      <c r="BF369">
        <v>49999.999999999971</v>
      </c>
      <c r="BG369">
        <v>1.8069758978601525E-15</v>
      </c>
      <c r="BI369">
        <v>49999.999999999971</v>
      </c>
      <c r="BJ369">
        <v>3.7583951285579554E-14</v>
      </c>
      <c r="BL369">
        <v>49999.999999999971</v>
      </c>
      <c r="BM369">
        <v>3.3646623515175872E-14</v>
      </c>
      <c r="BO369">
        <v>49999.999999999971</v>
      </c>
      <c r="BP369">
        <v>3.7275974392939536E-14</v>
      </c>
      <c r="BR369">
        <v>49999.999999999971</v>
      </c>
      <c r="BS369">
        <v>3.7044646871420553E-14</v>
      </c>
      <c r="BU369">
        <v>49999.999999999971</v>
      </c>
      <c r="BV369">
        <v>3.7711523451297556E-14</v>
      </c>
      <c r="BX369">
        <v>49999.999999999971</v>
      </c>
      <c r="BY369">
        <v>1.256802015345749E-18</v>
      </c>
    </row>
    <row r="370" spans="13:77" x14ac:dyDescent="0.35">
      <c r="M370">
        <v>22000.000000008968</v>
      </c>
      <c r="N370">
        <v>7636.3636363528349</v>
      </c>
      <c r="P370">
        <v>21999.999999996802</v>
      </c>
      <c r="Q370">
        <v>7636.3636363616961</v>
      </c>
      <c r="S370">
        <v>22000.000000008895</v>
      </c>
      <c r="T370">
        <v>7636.3636363453898</v>
      </c>
      <c r="V370">
        <v>21999.999999995071</v>
      </c>
      <c r="W370">
        <v>7636.3636363629794</v>
      </c>
      <c r="Y370">
        <v>21999.999999994623</v>
      </c>
      <c r="Z370">
        <v>7636.3636363644064</v>
      </c>
      <c r="AB370">
        <v>21999.999999994991</v>
      </c>
      <c r="AC370">
        <v>7636.3636363632486</v>
      </c>
      <c r="AE370">
        <v>21999.99999999494</v>
      </c>
      <c r="AF370">
        <v>7636.3636363633868</v>
      </c>
      <c r="AH370">
        <v>21999.99999999518</v>
      </c>
      <c r="AI370">
        <v>7636.3636363625455</v>
      </c>
      <c r="AK370">
        <v>21999.999999785461</v>
      </c>
      <c r="AL370">
        <v>7636.3636365314615</v>
      </c>
      <c r="AZ370">
        <v>49999.999999999971</v>
      </c>
      <c r="BA370">
        <v>4.7487457411605111E-15</v>
      </c>
      <c r="BC370">
        <v>49999.999999999971</v>
      </c>
      <c r="BD370">
        <v>2.7996695882628421E-14</v>
      </c>
      <c r="BF370">
        <v>49999.999999999971</v>
      </c>
      <c r="BG370">
        <v>1.6179042043865389E-15</v>
      </c>
      <c r="BI370">
        <v>49999.999999999971</v>
      </c>
      <c r="BJ370">
        <v>3.3651380117691028E-14</v>
      </c>
      <c r="BL370">
        <v>49999.999999999971</v>
      </c>
      <c r="BM370">
        <v>3.012603195929683E-14</v>
      </c>
      <c r="BO370">
        <v>49999.999999999971</v>
      </c>
      <c r="BP370">
        <v>3.3375628177642322E-14</v>
      </c>
      <c r="BR370">
        <v>49999.999999999971</v>
      </c>
      <c r="BS370">
        <v>3.316850545392526E-14</v>
      </c>
      <c r="BU370">
        <v>49999.999999999971</v>
      </c>
      <c r="BV370">
        <v>3.3765603856658591E-14</v>
      </c>
      <c r="BX370">
        <v>49999.999999999971</v>
      </c>
      <c r="BY370">
        <v>1.1252973916903527E-18</v>
      </c>
    </row>
    <row r="371" spans="13:77" x14ac:dyDescent="0.35">
      <c r="M371">
        <v>22000.000000010095</v>
      </c>
      <c r="N371">
        <v>7636.3636363536834</v>
      </c>
      <c r="P371">
        <v>21999.999999997755</v>
      </c>
      <c r="Q371">
        <v>7636.3636363614587</v>
      </c>
      <c r="S371">
        <v>22000.000000011772</v>
      </c>
      <c r="T371">
        <v>7636.3636363463156</v>
      </c>
      <c r="V371">
        <v>21999.999999995995</v>
      </c>
      <c r="W371">
        <v>7636.3636363625865</v>
      </c>
      <c r="Y371">
        <v>21999.999999995282</v>
      </c>
      <c r="Z371">
        <v>7636.3636363639607</v>
      </c>
      <c r="AB371">
        <v>21999.999999995864</v>
      </c>
      <c r="AC371">
        <v>7636.3636363628466</v>
      </c>
      <c r="AE371">
        <v>21999.999999995787</v>
      </c>
      <c r="AF371">
        <v>7636.3636363629785</v>
      </c>
      <c r="AH371">
        <v>21999.999999996187</v>
      </c>
      <c r="AI371">
        <v>7636.3636363621663</v>
      </c>
      <c r="AK371">
        <v>21999.999999779709</v>
      </c>
      <c r="AL371">
        <v>7636.3636365121683</v>
      </c>
      <c r="AZ371">
        <v>49999.999999999971</v>
      </c>
      <c r="BA371">
        <v>4.2518639619292119E-15</v>
      </c>
      <c r="BC371">
        <v>49999.999999999971</v>
      </c>
      <c r="BD371">
        <v>2.5067280659955667E-14</v>
      </c>
      <c r="BF371">
        <v>49999.999999999971</v>
      </c>
      <c r="BG371">
        <v>1.448615898901284E-15</v>
      </c>
      <c r="BI371">
        <v>49999.999999999971</v>
      </c>
      <c r="BJ371">
        <v>3.0130290857944552E-14</v>
      </c>
      <c r="BL371">
        <v>49999.999999999971</v>
      </c>
      <c r="BM371">
        <v>2.6973815105198381E-14</v>
      </c>
      <c r="BO371">
        <v>49999.999999999971</v>
      </c>
      <c r="BP371">
        <v>2.9883392034500992E-14</v>
      </c>
      <c r="BR371">
        <v>49999.999999999971</v>
      </c>
      <c r="BS371">
        <v>2.9697941456038565E-14</v>
      </c>
      <c r="BU371">
        <v>49999.999999999971</v>
      </c>
      <c r="BV371">
        <v>3.0232562873711454E-14</v>
      </c>
      <c r="BX371">
        <v>49999.999999999971</v>
      </c>
      <c r="BY371">
        <v>1.0075526648457441E-18</v>
      </c>
    </row>
    <row r="372" spans="13:77" x14ac:dyDescent="0.35">
      <c r="M372">
        <v>22000.000000010848</v>
      </c>
      <c r="N372">
        <v>7636.3636363546138</v>
      </c>
      <c r="P372">
        <v>21999.999999998614</v>
      </c>
      <c r="Q372">
        <v>7636.3636363613005</v>
      </c>
      <c r="S372">
        <v>22000.000000013984</v>
      </c>
      <c r="T372">
        <v>7636.3636363474652</v>
      </c>
      <c r="V372">
        <v>21999.999999996864</v>
      </c>
      <c r="W372">
        <v>7636.3636363622736</v>
      </c>
      <c r="Y372">
        <v>21999.999999995944</v>
      </c>
      <c r="Z372">
        <v>7636.3636363635742</v>
      </c>
      <c r="AB372">
        <v>21999.999999996693</v>
      </c>
      <c r="AC372">
        <v>7636.3636363625192</v>
      </c>
      <c r="AE372">
        <v>21999.999999996598</v>
      </c>
      <c r="AF372">
        <v>7636.3636363626438</v>
      </c>
      <c r="AH372">
        <v>21999.999999997126</v>
      </c>
      <c r="AI372">
        <v>7636.3636363618734</v>
      </c>
      <c r="AK372">
        <v>21999.999999779367</v>
      </c>
      <c r="AL372">
        <v>7636.3636364926242</v>
      </c>
      <c r="AZ372">
        <v>49999.999999999971</v>
      </c>
      <c r="BA372">
        <v>3.8069730695529595E-15</v>
      </c>
      <c r="BC372">
        <v>49999.999999999971</v>
      </c>
      <c r="BD372">
        <v>2.2444382805718219E-14</v>
      </c>
      <c r="BF372">
        <v>49999.999999999971</v>
      </c>
      <c r="BG372">
        <v>1.2970409600642946E-15</v>
      </c>
      <c r="BI372">
        <v>49999.999999999971</v>
      </c>
      <c r="BJ372">
        <v>2.6977628376884164E-14</v>
      </c>
      <c r="BL372">
        <v>49999.999999999971</v>
      </c>
      <c r="BM372">
        <v>2.4151428316628887E-14</v>
      </c>
      <c r="BO372">
        <v>49999.999999999971</v>
      </c>
      <c r="BP372">
        <v>2.6756563643823547E-14</v>
      </c>
      <c r="BR372">
        <v>49999.999999999971</v>
      </c>
      <c r="BS372">
        <v>2.6590517560444354E-14</v>
      </c>
      <c r="BU372">
        <v>49999.999999999971</v>
      </c>
      <c r="BV372">
        <v>2.7069199229874681E-14</v>
      </c>
      <c r="BX372">
        <v>49999.999999999971</v>
      </c>
      <c r="BY372">
        <v>9.0212807737236968E-19</v>
      </c>
    </row>
    <row r="373" spans="13:77" x14ac:dyDescent="0.35">
      <c r="M373">
        <v>22000.000000011263</v>
      </c>
      <c r="N373">
        <v>7636.3636363555952</v>
      </c>
      <c r="P373">
        <v>21999.999999999378</v>
      </c>
      <c r="Q373">
        <v>7636.363636361214</v>
      </c>
      <c r="S373">
        <v>22000.000000015581</v>
      </c>
      <c r="T373">
        <v>7636.3636363487813</v>
      </c>
      <c r="V373">
        <v>21999.999999997672</v>
      </c>
      <c r="W373">
        <v>7636.3636363620344</v>
      </c>
      <c r="Y373">
        <v>21999.999999996591</v>
      </c>
      <c r="Z373">
        <v>7636.3636363632459</v>
      </c>
      <c r="AB373">
        <v>21999.999999997472</v>
      </c>
      <c r="AC373">
        <v>7636.3636363622627</v>
      </c>
      <c r="AE373">
        <v>21999.999999997362</v>
      </c>
      <c r="AF373">
        <v>7636.3636363623791</v>
      </c>
      <c r="AH373">
        <v>21999.999999997988</v>
      </c>
      <c r="AI373">
        <v>7636.3636363616597</v>
      </c>
      <c r="AK373">
        <v>21999.999999783653</v>
      </c>
      <c r="AL373">
        <v>7636.3636364732702</v>
      </c>
      <c r="AZ373">
        <v>49999.999999999971</v>
      </c>
      <c r="BA373">
        <v>3.4086330329640898E-15</v>
      </c>
      <c r="BC373">
        <v>49999.999999999971</v>
      </c>
      <c r="BD373">
        <v>2.0095930083646757E-14</v>
      </c>
      <c r="BF373">
        <v>49999.999999999971</v>
      </c>
      <c r="BG373">
        <v>1.1613259618098037E-15</v>
      </c>
      <c r="BI373">
        <v>49999.999999999971</v>
      </c>
      <c r="BJ373">
        <v>2.4154842589226658E-14</v>
      </c>
      <c r="BL373">
        <v>49999.999999999971</v>
      </c>
      <c r="BM373">
        <v>2.1624360049122303E-14</v>
      </c>
      <c r="BO373">
        <v>49999.999999999971</v>
      </c>
      <c r="BP373">
        <v>2.3956908814081174E-14</v>
      </c>
      <c r="BR373">
        <v>49999.999999999971</v>
      </c>
      <c r="BS373">
        <v>2.3808236849646425E-14</v>
      </c>
      <c r="BU373">
        <v>49999.999999999971</v>
      </c>
      <c r="BV373">
        <v>2.4236831988326041E-14</v>
      </c>
      <c r="BX373">
        <v>49999.999999999971</v>
      </c>
      <c r="BY373">
        <v>8.0773451987064715E-19</v>
      </c>
    </row>
    <row r="374" spans="13:77" x14ac:dyDescent="0.35">
      <c r="M374">
        <v>22000.000000011387</v>
      </c>
      <c r="N374">
        <v>7636.3636363565993</v>
      </c>
      <c r="P374">
        <v>22000.00000000004</v>
      </c>
      <c r="Q374">
        <v>7636.3636363611904</v>
      </c>
      <c r="S374">
        <v>22000.000000016622</v>
      </c>
      <c r="T374">
        <v>7636.3636363502128</v>
      </c>
      <c r="V374">
        <v>21999.99999999841</v>
      </c>
      <c r="W374">
        <v>7636.3636363618634</v>
      </c>
      <c r="Y374">
        <v>21999.999999997213</v>
      </c>
      <c r="Z374">
        <v>7636.363636362973</v>
      </c>
      <c r="AB374">
        <v>21999.999999998188</v>
      </c>
      <c r="AC374">
        <v>7636.3636363620726</v>
      </c>
      <c r="AE374">
        <v>21999.999999998068</v>
      </c>
      <c r="AF374">
        <v>7636.363636362179</v>
      </c>
      <c r="AH374">
        <v>21999.999999998763</v>
      </c>
      <c r="AI374">
        <v>7636.3636363615187</v>
      </c>
      <c r="AK374">
        <v>21999.999999791795</v>
      </c>
      <c r="AL374">
        <v>7636.3636364544809</v>
      </c>
      <c r="AZ374">
        <v>49999.999999999971</v>
      </c>
      <c r="BA374">
        <v>3.0519730350439084E-15</v>
      </c>
      <c r="BC374">
        <v>49999.999999999971</v>
      </c>
      <c r="BD374">
        <v>1.7993206114089701E-14</v>
      </c>
      <c r="BF374">
        <v>49999.999999999971</v>
      </c>
      <c r="BG374">
        <v>1.0398114100472289E-15</v>
      </c>
      <c r="BI374">
        <v>49999.999999999971</v>
      </c>
      <c r="BJ374">
        <v>2.1627417071630132E-14</v>
      </c>
      <c r="BL374">
        <v>49999.999999999971</v>
      </c>
      <c r="BM374">
        <v>1.9361709850183605E-14</v>
      </c>
      <c r="BO374">
        <v>49999.999999999971</v>
      </c>
      <c r="BP374">
        <v>2.145019396235833E-14</v>
      </c>
      <c r="BR374">
        <v>49999.999999999971</v>
      </c>
      <c r="BS374">
        <v>2.1317078187754897E-14</v>
      </c>
      <c r="BU374">
        <v>49999.999999999971</v>
      </c>
      <c r="BV374">
        <v>2.1700827565746351E-14</v>
      </c>
      <c r="BX374">
        <v>49999.999999999971</v>
      </c>
      <c r="BY374">
        <v>7.2321776802581501E-19</v>
      </c>
    </row>
    <row r="375" spans="13:77" x14ac:dyDescent="0.35">
      <c r="M375">
        <v>22000.000000011256</v>
      </c>
      <c r="N375">
        <v>7636.3636363576024</v>
      </c>
      <c r="P375">
        <v>22000.000000000604</v>
      </c>
      <c r="Q375">
        <v>7636.3636363612213</v>
      </c>
      <c r="S375">
        <v>22000.000000017168</v>
      </c>
      <c r="T375">
        <v>7636.3636363517126</v>
      </c>
      <c r="V375">
        <v>21999.999999999072</v>
      </c>
      <c r="W375">
        <v>7636.3636363617543</v>
      </c>
      <c r="Y375">
        <v>21999.999999997803</v>
      </c>
      <c r="Z375">
        <v>7636.3636363627538</v>
      </c>
      <c r="AB375">
        <v>21999.999999998836</v>
      </c>
      <c r="AC375">
        <v>7636.3636363619435</v>
      </c>
      <c r="AE375">
        <v>21999.999999998712</v>
      </c>
      <c r="AF375">
        <v>7636.3636363620381</v>
      </c>
      <c r="AH375">
        <v>21999.999999999451</v>
      </c>
      <c r="AI375">
        <v>7636.3636363614414</v>
      </c>
      <c r="AK375">
        <v>21999.999999803058</v>
      </c>
      <c r="AL375">
        <v>7636.363636436563</v>
      </c>
      <c r="AZ375">
        <v>49999.999999999971</v>
      </c>
      <c r="BA375">
        <v>2.7326319133084736E-15</v>
      </c>
      <c r="BC375">
        <v>49999.999999999971</v>
      </c>
      <c r="BD375">
        <v>1.6110499236239575E-14</v>
      </c>
      <c r="BF375">
        <v>49999.999999999971</v>
      </c>
      <c r="BG375">
        <v>9.310114507209142E-16</v>
      </c>
      <c r="BI375">
        <v>49999.999999999971</v>
      </c>
      <c r="BJ375">
        <v>1.936444700322155E-14</v>
      </c>
      <c r="BL375">
        <v>49999.999999999971</v>
      </c>
      <c r="BM375">
        <v>1.7335810515137646E-14</v>
      </c>
      <c r="BO375">
        <v>49999.999999999971</v>
      </c>
      <c r="BP375">
        <v>1.9205767513392797E-14</v>
      </c>
      <c r="BR375">
        <v>49999.999999999971</v>
      </c>
      <c r="BS375">
        <v>1.9086580217283256E-14</v>
      </c>
      <c r="BU375">
        <v>49999.999999999971</v>
      </c>
      <c r="BV375">
        <v>1.9430176240239806E-14</v>
      </c>
      <c r="BX375">
        <v>49999.999999999971</v>
      </c>
      <c r="BY375">
        <v>6.475443689988677E-19</v>
      </c>
    </row>
    <row r="376" spans="13:77" x14ac:dyDescent="0.35">
      <c r="M376">
        <v>22000.00000001091</v>
      </c>
      <c r="N376">
        <v>7636.3636363585838</v>
      </c>
      <c r="P376">
        <v>22000.000000001073</v>
      </c>
      <c r="Q376">
        <v>7636.3636363612977</v>
      </c>
      <c r="S376">
        <v>22000.000000017277</v>
      </c>
      <c r="T376">
        <v>7636.3636363532396</v>
      </c>
      <c r="V376">
        <v>21999.999999999658</v>
      </c>
      <c r="W376">
        <v>7636.3636363616997</v>
      </c>
      <c r="Y376">
        <v>21999.999999998352</v>
      </c>
      <c r="Z376">
        <v>7636.3636363625847</v>
      </c>
      <c r="AB376">
        <v>21999.999999999414</v>
      </c>
      <c r="AC376">
        <v>7636.363636361868</v>
      </c>
      <c r="AE376">
        <v>21999.999999999287</v>
      </c>
      <c r="AF376">
        <v>7636.3636363619516</v>
      </c>
      <c r="AH376">
        <v>22000.000000000051</v>
      </c>
      <c r="AI376">
        <v>7636.3636363614214</v>
      </c>
      <c r="AK376">
        <v>21999.999999816755</v>
      </c>
      <c r="AL376">
        <v>7636.36363641976</v>
      </c>
      <c r="AZ376">
        <v>49999.999999999971</v>
      </c>
      <c r="BA376">
        <v>2.4467048325426959E-15</v>
      </c>
      <c r="BC376">
        <v>49999.999999999971</v>
      </c>
      <c r="BD376">
        <v>1.4424788111421399E-14</v>
      </c>
      <c r="BF376">
        <v>49999.999999999971</v>
      </c>
      <c r="BG376">
        <v>8.3359570110323318E-16</v>
      </c>
      <c r="BI376">
        <v>49999.999999999971</v>
      </c>
      <c r="BJ376">
        <v>1.7338261268030026E-14</v>
      </c>
      <c r="BL376">
        <v>49999.999999999971</v>
      </c>
      <c r="BM376">
        <v>1.5521889778443669E-14</v>
      </c>
      <c r="BO376">
        <v>49999.999999999971</v>
      </c>
      <c r="BP376">
        <v>1.7196185098642336E-14</v>
      </c>
      <c r="BR376">
        <v>49999.999999999971</v>
      </c>
      <c r="BS376">
        <v>1.7089468884157436E-14</v>
      </c>
      <c r="BU376">
        <v>49999.999999999971</v>
      </c>
      <c r="BV376">
        <v>1.7397112971059874E-14</v>
      </c>
      <c r="BX376">
        <v>49999.999999999971</v>
      </c>
      <c r="BY376">
        <v>5.7978900458537194E-19</v>
      </c>
    </row>
    <row r="377" spans="13:77" x14ac:dyDescent="0.35">
      <c r="M377">
        <v>22000.00000001039</v>
      </c>
      <c r="N377">
        <v>7636.363636359526</v>
      </c>
      <c r="P377">
        <v>22000.000000001452</v>
      </c>
      <c r="Q377">
        <v>7636.3636363614105</v>
      </c>
      <c r="S377">
        <v>22000.000000017011</v>
      </c>
      <c r="T377">
        <v>7636.3636363547585</v>
      </c>
      <c r="V377">
        <v>22000.000000000164</v>
      </c>
      <c r="W377">
        <v>7636.3636363616934</v>
      </c>
      <c r="Y377">
        <v>21999.999999998854</v>
      </c>
      <c r="Z377">
        <v>7636.3636363624628</v>
      </c>
      <c r="AB377">
        <v>21999.99999999992</v>
      </c>
      <c r="AC377">
        <v>7636.3636363618407</v>
      </c>
      <c r="AE377">
        <v>21999.999999999793</v>
      </c>
      <c r="AF377">
        <v>7636.3636363619125</v>
      </c>
      <c r="AH377">
        <v>22000.00000000056</v>
      </c>
      <c r="AI377">
        <v>7636.3636363614505</v>
      </c>
      <c r="AK377">
        <v>21999.999999832242</v>
      </c>
      <c r="AL377">
        <v>7636.3636364042568</v>
      </c>
      <c r="AZ377">
        <v>49999.999999999971</v>
      </c>
      <c r="BA377">
        <v>2.1906955373070804E-15</v>
      </c>
      <c r="BC377">
        <v>49999.999999999971</v>
      </c>
      <c r="BD377">
        <v>1.2915460223067038E-14</v>
      </c>
      <c r="BF377">
        <v>49999.999999999971</v>
      </c>
      <c r="BG377">
        <v>7.4637298215797456E-16</v>
      </c>
      <c r="BI377">
        <v>49999.999999999971</v>
      </c>
      <c r="BJ377">
        <v>1.5524084098474825E-14</v>
      </c>
      <c r="BL377">
        <v>49999.999999999971</v>
      </c>
      <c r="BM377">
        <v>1.3897767403708904E-14</v>
      </c>
      <c r="BO377">
        <v>49999.999999999971</v>
      </c>
      <c r="BP377">
        <v>1.5396873972391967E-14</v>
      </c>
      <c r="BR377">
        <v>49999.999999999971</v>
      </c>
      <c r="BS377">
        <v>1.5301323936392151E-14</v>
      </c>
      <c r="BU377">
        <v>49999.999999999971</v>
      </c>
      <c r="BV377">
        <v>1.5576777893605163E-14</v>
      </c>
      <c r="BX377">
        <v>49999.999999999971</v>
      </c>
      <c r="BY377">
        <v>5.1912317662156097E-19</v>
      </c>
    </row>
    <row r="378" spans="13:77" x14ac:dyDescent="0.35">
      <c r="M378">
        <v>22000.000000009728</v>
      </c>
      <c r="N378">
        <v>7636.3636363604155</v>
      </c>
      <c r="P378">
        <v>22000.000000001746</v>
      </c>
      <c r="Q378">
        <v>7636.3636363615533</v>
      </c>
      <c r="S378">
        <v>22000.000000016433</v>
      </c>
      <c r="T378">
        <v>7636.3636363562382</v>
      </c>
      <c r="V378">
        <v>22000.000000000593</v>
      </c>
      <c r="W378">
        <v>7636.3636363617279</v>
      </c>
      <c r="Y378">
        <v>21999.999999999309</v>
      </c>
      <c r="Z378">
        <v>7636.3636363623827</v>
      </c>
      <c r="AB378">
        <v>22000.000000000353</v>
      </c>
      <c r="AC378">
        <v>7636.3636363618543</v>
      </c>
      <c r="AE378">
        <v>22000.000000000229</v>
      </c>
      <c r="AF378">
        <v>7636.3636363619153</v>
      </c>
      <c r="AH378">
        <v>22000.000000000986</v>
      </c>
      <c r="AI378">
        <v>7636.3636363615205</v>
      </c>
      <c r="AK378">
        <v>21999.999999848937</v>
      </c>
      <c r="AL378">
        <v>7636.3636363901842</v>
      </c>
      <c r="AZ378">
        <v>49999.999999999971</v>
      </c>
      <c r="BA378">
        <v>1.961473600470935E-15</v>
      </c>
      <c r="BC378">
        <v>49999.999999999971</v>
      </c>
      <c r="BD378">
        <v>1.1564059831253197E-14</v>
      </c>
      <c r="BF378">
        <v>49999.999999999971</v>
      </c>
      <c r="BG378">
        <v>6.6827675305681538E-16</v>
      </c>
      <c r="BI378">
        <v>49999.999999999971</v>
      </c>
      <c r="BJ378">
        <v>1.3899732122556776E-14</v>
      </c>
      <c r="BL378">
        <v>49999.999999999971</v>
      </c>
      <c r="BM378">
        <v>1.2443583968482481E-14</v>
      </c>
      <c r="BO378">
        <v>49999.999999999971</v>
      </c>
      <c r="BP378">
        <v>1.3785832541453495E-14</v>
      </c>
      <c r="BR378">
        <v>49999.999999999971</v>
      </c>
      <c r="BS378">
        <v>1.3700280318451263E-14</v>
      </c>
      <c r="BU378">
        <v>49999.999999999971</v>
      </c>
      <c r="BV378">
        <v>1.3946912338290376E-14</v>
      </c>
      <c r="BX378">
        <v>49999.999999999971</v>
      </c>
      <c r="BY378">
        <v>4.6480507628526281E-19</v>
      </c>
    </row>
    <row r="379" spans="13:77" x14ac:dyDescent="0.35">
      <c r="M379">
        <v>22000.000000008964</v>
      </c>
      <c r="N379">
        <v>7636.3636363612413</v>
      </c>
      <c r="P379">
        <v>22000.000000001961</v>
      </c>
      <c r="Q379">
        <v>7636.3636363617179</v>
      </c>
      <c r="S379">
        <v>22000.000000015596</v>
      </c>
      <c r="T379">
        <v>7636.3636363576552</v>
      </c>
      <c r="V379">
        <v>22000.000000000946</v>
      </c>
      <c r="W379">
        <v>7636.3636363617979</v>
      </c>
      <c r="Y379">
        <v>21999.999999999709</v>
      </c>
      <c r="Z379">
        <v>7636.36363636234</v>
      </c>
      <c r="AB379">
        <v>22000.000000000713</v>
      </c>
      <c r="AC379">
        <v>7636.3636363619025</v>
      </c>
      <c r="AE379">
        <v>22000.000000000597</v>
      </c>
      <c r="AF379">
        <v>7636.3636363619535</v>
      </c>
      <c r="AH379">
        <v>22000.000000001328</v>
      </c>
      <c r="AI379">
        <v>7636.3636363616242</v>
      </c>
      <c r="AK379">
        <v>21999.999999866315</v>
      </c>
      <c r="AL379">
        <v>7636.3636363776241</v>
      </c>
      <c r="AZ379">
        <v>49999.999999999971</v>
      </c>
      <c r="BA379">
        <v>1.7562361450162151E-15</v>
      </c>
      <c r="BC379">
        <v>49999.999999999971</v>
      </c>
      <c r="BD379">
        <v>1.0354062299844814E-14</v>
      </c>
      <c r="BF379">
        <v>49999.999999999971</v>
      </c>
      <c r="BG379">
        <v>5.9835206974525154E-16</v>
      </c>
      <c r="BI379">
        <v>49999.999999999971</v>
      </c>
      <c r="BJ379">
        <v>1.2445343110310645E-14</v>
      </c>
      <c r="BL379">
        <v>49999.999999999971</v>
      </c>
      <c r="BM379">
        <v>1.1141558027467868E-14</v>
      </c>
      <c r="BO379">
        <v>49999.999999999971</v>
      </c>
      <c r="BP379">
        <v>1.2343361334370474E-14</v>
      </c>
      <c r="BR379">
        <v>49999.999999999971</v>
      </c>
      <c r="BS379">
        <v>1.226676081000607E-14</v>
      </c>
      <c r="BU379">
        <v>49999.999999999971</v>
      </c>
      <c r="BV379">
        <v>1.2487586656275841E-14</v>
      </c>
      <c r="BX379">
        <v>49999.999999999971</v>
      </c>
      <c r="BY379">
        <v>4.1617051341563222E-19</v>
      </c>
    </row>
    <row r="380" spans="13:77" x14ac:dyDescent="0.35">
      <c r="M380">
        <v>22000.000000008124</v>
      </c>
      <c r="N380">
        <v>7636.3636363619953</v>
      </c>
      <c r="P380">
        <v>22000.000000002103</v>
      </c>
      <c r="Q380">
        <v>7636.3636363618989</v>
      </c>
      <c r="S380">
        <v>22000.000000014559</v>
      </c>
      <c r="T380">
        <v>7636.3636363589885</v>
      </c>
      <c r="V380">
        <v>22000.000000001226</v>
      </c>
      <c r="W380">
        <v>7636.3636363618953</v>
      </c>
      <c r="Y380">
        <v>22000.000000000058</v>
      </c>
      <c r="Z380">
        <v>7636.3636363623309</v>
      </c>
      <c r="AB380">
        <v>22000.000000001008</v>
      </c>
      <c r="AC380">
        <v>7636.3636363619798</v>
      </c>
      <c r="AE380">
        <v>22000.000000000899</v>
      </c>
      <c r="AF380">
        <v>7636.3636363620208</v>
      </c>
      <c r="AH380">
        <v>22000.00000000159</v>
      </c>
      <c r="AI380">
        <v>7636.3636363617543</v>
      </c>
      <c r="AK380">
        <v>21999.999999883919</v>
      </c>
      <c r="AL380">
        <v>7636.3636363666146</v>
      </c>
      <c r="AZ380">
        <v>49999.999999999971</v>
      </c>
      <c r="BA380">
        <v>1.5724735710543763E-15</v>
      </c>
      <c r="BC380">
        <v>49999.999999999971</v>
      </c>
      <c r="BD380">
        <v>9.2706720367642457E-15</v>
      </c>
      <c r="BF380">
        <v>49999.999999999971</v>
      </c>
      <c r="BG380">
        <v>5.3574390809010808E-16</v>
      </c>
      <c r="BI380">
        <v>49999.999999999971</v>
      </c>
      <c r="BJ380">
        <v>1.114313310268789E-14</v>
      </c>
      <c r="BL380">
        <v>49999.999999999971</v>
      </c>
      <c r="BM380">
        <v>9.9757686847973348E-15</v>
      </c>
      <c r="BO380">
        <v>49999.999999999971</v>
      </c>
      <c r="BP380">
        <v>1.1051822120477338E-14</v>
      </c>
      <c r="BR380">
        <v>49999.999999999971</v>
      </c>
      <c r="BS380">
        <v>1.0983236639855186E-14</v>
      </c>
      <c r="BU380">
        <v>49999.999999999971</v>
      </c>
      <c r="BV380">
        <v>1.1180956523966627E-14</v>
      </c>
      <c r="BX380">
        <v>49999.999999999971</v>
      </c>
      <c r="BY380">
        <v>3.7262479493734042E-19</v>
      </c>
    </row>
    <row r="381" spans="13:77" x14ac:dyDescent="0.35">
      <c r="M381">
        <v>22000.00000000724</v>
      </c>
      <c r="N381">
        <v>7636.3636363626729</v>
      </c>
      <c r="P381">
        <v>22000.000000002179</v>
      </c>
      <c r="Q381">
        <v>7636.363636362089</v>
      </c>
      <c r="S381">
        <v>22000.000000013373</v>
      </c>
      <c r="T381">
        <v>7636.3636363602218</v>
      </c>
      <c r="V381">
        <v>22000.000000001441</v>
      </c>
      <c r="W381">
        <v>7636.3636363620144</v>
      </c>
      <c r="Y381">
        <v>22000.000000000357</v>
      </c>
      <c r="Z381">
        <v>7636.36363636235</v>
      </c>
      <c r="AB381">
        <v>22000.000000001237</v>
      </c>
      <c r="AC381">
        <v>7636.3636363620799</v>
      </c>
      <c r="AE381">
        <v>22000.000000001135</v>
      </c>
      <c r="AF381">
        <v>7636.3636363621117</v>
      </c>
      <c r="AH381">
        <v>22000.000000001783</v>
      </c>
      <c r="AI381">
        <v>7636.3636363619044</v>
      </c>
      <c r="AK381">
        <v>21999.999999901349</v>
      </c>
      <c r="AL381">
        <v>7636.3636363571577</v>
      </c>
      <c r="AZ381">
        <v>49999.999999999971</v>
      </c>
      <c r="BA381">
        <v>1.4079388689734961E-15</v>
      </c>
      <c r="BC381">
        <v>49999.999999999971</v>
      </c>
      <c r="BD381">
        <v>8.3006415766428869E-15</v>
      </c>
      <c r="BF381">
        <v>49999.999999999971</v>
      </c>
      <c r="BG381">
        <v>4.796867088265636E-16</v>
      </c>
      <c r="BI381">
        <v>49999.999999999971</v>
      </c>
      <c r="BJ381">
        <v>9.9771789530935073E-15</v>
      </c>
      <c r="BL381">
        <v>49999.999999999971</v>
      </c>
      <c r="BM381">
        <v>8.9319609167085283E-15</v>
      </c>
      <c r="BO381">
        <v>49999.999999999971</v>
      </c>
      <c r="BP381">
        <v>9.8954222333718642E-15</v>
      </c>
      <c r="BR381">
        <v>49999.999999999971</v>
      </c>
      <c r="BS381">
        <v>9.8340131478440172E-15</v>
      </c>
      <c r="BU381">
        <v>49999.999999999971</v>
      </c>
      <c r="BV381">
        <v>1.0011044746424574E-14</v>
      </c>
      <c r="BX381">
        <v>49999.999999999971</v>
      </c>
      <c r="BY381">
        <v>3.3363545308032276E-19</v>
      </c>
    </row>
    <row r="382" spans="13:77" x14ac:dyDescent="0.35">
      <c r="M382">
        <v>22000.000000006334</v>
      </c>
      <c r="N382">
        <v>7636.3636363632713</v>
      </c>
      <c r="P382">
        <v>22000.000000002201</v>
      </c>
      <c r="Q382">
        <v>7636.3636363622827</v>
      </c>
      <c r="S382">
        <v>22000.000000012085</v>
      </c>
      <c r="T382">
        <v>7636.3636363613459</v>
      </c>
      <c r="V382">
        <v>22000.000000001593</v>
      </c>
      <c r="W382">
        <v>7636.363636362149</v>
      </c>
      <c r="Y382">
        <v>22000.0000000006</v>
      </c>
      <c r="Z382">
        <v>7636.3636363623937</v>
      </c>
      <c r="AB382">
        <v>22000.000000001408</v>
      </c>
      <c r="AC382">
        <v>7636.3636363621972</v>
      </c>
      <c r="AE382">
        <v>22000.000000001313</v>
      </c>
      <c r="AF382">
        <v>7636.3636363622209</v>
      </c>
      <c r="AH382">
        <v>22000.00000000191</v>
      </c>
      <c r="AI382">
        <v>7636.3636363620681</v>
      </c>
      <c r="AK382">
        <v>21999.999999918269</v>
      </c>
      <c r="AL382">
        <v>7636.3636363492215</v>
      </c>
      <c r="AZ382">
        <v>49999.999999999971</v>
      </c>
      <c r="BA382">
        <v>1.260620143483365E-15</v>
      </c>
      <c r="BC382">
        <v>49999.999999999971</v>
      </c>
      <c r="BD382">
        <v>7.432109593636428E-15</v>
      </c>
      <c r="BF382">
        <v>49999.999999999971</v>
      </c>
      <c r="BG382">
        <v>4.2949501646252873E-16</v>
      </c>
      <c r="BI382">
        <v>49999.999999999971</v>
      </c>
      <c r="BJ382">
        <v>8.9332236225411795E-15</v>
      </c>
      <c r="BL382">
        <v>49999.999999999971</v>
      </c>
      <c r="BM382">
        <v>7.9973712641503004E-15</v>
      </c>
      <c r="BO382">
        <v>49999.999999999971</v>
      </c>
      <c r="BP382">
        <v>8.8600214615543405E-15</v>
      </c>
      <c r="BR382">
        <v>49999.999999999971</v>
      </c>
      <c r="BS382">
        <v>8.8050378739034522E-15</v>
      </c>
      <c r="BU382">
        <v>49999.999999999971</v>
      </c>
      <c r="BV382">
        <v>8.9635458916318213E-15</v>
      </c>
      <c r="BX382">
        <v>49999.999999999971</v>
      </c>
      <c r="BY382">
        <v>2.9872573447730518E-19</v>
      </c>
    </row>
    <row r="383" spans="13:77" x14ac:dyDescent="0.35">
      <c r="M383">
        <v>22000.000000005432</v>
      </c>
      <c r="N383">
        <v>7636.3636363637897</v>
      </c>
      <c r="P383">
        <v>22000.000000002176</v>
      </c>
      <c r="Q383">
        <v>7636.3636363624764</v>
      </c>
      <c r="S383">
        <v>22000.000000010732</v>
      </c>
      <c r="T383">
        <v>7636.3636363623527</v>
      </c>
      <c r="V383">
        <v>22000.000000001692</v>
      </c>
      <c r="W383">
        <v>7636.3636363622954</v>
      </c>
      <c r="Y383">
        <v>22000.000000000797</v>
      </c>
      <c r="Z383">
        <v>7636.3636363624564</v>
      </c>
      <c r="AB383">
        <v>22000.000000001524</v>
      </c>
      <c r="AC383">
        <v>7636.3636363623273</v>
      </c>
      <c r="AE383">
        <v>22000.000000001441</v>
      </c>
      <c r="AF383">
        <v>7636.3636363623427</v>
      </c>
      <c r="AH383">
        <v>22000.000000001979</v>
      </c>
      <c r="AI383">
        <v>7636.3636363622409</v>
      </c>
      <c r="AK383">
        <v>21999.999999934404</v>
      </c>
      <c r="AL383">
        <v>7636.3636363427477</v>
      </c>
      <c r="AZ383">
        <v>49999.999999999971</v>
      </c>
      <c r="BA383">
        <v>1.1287160125884237E-15</v>
      </c>
      <c r="BC383">
        <v>49999.999999999971</v>
      </c>
      <c r="BD383">
        <v>6.6544558636589621E-15</v>
      </c>
      <c r="BF383">
        <v>49999.999999999971</v>
      </c>
      <c r="BG383">
        <v>3.8455509767489443E-16</v>
      </c>
      <c r="BI383">
        <v>49999.999999999971</v>
      </c>
      <c r="BJ383">
        <v>7.9985018476173913E-15</v>
      </c>
      <c r="BL383">
        <v>49999.999999999971</v>
      </c>
      <c r="BM383">
        <v>7.160571763924131E-15</v>
      </c>
      <c r="BO383">
        <v>49999.999999999971</v>
      </c>
      <c r="BP383">
        <v>7.932959144933288E-15</v>
      </c>
      <c r="BR383">
        <v>49999.999999999971</v>
      </c>
      <c r="BS383">
        <v>7.8837287275613827E-15</v>
      </c>
      <c r="BU383">
        <v>49999.999999999971</v>
      </c>
      <c r="BV383">
        <v>8.0256513667152293E-15</v>
      </c>
      <c r="BX383">
        <v>49999.999999999971</v>
      </c>
      <c r="BY383">
        <v>2.6746877052518042E-19</v>
      </c>
    </row>
    <row r="384" spans="13:77" x14ac:dyDescent="0.35">
      <c r="M384">
        <v>22000.000000004547</v>
      </c>
      <c r="N384">
        <v>7636.363636364229</v>
      </c>
      <c r="P384">
        <v>22000.000000002106</v>
      </c>
      <c r="Q384">
        <v>7636.3636363626656</v>
      </c>
      <c r="S384">
        <v>22000.000000009357</v>
      </c>
      <c r="T384">
        <v>7636.3636363632386</v>
      </c>
      <c r="V384">
        <v>22000.000000001743</v>
      </c>
      <c r="W384">
        <v>7636.3636363624473</v>
      </c>
      <c r="Y384">
        <v>22000.00000000095</v>
      </c>
      <c r="Z384">
        <v>7636.3636363625346</v>
      </c>
      <c r="AB384">
        <v>22000.000000001593</v>
      </c>
      <c r="AC384">
        <v>7636.3636363624655</v>
      </c>
      <c r="AE384">
        <v>22000.000000001517</v>
      </c>
      <c r="AF384">
        <v>7636.3636363624737</v>
      </c>
      <c r="AH384">
        <v>22000.000000001997</v>
      </c>
      <c r="AI384">
        <v>7636.3636363624173</v>
      </c>
      <c r="AK384">
        <v>21999.99999994953</v>
      </c>
      <c r="AL384">
        <v>7636.3636363376563</v>
      </c>
      <c r="AZ384">
        <v>49999.999999999971</v>
      </c>
      <c r="BA384">
        <v>1.0106135806724258E-15</v>
      </c>
      <c r="BC384">
        <v>49999.999999999971</v>
      </c>
      <c r="BD384">
        <v>5.9581714025450318E-15</v>
      </c>
      <c r="BF384">
        <v>49999.999999999971</v>
      </c>
      <c r="BG384">
        <v>3.4431743670918618E-16</v>
      </c>
      <c r="BI384">
        <v>49999.999999999971</v>
      </c>
      <c r="BJ384">
        <v>7.1615840495594748E-15</v>
      </c>
      <c r="BL384">
        <v>49999.999999999971</v>
      </c>
      <c r="BM384">
        <v>6.4113302099843482E-15</v>
      </c>
      <c r="BO384">
        <v>49999.999999999971</v>
      </c>
      <c r="BP384">
        <v>7.1028993629706581E-15</v>
      </c>
      <c r="BR384">
        <v>49999.999999999971</v>
      </c>
      <c r="BS384">
        <v>7.0588201368204738E-15</v>
      </c>
      <c r="BU384">
        <v>49999.999999999971</v>
      </c>
      <c r="BV384">
        <v>7.1858927972010347E-15</v>
      </c>
      <c r="BX384">
        <v>49999.999999999971</v>
      </c>
      <c r="BY384">
        <v>2.3948235772665455E-19</v>
      </c>
    </row>
    <row r="385" spans="13:77" x14ac:dyDescent="0.35">
      <c r="M385">
        <v>22000.0000000037</v>
      </c>
      <c r="N385">
        <v>7636.363636364591</v>
      </c>
      <c r="P385">
        <v>22000.000000002005</v>
      </c>
      <c r="Q385">
        <v>7636.3636363628475</v>
      </c>
      <c r="S385">
        <v>22000.000000007989</v>
      </c>
      <c r="T385">
        <v>7636.3636363640026</v>
      </c>
      <c r="V385">
        <v>22000.00000000175</v>
      </c>
      <c r="W385">
        <v>7636.3636363626019</v>
      </c>
      <c r="Y385">
        <v>22000.000000001059</v>
      </c>
      <c r="Z385">
        <v>7636.3636363626238</v>
      </c>
      <c r="AB385">
        <v>22000.000000001619</v>
      </c>
      <c r="AC385">
        <v>7636.3636363626083</v>
      </c>
      <c r="AE385">
        <v>22000.000000001553</v>
      </c>
      <c r="AF385">
        <v>7636.3636363626101</v>
      </c>
      <c r="AH385">
        <v>22000.000000001972</v>
      </c>
      <c r="AI385">
        <v>7636.3636363625928</v>
      </c>
      <c r="AK385">
        <v>21999.999999963486</v>
      </c>
      <c r="AL385">
        <v>7636.3636363338501</v>
      </c>
      <c r="AZ385">
        <v>49999.999999999971</v>
      </c>
      <c r="BA385">
        <v>9.0486871635439833E-16</v>
      </c>
      <c r="BC385">
        <v>49999.999999999971</v>
      </c>
      <c r="BD385">
        <v>5.334742192216722E-15</v>
      </c>
      <c r="BF385">
        <v>49999.999999999971</v>
      </c>
      <c r="BG385">
        <v>3.0829001601796793E-16</v>
      </c>
      <c r="BI385">
        <v>49999.999999999971</v>
      </c>
      <c r="BJ385">
        <v>6.412236575801071E-15</v>
      </c>
      <c r="BL385">
        <v>49999.999999999971</v>
      </c>
      <c r="BM385">
        <v>5.7404850362021274E-15</v>
      </c>
      <c r="BO385">
        <v>49999.999999999971</v>
      </c>
      <c r="BP385">
        <v>6.3596923214601084E-15</v>
      </c>
      <c r="BR385">
        <v>49999.999999999971</v>
      </c>
      <c r="BS385">
        <v>6.3202252951434092E-15</v>
      </c>
      <c r="BU385">
        <v>49999.999999999971</v>
      </c>
      <c r="BV385">
        <v>6.4340017941746122E-15</v>
      </c>
      <c r="BX385">
        <v>49999.999999999971</v>
      </c>
      <c r="BY385">
        <v>2.1442428418729371E-19</v>
      </c>
    </row>
    <row r="386" spans="13:77" x14ac:dyDescent="0.35">
      <c r="M386">
        <v>22000.000000002899</v>
      </c>
      <c r="N386">
        <v>7636.3636363648802</v>
      </c>
      <c r="P386">
        <v>22000.000000001877</v>
      </c>
      <c r="Q386">
        <v>7636.3636363630194</v>
      </c>
      <c r="S386">
        <v>22000.000000006658</v>
      </c>
      <c r="T386">
        <v>7636.3636363646474</v>
      </c>
      <c r="V386">
        <v>22000.000000001717</v>
      </c>
      <c r="W386">
        <v>7636.3636363627556</v>
      </c>
      <c r="Y386">
        <v>22000.000000001131</v>
      </c>
      <c r="Z386">
        <v>7636.3636363627211</v>
      </c>
      <c r="AB386">
        <v>22000.000000001608</v>
      </c>
      <c r="AC386">
        <v>7636.3636363627511</v>
      </c>
      <c r="AE386">
        <v>22000.00000000155</v>
      </c>
      <c r="AF386">
        <v>7636.3636363627475</v>
      </c>
      <c r="AH386">
        <v>22000.000000001906</v>
      </c>
      <c r="AI386">
        <v>7636.3636363627647</v>
      </c>
      <c r="AK386">
        <v>21999.999999976153</v>
      </c>
      <c r="AL386">
        <v>7636.3636363312189</v>
      </c>
      <c r="AZ386">
        <v>49999.999999999971</v>
      </c>
      <c r="BA386">
        <v>8.101883939577231E-16</v>
      </c>
      <c r="BC386">
        <v>49999.999999999971</v>
      </c>
      <c r="BD386">
        <v>4.7765450730841369E-15</v>
      </c>
      <c r="BF386">
        <v>49999.999999999971</v>
      </c>
      <c r="BG386">
        <v>2.7603229997507481E-16</v>
      </c>
      <c r="BI386">
        <v>49999.999999999971</v>
      </c>
      <c r="BJ386">
        <v>5.7412965650483748E-15</v>
      </c>
      <c r="BL386">
        <v>49999.999999999971</v>
      </c>
      <c r="BM386">
        <v>5.139833290686331E-15</v>
      </c>
      <c r="BO386">
        <v>49999.999999999971</v>
      </c>
      <c r="BP386">
        <v>5.6942502430054131E-15</v>
      </c>
      <c r="BR386">
        <v>49999.999999999971</v>
      </c>
      <c r="BS386">
        <v>5.6589128221311012E-15</v>
      </c>
      <c r="BU386">
        <v>49999.999999999971</v>
      </c>
      <c r="BV386">
        <v>5.7607843946080526E-15</v>
      </c>
      <c r="BX386">
        <v>49999.999999999971</v>
      </c>
      <c r="BY386">
        <v>1.9198814512137209E-19</v>
      </c>
    </row>
    <row r="387" spans="13:77" x14ac:dyDescent="0.35">
      <c r="M387">
        <v>22000.000000002157</v>
      </c>
      <c r="N387">
        <v>7636.3636363651021</v>
      </c>
      <c r="P387">
        <v>22000.000000001728</v>
      </c>
      <c r="Q387">
        <v>7636.3636363631786</v>
      </c>
      <c r="S387">
        <v>22000.000000005381</v>
      </c>
      <c r="T387">
        <v>7636.3636363651767</v>
      </c>
      <c r="V387">
        <v>22000.000000001655</v>
      </c>
      <c r="W387">
        <v>7636.3636363629048</v>
      </c>
      <c r="Y387">
        <v>22000.000000001168</v>
      </c>
      <c r="Z387">
        <v>7636.3636363628229</v>
      </c>
      <c r="AB387">
        <v>22000.000000001564</v>
      </c>
      <c r="AC387">
        <v>7636.3636363628912</v>
      </c>
      <c r="AE387">
        <v>22000.000000001517</v>
      </c>
      <c r="AF387">
        <v>7636.363636362883</v>
      </c>
      <c r="AH387">
        <v>22000.000000001812</v>
      </c>
      <c r="AI387">
        <v>7636.3636363629294</v>
      </c>
      <c r="AK387">
        <v>21999.99999998746</v>
      </c>
      <c r="AL387">
        <v>7636.3636363296455</v>
      </c>
      <c r="AZ387">
        <v>49999.999999999971</v>
      </c>
      <c r="BA387">
        <v>7.2541488266758571E-16</v>
      </c>
      <c r="BC387">
        <v>49999.999999999971</v>
      </c>
      <c r="BD387">
        <v>4.2767545296737136E-15</v>
      </c>
      <c r="BF387">
        <v>49999.999999999971</v>
      </c>
      <c r="BG387">
        <v>2.4714984809981296E-16</v>
      </c>
      <c r="BI387">
        <v>49999.999999999971</v>
      </c>
      <c r="BJ387">
        <v>5.1405599057639756E-15</v>
      </c>
      <c r="BL387">
        <v>49999.999999999971</v>
      </c>
      <c r="BM387">
        <v>4.6020303318350612E-15</v>
      </c>
      <c r="BO387">
        <v>49999.999999999971</v>
      </c>
      <c r="BP387">
        <v>5.0984362436142096E-15</v>
      </c>
      <c r="BR387">
        <v>49999.999999999971</v>
      </c>
      <c r="BS387">
        <v>5.0667963297269075E-15</v>
      </c>
      <c r="BU387">
        <v>49999.999999999971</v>
      </c>
      <c r="BV387">
        <v>5.1580086395386251E-15</v>
      </c>
      <c r="BX387">
        <v>49999.999999999971</v>
      </c>
      <c r="BY387">
        <v>1.7189959619941796E-19</v>
      </c>
    </row>
    <row r="388" spans="13:77" x14ac:dyDescent="0.35">
      <c r="M388">
        <v>22000.000000001477</v>
      </c>
      <c r="N388">
        <v>7636.3636363652604</v>
      </c>
      <c r="P388">
        <v>22000.000000001564</v>
      </c>
      <c r="Q388">
        <v>7636.3636363633241</v>
      </c>
      <c r="S388">
        <v>22000.00000000418</v>
      </c>
      <c r="T388">
        <v>7636.363636365596</v>
      </c>
      <c r="V388">
        <v>22000.000000001568</v>
      </c>
      <c r="W388">
        <v>7636.3636363630476</v>
      </c>
      <c r="Y388">
        <v>22000.000000001175</v>
      </c>
      <c r="Z388">
        <v>7636.3636363629266</v>
      </c>
      <c r="AB388">
        <v>22000.000000001495</v>
      </c>
      <c r="AC388">
        <v>7636.3636363630267</v>
      </c>
      <c r="AE388">
        <v>22000.000000001455</v>
      </c>
      <c r="AF388">
        <v>7636.3636363630148</v>
      </c>
      <c r="AH388">
        <v>22000.000000001695</v>
      </c>
      <c r="AI388">
        <v>7636.363636363084</v>
      </c>
      <c r="AK388">
        <v>21999.999999997366</v>
      </c>
      <c r="AL388">
        <v>7636.3636363290079</v>
      </c>
      <c r="AZ388">
        <v>49999.999999999971</v>
      </c>
      <c r="BA388">
        <v>6.495115900451747E-16</v>
      </c>
      <c r="BC388">
        <v>49999.999999999971</v>
      </c>
      <c r="BD388">
        <v>3.8292592296788835E-15</v>
      </c>
      <c r="BF388">
        <v>49999.999999999971</v>
      </c>
      <c r="BG388">
        <v>2.2128949192277971E-16</v>
      </c>
      <c r="BI388">
        <v>49999.999999999971</v>
      </c>
      <c r="BJ388">
        <v>4.6026809180384988E-15</v>
      </c>
      <c r="BL388">
        <v>49999.999999999971</v>
      </c>
      <c r="BM388">
        <v>4.1205000196226009E-15</v>
      </c>
      <c r="BO388">
        <v>49999.999999999971</v>
      </c>
      <c r="BP388">
        <v>4.5649648366137426E-15</v>
      </c>
      <c r="BR388">
        <v>49999.999999999971</v>
      </c>
      <c r="BS388">
        <v>4.5366355435859198E-15</v>
      </c>
      <c r="BU388">
        <v>49999.999999999971</v>
      </c>
      <c r="BV388">
        <v>4.6183039154280361E-15</v>
      </c>
      <c r="BX388">
        <v>49999.999999999971</v>
      </c>
      <c r="BY388">
        <v>1.5391299892418985E-19</v>
      </c>
    </row>
    <row r="389" spans="13:77" x14ac:dyDescent="0.35">
      <c r="M389">
        <v>22000.000000000866</v>
      </c>
      <c r="N389">
        <v>7636.3636363653623</v>
      </c>
      <c r="P389">
        <v>22000.000000001393</v>
      </c>
      <c r="Q389">
        <v>7636.3636363634541</v>
      </c>
      <c r="S389">
        <v>22000.00000000307</v>
      </c>
      <c r="T389">
        <v>7636.3636363659134</v>
      </c>
      <c r="V389">
        <v>22000.000000001462</v>
      </c>
      <c r="W389">
        <v>7636.3636363631813</v>
      </c>
      <c r="Y389">
        <v>22000.000000001157</v>
      </c>
      <c r="Z389">
        <v>7636.3636363630294</v>
      </c>
      <c r="AB389">
        <v>22000.000000001404</v>
      </c>
      <c r="AC389">
        <v>7636.3636363631549</v>
      </c>
      <c r="AE389">
        <v>22000.000000001375</v>
      </c>
      <c r="AF389">
        <v>7636.3636363631394</v>
      </c>
      <c r="AH389">
        <v>22000.000000001561</v>
      </c>
      <c r="AI389">
        <v>7636.3636363632277</v>
      </c>
      <c r="AK389">
        <v>22000.000000005875</v>
      </c>
      <c r="AL389">
        <v>7636.3636363291816</v>
      </c>
      <c r="AZ389">
        <v>49999.999999999971</v>
      </c>
      <c r="BA389">
        <v>5.8155038679614012E-16</v>
      </c>
      <c r="BC389">
        <v>49999.999999999971</v>
      </c>
      <c r="BD389">
        <v>3.4285872958903763E-15</v>
      </c>
      <c r="BF389">
        <v>49999.999999999971</v>
      </c>
      <c r="BG389">
        <v>1.9813501651704656E-16</v>
      </c>
      <c r="BI389">
        <v>49999.999999999971</v>
      </c>
      <c r="BJ389">
        <v>4.1210825321813486E-15</v>
      </c>
      <c r="BL389">
        <v>49999.999999999971</v>
      </c>
      <c r="BM389">
        <v>3.6893543039599357E-15</v>
      </c>
      <c r="BO389">
        <v>49999.999999999971</v>
      </c>
      <c r="BP389">
        <v>4.087312847271682E-15</v>
      </c>
      <c r="BR389">
        <v>49999.999999999971</v>
      </c>
      <c r="BS389">
        <v>4.0619477705424958E-15</v>
      </c>
      <c r="BU389">
        <v>49999.999999999971</v>
      </c>
      <c r="BV389">
        <v>4.1350708278700647E-15</v>
      </c>
      <c r="BX389">
        <v>49999.999999999971</v>
      </c>
      <c r="BY389">
        <v>1.3780841701545471E-19</v>
      </c>
    </row>
    <row r="390" spans="13:77" x14ac:dyDescent="0.35">
      <c r="M390">
        <v>22000.000000000327</v>
      </c>
      <c r="N390">
        <v>7636.3636363654132</v>
      </c>
      <c r="P390">
        <v>22000.000000001219</v>
      </c>
      <c r="Q390">
        <v>7636.3636363635687</v>
      </c>
      <c r="S390">
        <v>22000.000000002059</v>
      </c>
      <c r="T390">
        <v>7636.3636363661371</v>
      </c>
      <c r="V390">
        <v>22000.000000001342</v>
      </c>
      <c r="W390">
        <v>7636.363636363305</v>
      </c>
      <c r="Y390">
        <v>22000.000000001117</v>
      </c>
      <c r="Z390">
        <v>7636.3636363631294</v>
      </c>
      <c r="AB390">
        <v>22000.000000001299</v>
      </c>
      <c r="AC390">
        <v>7636.3636363632741</v>
      </c>
      <c r="AE390">
        <v>22000.000000001277</v>
      </c>
      <c r="AF390">
        <v>7636.3636363632568</v>
      </c>
      <c r="AH390">
        <v>22000.000000001412</v>
      </c>
      <c r="AI390">
        <v>7636.3636363633595</v>
      </c>
      <c r="AK390">
        <v>22000.000000013017</v>
      </c>
      <c r="AL390">
        <v>7636.3636363300438</v>
      </c>
      <c r="AZ390">
        <v>49999.999999999971</v>
      </c>
      <c r="BA390">
        <v>5.2070025780327907E-16</v>
      </c>
      <c r="BC390">
        <v>49999.999999999971</v>
      </c>
      <c r="BD390">
        <v>3.0698393972472477E-15</v>
      </c>
      <c r="BF390">
        <v>49999.999999999971</v>
      </c>
      <c r="BG390">
        <v>1.7740329388938833E-16</v>
      </c>
      <c r="BI390">
        <v>49999.999999999971</v>
      </c>
      <c r="BJ390">
        <v>3.6898758657134828E-15</v>
      </c>
      <c r="BL390">
        <v>49999.999999999971</v>
      </c>
      <c r="BM390">
        <v>3.303321226872454E-15</v>
      </c>
      <c r="BO390">
        <v>49999.999999999971</v>
      </c>
      <c r="BP390">
        <v>3.6596396488049677E-15</v>
      </c>
      <c r="BR390">
        <v>49999.999999999971</v>
      </c>
      <c r="BS390">
        <v>3.6369286296190811E-15</v>
      </c>
      <c r="BU390">
        <v>49999.999999999971</v>
      </c>
      <c r="BV390">
        <v>3.7024005056014728E-15</v>
      </c>
      <c r="BX390">
        <v>49999.999999999971</v>
      </c>
      <c r="BY390">
        <v>1.2338892707600092E-19</v>
      </c>
    </row>
    <row r="391" spans="13:77" x14ac:dyDescent="0.35">
      <c r="M391">
        <v>21999.999999999862</v>
      </c>
      <c r="N391">
        <v>7636.3636363654196</v>
      </c>
      <c r="P391">
        <v>22000.000000001044</v>
      </c>
      <c r="Q391">
        <v>7636.3636363636688</v>
      </c>
      <c r="S391">
        <v>22000.000000001153</v>
      </c>
      <c r="T391">
        <v>7636.3636363662763</v>
      </c>
      <c r="V391">
        <v>22000.000000001211</v>
      </c>
      <c r="W391">
        <v>7636.3636363634178</v>
      </c>
      <c r="Y391">
        <v>22000.000000001062</v>
      </c>
      <c r="Z391">
        <v>7636.3636363632259</v>
      </c>
      <c r="AB391">
        <v>22000.000000001182</v>
      </c>
      <c r="AC391">
        <v>7636.3636363633832</v>
      </c>
      <c r="AE391">
        <v>22000.000000001168</v>
      </c>
      <c r="AF391">
        <v>7636.363636363365</v>
      </c>
      <c r="AH391">
        <v>22000.000000001255</v>
      </c>
      <c r="AI391">
        <v>7636.3636363634769</v>
      </c>
      <c r="AK391">
        <v>22000.000000018841</v>
      </c>
      <c r="AL391">
        <v>7636.3636363314763</v>
      </c>
      <c r="AZ391">
        <v>49999.999999999971</v>
      </c>
      <c r="BA391">
        <v>4.6621714065069353E-16</v>
      </c>
      <c r="BC391">
        <v>49999.999999999971</v>
      </c>
      <c r="BD391">
        <v>2.7486288408602501E-15</v>
      </c>
      <c r="BF391">
        <v>49999.999999999971</v>
      </c>
      <c r="BG391">
        <v>1.5884082095148989E-16</v>
      </c>
      <c r="BI391">
        <v>49999.999999999971</v>
      </c>
      <c r="BJ391">
        <v>3.3037882153668277E-15</v>
      </c>
      <c r="BL391">
        <v>49999.999999999971</v>
      </c>
      <c r="BM391">
        <v>2.9576804581207912E-15</v>
      </c>
      <c r="BO391">
        <v>49999.999999999971</v>
      </c>
      <c r="BP391">
        <v>3.2767157444395949E-15</v>
      </c>
      <c r="BR391">
        <v>49999.999999999971</v>
      </c>
      <c r="BS391">
        <v>3.2563810772919794E-15</v>
      </c>
      <c r="BU391">
        <v>49999.999999999971</v>
      </c>
      <c r="BV391">
        <v>3.3150023480828219E-15</v>
      </c>
      <c r="BX391">
        <v>49999.999999999971</v>
      </c>
      <c r="BY391">
        <v>1.1047821065428292E-19</v>
      </c>
    </row>
    <row r="392" spans="13:77" x14ac:dyDescent="0.35">
      <c r="M392">
        <v>21999.999999999465</v>
      </c>
      <c r="N392">
        <v>7636.3636363653886</v>
      </c>
      <c r="P392">
        <v>22000.000000000873</v>
      </c>
      <c r="Q392">
        <v>7636.3636363637534</v>
      </c>
      <c r="S392">
        <v>22000.000000000357</v>
      </c>
      <c r="T392">
        <v>7636.36363636634</v>
      </c>
      <c r="V392">
        <v>22000.000000001073</v>
      </c>
      <c r="W392">
        <v>7636.3636363635187</v>
      </c>
      <c r="Y392">
        <v>22000.000000000993</v>
      </c>
      <c r="Z392">
        <v>7636.3636363633168</v>
      </c>
      <c r="AB392">
        <v>22000.000000001059</v>
      </c>
      <c r="AC392">
        <v>7636.3636363634814</v>
      </c>
      <c r="AE392">
        <v>22000.000000001048</v>
      </c>
      <c r="AF392">
        <v>7636.3636363634623</v>
      </c>
      <c r="AH392">
        <v>22000.000000001095</v>
      </c>
      <c r="AI392">
        <v>7636.3636363635806</v>
      </c>
      <c r="AK392">
        <v>22000.000000023421</v>
      </c>
      <c r="AL392">
        <v>7636.3636363333653</v>
      </c>
      <c r="AZ392">
        <v>49999.999999999971</v>
      </c>
      <c r="BA392">
        <v>4.1743482738705832E-16</v>
      </c>
      <c r="BC392">
        <v>49999.999999999971</v>
      </c>
      <c r="BD392">
        <v>2.4610279324655753E-15</v>
      </c>
      <c r="BF392">
        <v>49999.999999999971</v>
      </c>
      <c r="BG392">
        <v>1.4222061973817991E-16</v>
      </c>
      <c r="BI392">
        <v>49999.999999999971</v>
      </c>
      <c r="BJ392">
        <v>2.9580985835918292E-15</v>
      </c>
      <c r="BL392">
        <v>49999.999999999971</v>
      </c>
      <c r="BM392">
        <v>2.648205576008119E-15</v>
      </c>
      <c r="BO392">
        <v>49999.999999999971</v>
      </c>
      <c r="BP392">
        <v>2.9338588222379717E-15</v>
      </c>
      <c r="BR392">
        <v>49999.999999999971</v>
      </c>
      <c r="BS392">
        <v>2.9156518591501475E-15</v>
      </c>
      <c r="BU392">
        <v>49999.999999999971</v>
      </c>
      <c r="BV392">
        <v>2.9681393331620041E-15</v>
      </c>
      <c r="BX392">
        <v>49999.999999999971</v>
      </c>
      <c r="BY392">
        <v>9.8918398259952642E-20</v>
      </c>
    </row>
    <row r="393" spans="13:77" x14ac:dyDescent="0.35">
      <c r="M393">
        <v>21999.999999999138</v>
      </c>
      <c r="N393">
        <v>7636.3636363653259</v>
      </c>
      <c r="P393">
        <v>22000.000000000709</v>
      </c>
      <c r="Q393">
        <v>7636.3636363638234</v>
      </c>
      <c r="S393">
        <v>21999.999999999669</v>
      </c>
      <c r="T393">
        <v>7636.3636363663381</v>
      </c>
      <c r="V393">
        <v>22000.000000000935</v>
      </c>
      <c r="W393">
        <v>7636.3636363636069</v>
      </c>
      <c r="Y393">
        <v>22000.000000000913</v>
      </c>
      <c r="Z393">
        <v>7636.3636363634014</v>
      </c>
      <c r="AB393">
        <v>22000.000000000928</v>
      </c>
      <c r="AC393">
        <v>7636.3636363635687</v>
      </c>
      <c r="AE393">
        <v>22000.000000000924</v>
      </c>
      <c r="AF393">
        <v>7636.3636363635496</v>
      </c>
      <c r="AH393">
        <v>22000.000000000939</v>
      </c>
      <c r="AI393">
        <v>7636.3636363636697</v>
      </c>
      <c r="AK393">
        <v>22000.000000026845</v>
      </c>
      <c r="AL393">
        <v>7636.3636363356054</v>
      </c>
      <c r="AZ393">
        <v>49999.999999999971</v>
      </c>
      <c r="BA393">
        <v>3.7375681827669831E-16</v>
      </c>
      <c r="BC393">
        <v>49999.999999999971</v>
      </c>
      <c r="BD393">
        <v>2.2035199494160173E-15</v>
      </c>
      <c r="BF393">
        <v>49999.999999999971</v>
      </c>
      <c r="BG393">
        <v>1.2733946196922023E-16</v>
      </c>
      <c r="BI393">
        <v>49999.999999999971</v>
      </c>
      <c r="BJ393">
        <v>2.6485799512050179E-15</v>
      </c>
      <c r="BL393">
        <v>49999.999999999971</v>
      </c>
      <c r="BM393">
        <v>2.3711123875958892E-15</v>
      </c>
      <c r="BO393">
        <v>49999.999999999971</v>
      </c>
      <c r="BP393">
        <v>2.6268765007859094E-15</v>
      </c>
      <c r="BR393">
        <v>49999.999999999971</v>
      </c>
      <c r="BS393">
        <v>2.6105746108914259E-15</v>
      </c>
      <c r="BU393">
        <v>49999.999999999971</v>
      </c>
      <c r="BV393">
        <v>2.6575700937763804E-15</v>
      </c>
      <c r="BX393">
        <v>49999.999999999971</v>
      </c>
      <c r="BY393">
        <v>8.8568138969358585E-20</v>
      </c>
    </row>
    <row r="394" spans="13:77" x14ac:dyDescent="0.35">
      <c r="M394">
        <v>21999.999999998876</v>
      </c>
      <c r="N394">
        <v>7636.3636363652367</v>
      </c>
      <c r="P394">
        <v>22000.000000000557</v>
      </c>
      <c r="Q394">
        <v>7636.3636363638789</v>
      </c>
      <c r="S394">
        <v>21999.999999999091</v>
      </c>
      <c r="T394">
        <v>7636.3636363662808</v>
      </c>
      <c r="V394">
        <v>22000.000000000797</v>
      </c>
      <c r="W394">
        <v>7636.3636363636833</v>
      </c>
      <c r="Y394">
        <v>22000.000000000826</v>
      </c>
      <c r="Z394">
        <v>7636.3636363634778</v>
      </c>
      <c r="AB394">
        <v>22000.0000000008</v>
      </c>
      <c r="AC394">
        <v>7636.3636363636442</v>
      </c>
      <c r="AE394">
        <v>22000.0000000008</v>
      </c>
      <c r="AF394">
        <v>7636.3636363636251</v>
      </c>
      <c r="AH394">
        <v>22000.000000000786</v>
      </c>
      <c r="AI394">
        <v>7636.3636363637452</v>
      </c>
      <c r="AK394">
        <v>22000.000000029209</v>
      </c>
      <c r="AL394">
        <v>7636.3636363380983</v>
      </c>
      <c r="AZ394">
        <v>49999.999999999971</v>
      </c>
      <c r="BA394">
        <v>3.346490279278787E-16</v>
      </c>
      <c r="BC394">
        <v>49999.999999999971</v>
      </c>
      <c r="BD394">
        <v>1.972956138945524E-15</v>
      </c>
      <c r="BF394">
        <v>49999.999999999971</v>
      </c>
      <c r="BG394">
        <v>1.1401538401718403E-16</v>
      </c>
      <c r="BI394">
        <v>49999.999999999971</v>
      </c>
      <c r="BJ394">
        <v>2.371447590298813E-15</v>
      </c>
      <c r="BL394">
        <v>49999.999999999971</v>
      </c>
      <c r="BM394">
        <v>2.1230126563986367E-15</v>
      </c>
      <c r="BO394">
        <v>49999.999999999971</v>
      </c>
      <c r="BP394">
        <v>2.3520150656456878E-15</v>
      </c>
      <c r="BR394">
        <v>49999.999999999971</v>
      </c>
      <c r="BS394">
        <v>2.3374189129073116E-15</v>
      </c>
      <c r="BU394">
        <v>49999.999999999971</v>
      </c>
      <c r="BV394">
        <v>2.3794970554197736E-15</v>
      </c>
      <c r="BX394">
        <v>49999.999999999971</v>
      </c>
      <c r="BY394">
        <v>7.9300872016559981E-20</v>
      </c>
    </row>
    <row r="395" spans="13:77" x14ac:dyDescent="0.35">
      <c r="M395">
        <v>21999.999999998676</v>
      </c>
      <c r="N395">
        <v>7636.3636363651276</v>
      </c>
      <c r="P395">
        <v>22000.000000000415</v>
      </c>
      <c r="Q395">
        <v>7636.3636363639207</v>
      </c>
      <c r="S395">
        <v>21999.999999998614</v>
      </c>
      <c r="T395">
        <v>7636.3636363661772</v>
      </c>
      <c r="V395">
        <v>22000.000000000662</v>
      </c>
      <c r="W395">
        <v>7636.3636363637479</v>
      </c>
      <c r="Y395">
        <v>22000.000000000735</v>
      </c>
      <c r="Z395">
        <v>7636.363636363546</v>
      </c>
      <c r="AB395">
        <v>22000.000000000673</v>
      </c>
      <c r="AC395">
        <v>7636.3636363637088</v>
      </c>
      <c r="AE395">
        <v>22000.000000000677</v>
      </c>
      <c r="AF395">
        <v>7636.3636363636906</v>
      </c>
      <c r="AH395">
        <v>22000.000000000637</v>
      </c>
      <c r="AI395">
        <v>7636.3636363638079</v>
      </c>
      <c r="AK395">
        <v>22000.000000030621</v>
      </c>
      <c r="AL395">
        <v>7636.363636340755</v>
      </c>
      <c r="AZ395">
        <v>49999.999999999971</v>
      </c>
      <c r="BA395">
        <v>2.9963325461039783E-16</v>
      </c>
      <c r="BC395">
        <v>49999.999999999971</v>
      </c>
      <c r="BD395">
        <v>1.766517215891077E-15</v>
      </c>
      <c r="BF395">
        <v>49999.999999999971</v>
      </c>
      <c r="BG395">
        <v>1.0208546189497888E-16</v>
      </c>
      <c r="BI395">
        <v>49999.999999999971</v>
      </c>
      <c r="BJ395">
        <v>2.1233127853948364E-15</v>
      </c>
      <c r="BL395">
        <v>49999.999999999971</v>
      </c>
      <c r="BM395">
        <v>1.9008726717499479E-15</v>
      </c>
      <c r="BO395">
        <v>49999.999999999971</v>
      </c>
      <c r="BP395">
        <v>2.1059135697354757E-15</v>
      </c>
      <c r="BR395">
        <v>49999.999999999971</v>
      </c>
      <c r="BS395">
        <v>2.0928446755065862E-15</v>
      </c>
      <c r="BU395">
        <v>49999.999999999971</v>
      </c>
      <c r="BV395">
        <v>2.1305200002103124E-15</v>
      </c>
      <c r="BX395">
        <v>49999.999999999971</v>
      </c>
      <c r="BY395">
        <v>7.1003279235239062E-20</v>
      </c>
    </row>
    <row r="396" spans="13:77" x14ac:dyDescent="0.35">
      <c r="M396">
        <v>21999.999999998534</v>
      </c>
      <c r="N396">
        <v>7636.363636365003</v>
      </c>
      <c r="P396">
        <v>22000.000000000284</v>
      </c>
      <c r="Q396">
        <v>7636.3636363639507</v>
      </c>
      <c r="S396">
        <v>21999.999999998236</v>
      </c>
      <c r="T396">
        <v>7636.3636363660362</v>
      </c>
      <c r="V396">
        <v>22000.000000000531</v>
      </c>
      <c r="W396">
        <v>7636.3636363638007</v>
      </c>
      <c r="Y396">
        <v>22000.00000000064</v>
      </c>
      <c r="Z396">
        <v>7636.3636363636069</v>
      </c>
      <c r="AB396">
        <v>22000.000000000549</v>
      </c>
      <c r="AC396">
        <v>7636.3636363637625</v>
      </c>
      <c r="AE396">
        <v>22000.000000000557</v>
      </c>
      <c r="AF396">
        <v>7636.3636363637452</v>
      </c>
      <c r="AH396">
        <v>22000.000000000498</v>
      </c>
      <c r="AI396">
        <v>7636.3636363638579</v>
      </c>
      <c r="AK396">
        <v>22000.000000031192</v>
      </c>
      <c r="AL396">
        <v>7636.3636363434962</v>
      </c>
      <c r="AZ396">
        <v>49999.999999999971</v>
      </c>
      <c r="BA396">
        <v>2.6828133290669019E-16</v>
      </c>
      <c r="BC396">
        <v>49999.999999999971</v>
      </c>
      <c r="BD396">
        <v>1.581678889074242E-15</v>
      </c>
      <c r="BF396">
        <v>49999.999999999971</v>
      </c>
      <c r="BG396">
        <v>9.1403819056036327E-17</v>
      </c>
      <c r="BI396">
        <v>49999.999999999971</v>
      </c>
      <c r="BJ396">
        <v>1.90114139695286E-15</v>
      </c>
      <c r="BL396">
        <v>49999.999999999971</v>
      </c>
      <c r="BM396">
        <v>1.7019761532346301E-15</v>
      </c>
      <c r="BO396">
        <v>49999.999999999971</v>
      </c>
      <c r="BP396">
        <v>1.8855627363843137E-15</v>
      </c>
      <c r="BR396">
        <v>49999.999999999971</v>
      </c>
      <c r="BS396">
        <v>1.8738612970100292E-15</v>
      </c>
      <c r="BU396">
        <v>49999.999999999971</v>
      </c>
      <c r="BV396">
        <v>1.9075944897504366E-15</v>
      </c>
      <c r="BX396">
        <v>49999.999999999971</v>
      </c>
      <c r="BY396">
        <v>6.3573899428300715E-20</v>
      </c>
    </row>
    <row r="397" spans="13:77" x14ac:dyDescent="0.35">
      <c r="M397">
        <v>21999.999999998443</v>
      </c>
      <c r="N397">
        <v>7636.3636363648684</v>
      </c>
      <c r="P397">
        <v>22000.000000000167</v>
      </c>
      <c r="Q397">
        <v>7636.3636363639698</v>
      </c>
      <c r="S397">
        <v>21999.999999997948</v>
      </c>
      <c r="T397">
        <v>7636.3636363658661</v>
      </c>
      <c r="V397">
        <v>22000.000000000411</v>
      </c>
      <c r="W397">
        <v>7636.3636363638416</v>
      </c>
      <c r="Y397">
        <v>22000.000000000546</v>
      </c>
      <c r="Z397">
        <v>7636.3636363636588</v>
      </c>
      <c r="AB397">
        <v>22000.000000000433</v>
      </c>
      <c r="AC397">
        <v>7636.3636363638052</v>
      </c>
      <c r="AE397">
        <v>22000.000000000444</v>
      </c>
      <c r="AF397">
        <v>7636.3636363637888</v>
      </c>
      <c r="AH397">
        <v>22000.000000000367</v>
      </c>
      <c r="AI397">
        <v>7636.3636363638961</v>
      </c>
      <c r="AK397">
        <v>22000.000000031032</v>
      </c>
      <c r="AL397">
        <v>7636.3636363462538</v>
      </c>
      <c r="AZ397">
        <v>49999.999999999971</v>
      </c>
      <c r="BA397">
        <v>2.4020989819630211E-16</v>
      </c>
      <c r="BC397">
        <v>49999.999999999971</v>
      </c>
      <c r="BD397">
        <v>1.4161809948063268E-15</v>
      </c>
      <c r="BF397">
        <v>49999.999999999971</v>
      </c>
      <c r="BG397">
        <v>8.1839842646972989E-17</v>
      </c>
      <c r="BI397">
        <v>49999.999999999971</v>
      </c>
      <c r="BJ397">
        <v>1.7022167605587958E-15</v>
      </c>
      <c r="BL397">
        <v>49999.999999999971</v>
      </c>
      <c r="BM397">
        <v>1.5238910365903777E-15</v>
      </c>
      <c r="BO397">
        <v>49999.999999999971</v>
      </c>
      <c r="BP397">
        <v>1.6882681625379756E-15</v>
      </c>
      <c r="BR397">
        <v>49999.999999999971</v>
      </c>
      <c r="BS397">
        <v>1.6777910953101016E-15</v>
      </c>
      <c r="BU397">
        <v>49999.999999999971</v>
      </c>
      <c r="BV397">
        <v>1.7079946383826558E-15</v>
      </c>
      <c r="BX397">
        <v>49999.999999999971</v>
      </c>
      <c r="BY397">
        <v>5.6921887721966231E-20</v>
      </c>
    </row>
    <row r="398" spans="13:77" x14ac:dyDescent="0.35">
      <c r="M398">
        <v>21999.999999998399</v>
      </c>
      <c r="N398">
        <v>7636.3636363647283</v>
      </c>
      <c r="P398">
        <v>22000.000000000062</v>
      </c>
      <c r="Q398">
        <v>7636.3636363639798</v>
      </c>
      <c r="S398">
        <v>21999.999999997748</v>
      </c>
      <c r="T398">
        <v>7636.3636363656742</v>
      </c>
      <c r="V398">
        <v>22000.000000000298</v>
      </c>
      <c r="W398">
        <v>7636.3636363638725</v>
      </c>
      <c r="Y398">
        <v>22000.000000000455</v>
      </c>
      <c r="Z398">
        <v>7636.3636363637033</v>
      </c>
      <c r="AB398">
        <v>22000.000000000327</v>
      </c>
      <c r="AC398">
        <v>7636.3636363638389</v>
      </c>
      <c r="AE398">
        <v>22000.000000000338</v>
      </c>
      <c r="AF398">
        <v>7636.3636363638234</v>
      </c>
      <c r="AH398">
        <v>22000.000000000251</v>
      </c>
      <c r="AI398">
        <v>7636.3636363639225</v>
      </c>
      <c r="AK398">
        <v>22000.000000030253</v>
      </c>
      <c r="AL398">
        <v>7636.3636363489668</v>
      </c>
      <c r="AZ398">
        <v>49999.999999999971</v>
      </c>
      <c r="BA398">
        <v>2.1507569895497162E-16</v>
      </c>
      <c r="BC398">
        <v>49999.999999999971</v>
      </c>
      <c r="BD398">
        <v>1.2679998600882247E-15</v>
      </c>
      <c r="BF398">
        <v>49999.999999999971</v>
      </c>
      <c r="BG398">
        <v>7.3276586401440712E-17</v>
      </c>
      <c r="BI398">
        <v>49999.999999999971</v>
      </c>
      <c r="BJ398">
        <v>1.5241064681309064E-15</v>
      </c>
      <c r="BL398">
        <v>49999.999999999971</v>
      </c>
      <c r="BM398">
        <v>1.3644397349440169E-15</v>
      </c>
      <c r="BO398">
        <v>49999.999999999971</v>
      </c>
      <c r="BP398">
        <v>1.511617372172345E-15</v>
      </c>
      <c r="BR398">
        <v>49999.999999999971</v>
      </c>
      <c r="BS398">
        <v>1.5022365657444943E-15</v>
      </c>
      <c r="BU398">
        <v>49999.999999999971</v>
      </c>
      <c r="BV398">
        <v>1.5292797816403587E-15</v>
      </c>
      <c r="BX398">
        <v>49999.999999999971</v>
      </c>
      <c r="BY398">
        <v>5.096590473400721E-20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F7C57-6BA9-4843-B78A-1726460B40A5}">
  <sheetPr codeName="Arkusz3"/>
  <dimension ref="A1:BY398"/>
  <sheetViews>
    <sheetView zoomScale="60" zoomScaleNormal="60" workbookViewId="0">
      <selection activeCell="H54" sqref="H54"/>
    </sheetView>
  </sheetViews>
  <sheetFormatPr defaultColWidth="8.81640625" defaultRowHeight="14.5" x14ac:dyDescent="0.35"/>
  <cols>
    <col min="1" max="2" width="14" bestFit="1" customWidth="1"/>
    <col min="13" max="14" width="9.1796875" bestFit="1" customWidth="1"/>
    <col min="15" max="18" width="9" bestFit="1" customWidth="1"/>
    <col min="20" max="20" width="9" bestFit="1" customWidth="1"/>
    <col min="22" max="22" width="9" bestFit="1" customWidth="1"/>
    <col min="40" max="41" width="14" bestFit="1" customWidth="1"/>
  </cols>
  <sheetData>
    <row r="1" spans="1:77" x14ac:dyDescent="0.35">
      <c r="A1" t="s">
        <v>20</v>
      </c>
      <c r="B1" t="s">
        <v>21</v>
      </c>
      <c r="AN1" t="s">
        <v>20</v>
      </c>
      <c r="AO1" t="s">
        <v>21</v>
      </c>
    </row>
    <row r="2" spans="1:77" hidden="1" x14ac:dyDescent="0.35">
      <c r="A2" t="s">
        <v>0</v>
      </c>
      <c r="B2">
        <v>0</v>
      </c>
      <c r="N2" s="7" t="s">
        <v>8</v>
      </c>
      <c r="O2" s="8">
        <v>0</v>
      </c>
      <c r="P2" s="14">
        <v>0</v>
      </c>
      <c r="Q2" s="8">
        <v>0</v>
      </c>
      <c r="R2" s="11">
        <v>9471</v>
      </c>
      <c r="S2" s="12">
        <v>29931</v>
      </c>
      <c r="T2" s="11">
        <v>14302</v>
      </c>
      <c r="U2" s="11">
        <v>16578</v>
      </c>
      <c r="V2" s="11">
        <v>567</v>
      </c>
      <c r="W2" s="10">
        <v>4356</v>
      </c>
      <c r="AN2" t="s">
        <v>0</v>
      </c>
      <c r="AO2">
        <v>0</v>
      </c>
      <c r="BA2" s="7" t="s">
        <v>8</v>
      </c>
      <c r="BB2" s="8">
        <v>0</v>
      </c>
      <c r="BC2" s="14">
        <v>0</v>
      </c>
      <c r="BD2" s="8">
        <v>0</v>
      </c>
      <c r="BE2" s="11">
        <v>9471</v>
      </c>
      <c r="BF2" s="12">
        <v>29931</v>
      </c>
      <c r="BG2" s="11">
        <v>14302</v>
      </c>
      <c r="BH2" s="11">
        <v>16578</v>
      </c>
      <c r="BI2" s="11">
        <v>567</v>
      </c>
      <c r="BJ2" s="10">
        <v>4356</v>
      </c>
    </row>
    <row r="3" spans="1:77" hidden="1" x14ac:dyDescent="0.35">
      <c r="A3" t="s">
        <v>1</v>
      </c>
      <c r="B3">
        <v>90</v>
      </c>
      <c r="N3" s="6" t="s">
        <v>10</v>
      </c>
      <c r="O3" s="15">
        <v>5010</v>
      </c>
      <c r="P3" s="14">
        <v>38476</v>
      </c>
      <c r="Q3" s="8">
        <v>1654</v>
      </c>
      <c r="R3" s="11">
        <f>$B9-R2-R4</f>
        <v>40529</v>
      </c>
      <c r="S3" s="13">
        <f t="shared" ref="S3:V3" si="0">$B9-S2-S4</f>
        <v>20069</v>
      </c>
      <c r="T3" s="11">
        <f t="shared" si="0"/>
        <v>35698</v>
      </c>
      <c r="U3" s="11">
        <f t="shared" si="0"/>
        <v>33422</v>
      </c>
      <c r="V3" s="11">
        <f t="shared" si="0"/>
        <v>49433</v>
      </c>
      <c r="W3" s="10">
        <v>1</v>
      </c>
      <c r="AN3" t="s">
        <v>1</v>
      </c>
      <c r="AO3">
        <v>90</v>
      </c>
      <c r="BA3" s="6" t="s">
        <v>10</v>
      </c>
      <c r="BB3" s="15">
        <v>5010</v>
      </c>
      <c r="BC3" s="14">
        <v>38476</v>
      </c>
      <c r="BD3" s="8">
        <v>1654</v>
      </c>
      <c r="BE3" s="11">
        <f>$B9-BE2-BE4</f>
        <v>40529</v>
      </c>
      <c r="BF3" s="13">
        <f t="shared" ref="BF3:BI3" si="1">$B9-BF2-BF4</f>
        <v>20069</v>
      </c>
      <c r="BG3" s="11">
        <f t="shared" si="1"/>
        <v>35698</v>
      </c>
      <c r="BH3" s="11">
        <f t="shared" si="1"/>
        <v>33422</v>
      </c>
      <c r="BI3" s="11">
        <f t="shared" si="1"/>
        <v>49433</v>
      </c>
      <c r="BJ3" s="10">
        <v>1</v>
      </c>
    </row>
    <row r="4" spans="1:77" hidden="1" x14ac:dyDescent="0.35">
      <c r="A4" t="s">
        <v>2</v>
      </c>
      <c r="B4">
        <v>390</v>
      </c>
      <c r="N4" s="9" t="s">
        <v>9</v>
      </c>
      <c r="O4" s="8">
        <f>$B9-O3-O2</f>
        <v>44990</v>
      </c>
      <c r="P4" s="14">
        <f t="shared" ref="P4:Q4" si="2">$B9-P3-P2</f>
        <v>11524</v>
      </c>
      <c r="Q4" s="8">
        <f t="shared" si="2"/>
        <v>48346</v>
      </c>
      <c r="R4" s="11">
        <v>0</v>
      </c>
      <c r="S4" s="13">
        <v>0</v>
      </c>
      <c r="T4" s="11">
        <v>0</v>
      </c>
      <c r="U4" s="11">
        <v>0</v>
      </c>
      <c r="V4" s="11">
        <v>0</v>
      </c>
      <c r="W4" s="10">
        <f t="shared" ref="W4" si="3">$B9-W3-W2</f>
        <v>45643</v>
      </c>
      <c r="AN4" t="s">
        <v>2</v>
      </c>
      <c r="AO4">
        <v>390</v>
      </c>
      <c r="BA4" s="9" t="s">
        <v>9</v>
      </c>
      <c r="BB4" s="8">
        <f>$B9-BB3-BB2</f>
        <v>44990</v>
      </c>
      <c r="BC4" s="14">
        <f t="shared" ref="BC4:BD4" si="4">$B9-BC3-BC2</f>
        <v>11524</v>
      </c>
      <c r="BD4" s="8">
        <f t="shared" si="4"/>
        <v>48346</v>
      </c>
      <c r="BE4" s="11">
        <v>0</v>
      </c>
      <c r="BF4" s="13">
        <v>0</v>
      </c>
      <c r="BG4" s="11">
        <v>0</v>
      </c>
      <c r="BH4" s="11">
        <v>0</v>
      </c>
      <c r="BI4" s="11">
        <v>0</v>
      </c>
      <c r="BJ4" s="10">
        <f t="shared" ref="BJ4" si="5">$B9-BJ3-BJ2</f>
        <v>45643</v>
      </c>
    </row>
    <row r="5" spans="1:77" x14ac:dyDescent="0.35">
      <c r="A5" t="s">
        <v>11</v>
      </c>
      <c r="B5">
        <v>0.3</v>
      </c>
      <c r="AN5" t="s">
        <v>11</v>
      </c>
      <c r="AO5">
        <v>0.53</v>
      </c>
    </row>
    <row r="6" spans="1:77" x14ac:dyDescent="0.35">
      <c r="A6" t="s">
        <v>12</v>
      </c>
      <c r="B6">
        <f>B5</f>
        <v>0.3</v>
      </c>
      <c r="AN6" t="s">
        <v>12</v>
      </c>
      <c r="AO6">
        <f>AO5</f>
        <v>0.53</v>
      </c>
    </row>
    <row r="7" spans="1:77" x14ac:dyDescent="0.35">
      <c r="A7" t="s">
        <v>13</v>
      </c>
      <c r="B7">
        <v>2.5</v>
      </c>
      <c r="M7" s="5" t="s">
        <v>4</v>
      </c>
      <c r="N7" s="5" t="s">
        <v>6</v>
      </c>
      <c r="P7" s="5" t="s">
        <v>4</v>
      </c>
      <c r="Q7" s="5" t="s">
        <v>6</v>
      </c>
      <c r="S7" s="5" t="s">
        <v>4</v>
      </c>
      <c r="T7" s="5" t="s">
        <v>6</v>
      </c>
      <c r="V7" s="5" t="s">
        <v>4</v>
      </c>
      <c r="W7" s="5" t="s">
        <v>6</v>
      </c>
      <c r="Y7" s="5" t="s">
        <v>4</v>
      </c>
      <c r="Z7" s="5" t="s">
        <v>6</v>
      </c>
      <c r="AB7" s="5" t="s">
        <v>4</v>
      </c>
      <c r="AC7" s="5" t="s">
        <v>6</v>
      </c>
      <c r="AE7" s="5" t="s">
        <v>4</v>
      </c>
      <c r="AF7" s="5" t="s">
        <v>6</v>
      </c>
      <c r="AH7" s="5" t="s">
        <v>4</v>
      </c>
      <c r="AI7" s="5" t="s">
        <v>6</v>
      </c>
      <c r="AK7" s="5" t="s">
        <v>4</v>
      </c>
      <c r="AL7" s="5" t="s">
        <v>6</v>
      </c>
      <c r="AN7" t="s">
        <v>13</v>
      </c>
      <c r="AO7">
        <v>0.78</v>
      </c>
      <c r="AZ7" s="5" t="s">
        <v>4</v>
      </c>
      <c r="BA7" s="5" t="s">
        <v>6</v>
      </c>
      <c r="BC7" s="5" t="s">
        <v>4</v>
      </c>
      <c r="BD7" s="5" t="s">
        <v>6</v>
      </c>
      <c r="BF7" s="5" t="s">
        <v>4</v>
      </c>
      <c r="BG7" s="5" t="s">
        <v>6</v>
      </c>
      <c r="BI7" s="5" t="s">
        <v>4</v>
      </c>
      <c r="BJ7" s="5" t="s">
        <v>6</v>
      </c>
      <c r="BL7" s="5" t="s">
        <v>4</v>
      </c>
      <c r="BM7" s="5" t="s">
        <v>6</v>
      </c>
      <c r="BO7" s="5" t="s">
        <v>4</v>
      </c>
      <c r="BP7" s="5" t="s">
        <v>6</v>
      </c>
      <c r="BR7" s="5" t="s">
        <v>4</v>
      </c>
      <c r="BS7" s="5" t="s">
        <v>6</v>
      </c>
      <c r="BU7" s="5" t="s">
        <v>4</v>
      </c>
      <c r="BV7" s="5" t="s">
        <v>6</v>
      </c>
      <c r="BX7" s="5" t="s">
        <v>4</v>
      </c>
      <c r="BY7" s="5" t="s">
        <v>6</v>
      </c>
    </row>
    <row r="8" spans="1:77" x14ac:dyDescent="0.35">
      <c r="A8" t="s">
        <v>14</v>
      </c>
      <c r="B8">
        <v>0.8</v>
      </c>
      <c r="M8" cm="1">
        <f t="array" ref="M8:N398">SOLVE_SIR_RUNGE_KUTTA_R(B2,B3,B4,O2,O4,O3,B5,B6,B7,B8)</f>
        <v>0</v>
      </c>
      <c r="N8">
        <v>5010</v>
      </c>
      <c r="P8" cm="1">
        <f t="array" ref="P8:Q398">SOLVE_SIR_RUNGE_KUTTA_R(B2,B3,B4,P2,P4,P3,B5,B6,B7,B8)</f>
        <v>0</v>
      </c>
      <c r="Q8">
        <v>38476</v>
      </c>
      <c r="S8" cm="1">
        <f t="array" ref="S8:T398">SOLVE_SIR_RUNGE_KUTTA_R(B2,B3,B4,Q2,Q4,Q3,B5,B6,B7,B8)</f>
        <v>0</v>
      </c>
      <c r="T8">
        <v>1654</v>
      </c>
      <c r="V8" cm="1">
        <f t="array" ref="V8:W398">SOLVE_SIR_RUNGE_KUTTA_R(B2,B3,B4,R2,R4,R3,B5,B6,B7,B8)</f>
        <v>9471</v>
      </c>
      <c r="W8">
        <v>40529</v>
      </c>
      <c r="Y8" cm="1">
        <f t="array" ref="Y8:Z398">SOLVE_SIR_RUNGE_KUTTA_R(B2,B3,B4,S2,S4,S3,B5,B6,B7,B8)</f>
        <v>29931</v>
      </c>
      <c r="Z8">
        <v>20069</v>
      </c>
      <c r="AB8" cm="1">
        <f t="array" ref="AB8:AC398">SOLVE_SIR_RUNGE_KUTTA_R(B2,B3,B4,T2,T4,T3,B5,B6,B7,B8)</f>
        <v>14302</v>
      </c>
      <c r="AC8">
        <v>35698</v>
      </c>
      <c r="AE8" cm="1">
        <f t="array" ref="AE8:AF398">SOLVE_SIR_RUNGE_KUTTA_R(B2,B3,B4,U2,U4,U3,B5,B6,B7,B8)</f>
        <v>16578</v>
      </c>
      <c r="AF8">
        <v>33422</v>
      </c>
      <c r="AH8" cm="1">
        <f t="array" ref="AH8:AI398">SOLVE_SIR_RUNGE_KUTTA_R(B2,B3,B4,V2,V4,V3,B5,B6,B7,B8)</f>
        <v>567</v>
      </c>
      <c r="AI8">
        <v>49433</v>
      </c>
      <c r="AK8" cm="1">
        <f t="array" ref="AK8:AL398">SOLVE_SIR_RUNGE_KUTTA_R(B2,B3,B4,W2,W4,W3,B5,B6,B7,B8)</f>
        <v>4356</v>
      </c>
      <c r="AL8">
        <v>1</v>
      </c>
      <c r="AN8" t="s">
        <v>14</v>
      </c>
      <c r="AO8">
        <v>0.73</v>
      </c>
      <c r="AZ8" cm="1">
        <f t="array" ref="AZ8:BA398">SOLVE_SIR_RUNGE_KUTTA_R(AO2,AO3,AO4,BB2,BB4,BB3,AO5,AO6,AO7,AO8)</f>
        <v>0</v>
      </c>
      <c r="BA8">
        <v>5010</v>
      </c>
      <c r="BC8" cm="1">
        <f t="array" ref="BC8:BD398">SOLVE_SIR_RUNGE_KUTTA_R(AO2,AO3,AO4,BC2,BC4,BC3,AO5,AO6,AO7,AO8)</f>
        <v>0</v>
      </c>
      <c r="BD8">
        <v>38476</v>
      </c>
      <c r="BF8" cm="1">
        <f t="array" ref="BF8:BG398">SOLVE_SIR_RUNGE_KUTTA_R(AO2,AO3,AO4,BD2,BD4,BD3,AO5,AO6,AO7,AO8)</f>
        <v>0</v>
      </c>
      <c r="BG8">
        <v>1654</v>
      </c>
      <c r="BI8" cm="1">
        <f t="array" ref="BI8:BJ398">SOLVE_SIR_RUNGE_KUTTA_R(AO2,AO3,AO4,BE2,BE4,BE3,AO5,AO6,AO7,AO8)</f>
        <v>9471</v>
      </c>
      <c r="BJ8">
        <v>40529</v>
      </c>
      <c r="BL8" cm="1">
        <f t="array" ref="BL8:BM398">SOLVE_SIR_RUNGE_KUTTA_R(AO2,AO3,AO4,BF2,BF4,BF3,AO5,AO6,AO7,AO8)</f>
        <v>29931</v>
      </c>
      <c r="BM8">
        <v>20069</v>
      </c>
      <c r="BO8" cm="1">
        <f t="array" ref="BO8:BP398">SOLVE_SIR_RUNGE_KUTTA_R(AO2,AO3,AO4,BG2,BG4,BG3,AO5,AO6,AO7,AO8)</f>
        <v>14302</v>
      </c>
      <c r="BP8">
        <v>35698</v>
      </c>
      <c r="BR8" cm="1">
        <f t="array" ref="BR8:BS398">SOLVE_SIR_RUNGE_KUTTA_R(AO2,AO3,AO4,BH2,BH4,BH3,AO5,AO6,AO7,AO8)</f>
        <v>16578</v>
      </c>
      <c r="BS8">
        <v>33422</v>
      </c>
      <c r="BU8" cm="1">
        <f t="array" ref="BU8:BV398">SOLVE_SIR_RUNGE_KUTTA_R(AO2,AO3,AO4,BI2,BI4,BI3,AO5,AO6,AO7,AO8)</f>
        <v>567</v>
      </c>
      <c r="BV8">
        <v>49433</v>
      </c>
      <c r="BX8" cm="1">
        <f t="array" ref="BX8:BY398">SOLVE_SIR_RUNGE_KUTTA_R(AO2,AO3,AO4,BJ2,BJ4,BJ3,AO5,AO6,AO7,AO8)</f>
        <v>4356</v>
      </c>
      <c r="BY8">
        <v>1</v>
      </c>
    </row>
    <row r="9" spans="1:77" x14ac:dyDescent="0.35">
      <c r="A9" t="s">
        <v>15</v>
      </c>
      <c r="B9">
        <v>50000</v>
      </c>
      <c r="M9">
        <v>3263.4401689760093</v>
      </c>
      <c r="N9">
        <v>3961.6546619122651</v>
      </c>
      <c r="P9">
        <v>2795.1049599945914</v>
      </c>
      <c r="Q9">
        <v>30351.869863505985</v>
      </c>
      <c r="S9">
        <v>3317.4115611137131</v>
      </c>
      <c r="T9">
        <v>1308.2142787028199</v>
      </c>
      <c r="V9">
        <v>8450.6017997688214</v>
      </c>
      <c r="W9">
        <v>34844.110000721194</v>
      </c>
      <c r="Y9">
        <v>24943.820874267654</v>
      </c>
      <c r="Z9">
        <v>21346.929579867978</v>
      </c>
      <c r="AB9">
        <v>11795.518306848024</v>
      </c>
      <c r="AC9">
        <v>32155.63059263134</v>
      </c>
      <c r="AE9">
        <v>13474.666876984616</v>
      </c>
      <c r="AF9">
        <v>30795.193138849714</v>
      </c>
      <c r="AH9">
        <v>2982.9946477488211</v>
      </c>
      <c r="AI9">
        <v>39161.258645272828</v>
      </c>
      <c r="AK9">
        <v>7409.050268299693</v>
      </c>
      <c r="AL9">
        <v>0.8304618058269988</v>
      </c>
      <c r="AN9" t="s">
        <v>15</v>
      </c>
      <c r="AO9">
        <v>50000</v>
      </c>
      <c r="AZ9">
        <v>5714.2726266427699</v>
      </c>
      <c r="BA9">
        <v>3784.2414236943723</v>
      </c>
      <c r="BC9">
        <v>5442.9957811777704</v>
      </c>
      <c r="BD9">
        <v>29050.558104082731</v>
      </c>
      <c r="BF9">
        <v>5742.6100828671588</v>
      </c>
      <c r="BG9">
        <v>1249.3793249670614</v>
      </c>
      <c r="BI9">
        <v>12785.882952963319</v>
      </c>
      <c r="BJ9">
        <v>31539.82136593695</v>
      </c>
      <c r="BL9">
        <v>30370.900302930604</v>
      </c>
      <c r="BM9">
        <v>16723.920880162161</v>
      </c>
      <c r="BO9">
        <v>16741.297872746261</v>
      </c>
      <c r="BP9">
        <v>28222.471136599088</v>
      </c>
      <c r="BR9">
        <v>18645.231781084094</v>
      </c>
      <c r="BS9">
        <v>26622.388071774389</v>
      </c>
      <c r="BU9">
        <v>5787.6622840138116</v>
      </c>
      <c r="BV9">
        <v>37385.345991124523</v>
      </c>
      <c r="BX9">
        <v>9611.1118713102587</v>
      </c>
      <c r="BY9">
        <v>0.76666709635993158</v>
      </c>
    </row>
    <row r="10" spans="1:77" x14ac:dyDescent="0.35">
      <c r="M10">
        <v>6200.5497893825186</v>
      </c>
      <c r="N10">
        <v>3246.7583383025658</v>
      </c>
      <c r="P10">
        <v>4790.356715174561</v>
      </c>
      <c r="Q10">
        <v>24608.701752599929</v>
      </c>
      <c r="S10">
        <v>6376.0670622716352</v>
      </c>
      <c r="T10">
        <v>1073.5261712029301</v>
      </c>
      <c r="V10">
        <v>8244.2396992159393</v>
      </c>
      <c r="W10">
        <v>29754.740399340797</v>
      </c>
      <c r="Y10">
        <v>21118.452414798168</v>
      </c>
      <c r="Z10">
        <v>21580.546291674233</v>
      </c>
      <c r="AB10">
        <v>10599.096008394583</v>
      </c>
      <c r="AC10">
        <v>28367.294643542311</v>
      </c>
      <c r="AE10">
        <v>11825.144842296349</v>
      </c>
      <c r="AF10">
        <v>27622.483715121689</v>
      </c>
      <c r="AH10">
        <v>4624.7105043277261</v>
      </c>
      <c r="AI10">
        <v>31753.001470991865</v>
      </c>
      <c r="AK10">
        <v>10257.867112937274</v>
      </c>
      <c r="AL10">
        <v>0.71356135976138546</v>
      </c>
      <c r="AZ10">
        <v>10720.342273556651</v>
      </c>
      <c r="BA10">
        <v>2914.219159110598</v>
      </c>
      <c r="BC10">
        <v>9907.7230870135572</v>
      </c>
      <c r="BD10">
        <v>22328.444114889411</v>
      </c>
      <c r="BF10">
        <v>10807.288624858804</v>
      </c>
      <c r="BG10">
        <v>962.33556133732577</v>
      </c>
      <c r="BI10">
        <v>15717.545951952799</v>
      </c>
      <c r="BJ10">
        <v>24821.849042381698</v>
      </c>
      <c r="BL10">
        <v>31041.440127176083</v>
      </c>
      <c r="BM10">
        <v>13964.616503796504</v>
      </c>
      <c r="BO10">
        <v>19041.855116902694</v>
      </c>
      <c r="BP10">
        <v>22503.778246010228</v>
      </c>
      <c r="BR10">
        <v>20666.418836353227</v>
      </c>
      <c r="BS10">
        <v>21363.072335324745</v>
      </c>
      <c r="BU10">
        <v>9997.1313351267472</v>
      </c>
      <c r="BV10">
        <v>28757.093385142096</v>
      </c>
      <c r="BX10">
        <v>14261.180048185715</v>
      </c>
      <c r="BY10">
        <v>0.59837825777477982</v>
      </c>
    </row>
    <row r="11" spans="1:77" x14ac:dyDescent="0.35">
      <c r="A11" s="5" t="s">
        <v>7</v>
      </c>
      <c r="B11" s="5">
        <f>B7/(B6+B8)</f>
        <v>2.2727272727272725</v>
      </c>
      <c r="M11">
        <v>8879.3954310113877</v>
      </c>
      <c r="N11">
        <v>2748.4567293019918</v>
      </c>
      <c r="P11">
        <v>6413.8243826283806</v>
      </c>
      <c r="Q11">
        <v>20370.591786499914</v>
      </c>
      <c r="S11">
        <v>9208.244336233889</v>
      </c>
      <c r="T11">
        <v>911.40089585387238</v>
      </c>
      <c r="V11">
        <v>8479.5245413502726</v>
      </c>
      <c r="W11">
        <v>25417.005696943983</v>
      </c>
      <c r="Y11">
        <v>18374.063876932007</v>
      </c>
      <c r="Z11">
        <v>21008.493689127132</v>
      </c>
      <c r="AB11">
        <v>10173.520108080198</v>
      </c>
      <c r="AC11">
        <v>24799.350283384818</v>
      </c>
      <c r="AE11">
        <v>11073.623401888304</v>
      </c>
      <c r="AF11">
        <v>24443.882839341073</v>
      </c>
      <c r="AH11">
        <v>5956.4564412073305</v>
      </c>
      <c r="AI11">
        <v>26188.70920536714</v>
      </c>
      <c r="AK11">
        <v>12916.116678877543</v>
      </c>
      <c r="AL11">
        <v>0.63290602869219448</v>
      </c>
      <c r="AN11" s="5" t="s">
        <v>7</v>
      </c>
      <c r="AO11" s="5">
        <f>AO7/(AO6+AO8)</f>
        <v>0.61904761904761907</v>
      </c>
      <c r="AZ11">
        <v>15129.60211610572</v>
      </c>
      <c r="BA11">
        <v>2282.6537573480305</v>
      </c>
      <c r="BC11">
        <v>13732.125848905389</v>
      </c>
      <c r="BD11">
        <v>17419.747593991982</v>
      </c>
      <c r="BF11">
        <v>15281.956753388527</v>
      </c>
      <c r="BG11">
        <v>754.10518985839315</v>
      </c>
      <c r="BI11">
        <v>18384.888347712062</v>
      </c>
      <c r="BJ11">
        <v>19732.766763264735</v>
      </c>
      <c r="BL11">
        <v>31862.825530274724</v>
      </c>
      <c r="BM11">
        <v>11692.144949178044</v>
      </c>
      <c r="BO11">
        <v>21229.083303806812</v>
      </c>
      <c r="BP11">
        <v>18089.597146918091</v>
      </c>
      <c r="BR11">
        <v>22634.436999721915</v>
      </c>
      <c r="BS11">
        <v>17266.518694506438</v>
      </c>
      <c r="BU11">
        <v>13585.822609063905</v>
      </c>
      <c r="BV11">
        <v>22432.656962275156</v>
      </c>
      <c r="BX11">
        <v>18375.869664150392</v>
      </c>
      <c r="BY11">
        <v>0.47446952938351594</v>
      </c>
    </row>
    <row r="12" spans="1:77" x14ac:dyDescent="0.35">
      <c r="M12">
        <v>11340.945780622726</v>
      </c>
      <c r="N12">
        <v>2396.626615732318</v>
      </c>
      <c r="P12">
        <v>7843.0649297772634</v>
      </c>
      <c r="Q12">
        <v>17160.834203802653</v>
      </c>
      <c r="S12">
        <v>11836.840658017516</v>
      </c>
      <c r="T12">
        <v>798.52019028169707</v>
      </c>
      <c r="V12">
        <v>8970.6031490486348</v>
      </c>
      <c r="W12">
        <v>21804.703829055983</v>
      </c>
      <c r="Y12">
        <v>16520.050915976357</v>
      </c>
      <c r="Z12">
        <v>19920.035993662004</v>
      </c>
      <c r="AB12">
        <v>10211.450286474976</v>
      </c>
      <c r="AC12">
        <v>21635.284964539933</v>
      </c>
      <c r="AE12">
        <v>10878.149812272683</v>
      </c>
      <c r="AF12">
        <v>21517.40373924594</v>
      </c>
      <c r="AH12">
        <v>7151.7017436965361</v>
      </c>
      <c r="AI12">
        <v>21915.452228057507</v>
      </c>
      <c r="AK12">
        <v>15396.548271968337</v>
      </c>
      <c r="AL12">
        <v>0.57825225319089046</v>
      </c>
      <c r="AZ12">
        <v>19026.429301809356</v>
      </c>
      <c r="BA12">
        <v>1814.9310632016698</v>
      </c>
      <c r="BC12">
        <v>17097.867930386801</v>
      </c>
      <c r="BD12">
        <v>13767.280072665788</v>
      </c>
      <c r="BF12">
        <v>19239.769240061272</v>
      </c>
      <c r="BG12">
        <v>599.98346487480626</v>
      </c>
      <c r="BI12">
        <v>20849.304764314602</v>
      </c>
      <c r="BJ12">
        <v>15832.774221881416</v>
      </c>
      <c r="BL12">
        <v>32777.815739138568</v>
      </c>
      <c r="BM12">
        <v>9820.2594823848776</v>
      </c>
      <c r="BO12">
        <v>23312.623661495363</v>
      </c>
      <c r="BP12">
        <v>14653.65019272409</v>
      </c>
      <c r="BR12">
        <v>24539.945622228392</v>
      </c>
      <c r="BS12">
        <v>14053.332091069398</v>
      </c>
      <c r="BU12">
        <v>16752.454524156139</v>
      </c>
      <c r="BV12">
        <v>17713.235583911675</v>
      </c>
      <c r="BX12">
        <v>22016.822897717575</v>
      </c>
      <c r="BY12">
        <v>0.38151434051036742</v>
      </c>
    </row>
    <row r="13" spans="1:77" x14ac:dyDescent="0.35">
      <c r="M13">
        <v>13611.599273087237</v>
      </c>
      <c r="N13">
        <v>2147.6397223761342</v>
      </c>
      <c r="P13">
        <v>9158.8232996342267</v>
      </c>
      <c r="Q13">
        <v>14687.094558741866</v>
      </c>
      <c r="S13">
        <v>14279.281963452964</v>
      </c>
      <c r="T13">
        <v>720.38195063691046</v>
      </c>
      <c r="V13">
        <v>9618.1215376834898</v>
      </c>
      <c r="W13">
        <v>18830.031372157839</v>
      </c>
      <c r="Y13">
        <v>15350.583492788921</v>
      </c>
      <c r="Z13">
        <v>18564.60079145823</v>
      </c>
      <c r="AB13">
        <v>10537.079169258555</v>
      </c>
      <c r="AC13">
        <v>18916.378256078904</v>
      </c>
      <c r="AE13">
        <v>11033.866159378713</v>
      </c>
      <c r="AF13">
        <v>18939.182852124541</v>
      </c>
      <c r="AH13">
        <v>8282.0937315889951</v>
      </c>
      <c r="AI13">
        <v>18586.698445719176</v>
      </c>
      <c r="AK13">
        <v>17711.056781705851</v>
      </c>
      <c r="AL13">
        <v>0.54312936046013727</v>
      </c>
      <c r="AZ13">
        <v>22477.872531082176</v>
      </c>
      <c r="BA13">
        <v>1462.2792783612622</v>
      </c>
      <c r="BC13">
        <v>20109.402526852566</v>
      </c>
      <c r="BD13">
        <v>11006.337805301644</v>
      </c>
      <c r="BF13">
        <v>22742.937859378781</v>
      </c>
      <c r="BG13">
        <v>483.82155103335725</v>
      </c>
      <c r="BI13">
        <v>23143.551405650513</v>
      </c>
      <c r="BJ13">
        <v>12812.97507861084</v>
      </c>
      <c r="BL13">
        <v>33744.842180621425</v>
      </c>
      <c r="BM13">
        <v>8276.1409111175817</v>
      </c>
      <c r="BO13">
        <v>25294.931475003235</v>
      </c>
      <c r="BP13">
        <v>11957.645849091621</v>
      </c>
      <c r="BR13">
        <v>26373.813014891541</v>
      </c>
      <c r="BS13">
        <v>11515.473375713422</v>
      </c>
      <c r="BU13">
        <v>19604.774730864454</v>
      </c>
      <c r="BV13">
        <v>14139.136845694989</v>
      </c>
      <c r="BX13">
        <v>25238.58366873765</v>
      </c>
      <c r="BY13">
        <v>0.31058632610020526</v>
      </c>
    </row>
    <row r="14" spans="1:77" x14ac:dyDescent="0.35">
      <c r="M14">
        <v>15709.444398924192</v>
      </c>
      <c r="N14">
        <v>1973.6095390061305</v>
      </c>
      <c r="P14">
        <v>10399.278721294988</v>
      </c>
      <c r="Q14">
        <v>12756.465768970256</v>
      </c>
      <c r="S14">
        <v>16549.570333578809</v>
      </c>
      <c r="T14">
        <v>667.79259668095187</v>
      </c>
      <c r="V14">
        <v>10364.386068469907</v>
      </c>
      <c r="W14">
        <v>16392.993097634444</v>
      </c>
      <c r="Y14">
        <v>14688.50858688872</v>
      </c>
      <c r="Z14">
        <v>17121.890956015246</v>
      </c>
      <c r="AB14">
        <v>11046.360540675212</v>
      </c>
      <c r="AC14">
        <v>16620.017331888099</v>
      </c>
      <c r="AE14">
        <v>11416.41772426611</v>
      </c>
      <c r="AF14">
        <v>16722.969338424296</v>
      </c>
      <c r="AH14">
        <v>9377.7708680387877</v>
      </c>
      <c r="AI14">
        <v>15967.12068720778</v>
      </c>
      <c r="AK14">
        <v>19870.740406265955</v>
      </c>
      <c r="AL14">
        <v>0.52347186750786934</v>
      </c>
      <c r="AZ14">
        <v>25539.117655451671</v>
      </c>
      <c r="BA14">
        <v>1192.0517606311446</v>
      </c>
      <c r="BC14">
        <v>22830.768875242142</v>
      </c>
      <c r="BD14">
        <v>8890.4204643098128</v>
      </c>
      <c r="BF14">
        <v>25845.129632268265</v>
      </c>
      <c r="BG14">
        <v>394.81918506722218</v>
      </c>
      <c r="BI14">
        <v>25285.854386989766</v>
      </c>
      <c r="BJ14">
        <v>10452.373544851078</v>
      </c>
      <c r="BL14">
        <v>34733.517927409375</v>
      </c>
      <c r="BM14">
        <v>6999.4760383247985</v>
      </c>
      <c r="BO14">
        <v>27175.608669867332</v>
      </c>
      <c r="BP14">
        <v>9825.8333494411218</v>
      </c>
      <c r="BR14">
        <v>28128.269965304313</v>
      </c>
      <c r="BS14">
        <v>9497.1543358983963</v>
      </c>
      <c r="BU14">
        <v>22204.591262556722</v>
      </c>
      <c r="BV14">
        <v>11397.596484837984</v>
      </c>
      <c r="BX14">
        <v>28089.415424214967</v>
      </c>
      <c r="BY14">
        <v>0.25562484140914404</v>
      </c>
    </row>
    <row r="15" spans="1:77" x14ac:dyDescent="0.35">
      <c r="M15">
        <v>17647.539575023595</v>
      </c>
      <c r="N15">
        <v>1856.3819846217809</v>
      </c>
      <c r="P15">
        <v>11582.261209271033</v>
      </c>
      <c r="Q15">
        <v>11235.514266218868</v>
      </c>
      <c r="S15">
        <v>18659.392825781233</v>
      </c>
      <c r="T15">
        <v>634.87603275496917</v>
      </c>
      <c r="V15">
        <v>11172.86674113251</v>
      </c>
      <c r="W15">
        <v>14400.269629356248</v>
      </c>
      <c r="Y15">
        <v>14396.017784891319</v>
      </c>
      <c r="Z15">
        <v>15706.176188509535</v>
      </c>
      <c r="AB15">
        <v>11674.621184731805</v>
      </c>
      <c r="AC15">
        <v>14699.151279650032</v>
      </c>
      <c r="AE15">
        <v>11947.729861881673</v>
      </c>
      <c r="AF15">
        <v>14844.865108535196</v>
      </c>
      <c r="AH15">
        <v>10450.213808701701</v>
      </c>
      <c r="AI15">
        <v>13889.339589107585</v>
      </c>
      <c r="AK15">
        <v>21885.954230878204</v>
      </c>
      <c r="AL15">
        <v>0.51681844743024596</v>
      </c>
      <c r="AZ15">
        <v>28256.732635609394</v>
      </c>
      <c r="BA15">
        <v>981.92718972213049</v>
      </c>
      <c r="BC15">
        <v>25303.937947023554</v>
      </c>
      <c r="BD15">
        <v>7248.7876872333609</v>
      </c>
      <c r="BF15">
        <v>28593.073369466281</v>
      </c>
      <c r="BG15">
        <v>325.60142749449153</v>
      </c>
      <c r="BI15">
        <v>27287.124708499166</v>
      </c>
      <c r="BJ15">
        <v>8590.5785802989976</v>
      </c>
      <c r="BL15">
        <v>35721.618782003869</v>
      </c>
      <c r="BM15">
        <v>5940.8914239547839</v>
      </c>
      <c r="BO15">
        <v>28953.596255603024</v>
      </c>
      <c r="BP15">
        <v>8127.4936668035134</v>
      </c>
      <c r="BR15">
        <v>29797.378504869965</v>
      </c>
      <c r="BS15">
        <v>7881.0659481139892</v>
      </c>
      <c r="BU15">
        <v>24589.546228199149</v>
      </c>
      <c r="BV15">
        <v>9270.5109473360808</v>
      </c>
      <c r="BX15">
        <v>30612.024529248873</v>
      </c>
      <c r="BY15">
        <v>0.21243457110392516</v>
      </c>
    </row>
    <row r="16" spans="1:77" x14ac:dyDescent="0.35">
      <c r="M16">
        <v>19435.691917495918</v>
      </c>
      <c r="N16">
        <v>1784.0404826540234</v>
      </c>
      <c r="P16">
        <v>12715.354694033183</v>
      </c>
      <c r="Q16">
        <v>10028.977609432233</v>
      </c>
      <c r="S16">
        <v>20618.736165392806</v>
      </c>
      <c r="T16">
        <v>617.9114819209193</v>
      </c>
      <c r="V16">
        <v>12018.480541499426</v>
      </c>
      <c r="W16">
        <v>12771.278384462677</v>
      </c>
      <c r="Y16">
        <v>14370.720832419942</v>
      </c>
      <c r="Z16">
        <v>14382.197943548723</v>
      </c>
      <c r="AB16">
        <v>12379.389533672002</v>
      </c>
      <c r="AC16">
        <v>13101.009506847977</v>
      </c>
      <c r="AE16">
        <v>12576.602462303446</v>
      </c>
      <c r="AF16">
        <v>13266.619916906195</v>
      </c>
      <c r="AH16">
        <v>11502.016798935443</v>
      </c>
      <c r="AI16">
        <v>12230.913942673373</v>
      </c>
      <c r="AK16">
        <v>23766.360057421916</v>
      </c>
      <c r="AL16">
        <v>0.52184078599911043</v>
      </c>
      <c r="AZ16">
        <v>30670.696606311307</v>
      </c>
      <c r="BA16">
        <v>816.34887722223823</v>
      </c>
      <c r="BC16">
        <v>27558.420039924571</v>
      </c>
      <c r="BD16">
        <v>5960.8286763283495</v>
      </c>
      <c r="BF16">
        <v>31027.704426825141</v>
      </c>
      <c r="BG16">
        <v>271.0356346941399</v>
      </c>
      <c r="BI16">
        <v>29154.737633915647</v>
      </c>
      <c r="BJ16">
        <v>7109.7975223582189</v>
      </c>
      <c r="BL16">
        <v>36692.991492364032</v>
      </c>
      <c r="BM16">
        <v>5060.2499935630331</v>
      </c>
      <c r="BO16">
        <v>30628.239665297679</v>
      </c>
      <c r="BP16">
        <v>6764.6571111659059</v>
      </c>
      <c r="BR16">
        <v>31377.125092347593</v>
      </c>
      <c r="BS16">
        <v>6578.3808474667148</v>
      </c>
      <c r="BU16">
        <v>26784.239213407749</v>
      </c>
      <c r="BV16">
        <v>7602.8610856422365</v>
      </c>
      <c r="BX16">
        <v>32844.200239756836</v>
      </c>
      <c r="BY16">
        <v>0.17805915020877344</v>
      </c>
    </row>
    <row r="17" spans="13:77" x14ac:dyDescent="0.35">
      <c r="M17">
        <v>21081.445137543426</v>
      </c>
      <c r="N17">
        <v>1748.8063831810089</v>
      </c>
      <c r="P17">
        <v>13800.86081984072</v>
      </c>
      <c r="Q17">
        <v>9067.3067281628046</v>
      </c>
      <c r="S17">
        <v>22436.230227018808</v>
      </c>
      <c r="T17">
        <v>614.64144596773428</v>
      </c>
      <c r="V17">
        <v>12882.79101407588</v>
      </c>
      <c r="W17">
        <v>11438.989012134527</v>
      </c>
      <c r="Y17">
        <v>14537.769995647237</v>
      </c>
      <c r="Z17">
        <v>13181.313886949589</v>
      </c>
      <c r="AB17">
        <v>13131.217884752936</v>
      </c>
      <c r="AC17">
        <v>11775.387823925694</v>
      </c>
      <c r="AE17">
        <v>13267.864517610526</v>
      </c>
      <c r="AF17">
        <v>11947.08788644684</v>
      </c>
      <c r="AH17">
        <v>12531.467819519754</v>
      </c>
      <c r="AI17">
        <v>10900.629521891178</v>
      </c>
      <c r="AK17">
        <v>25520.972797246344</v>
      </c>
      <c r="AL17">
        <v>0.53807262965355718</v>
      </c>
      <c r="AZ17">
        <v>32815.73776121722</v>
      </c>
      <c r="BA17">
        <v>684.2839684623101</v>
      </c>
      <c r="BC17">
        <v>29616.472681546511</v>
      </c>
      <c r="BD17">
        <v>4939.9332913911176</v>
      </c>
      <c r="BF17">
        <v>33185.025865971955</v>
      </c>
      <c r="BG17">
        <v>227.48674727668904</v>
      </c>
      <c r="BI17">
        <v>30894.51690526291</v>
      </c>
      <c r="BJ17">
        <v>5922.6280069516888</v>
      </c>
      <c r="BL17">
        <v>37636.062035239105</v>
      </c>
      <c r="BM17">
        <v>4325.0476175321928</v>
      </c>
      <c r="BO17">
        <v>32199.74599324966</v>
      </c>
      <c r="BP17">
        <v>5663.3694513376659</v>
      </c>
      <c r="BR17">
        <v>32865.31183022941</v>
      </c>
      <c r="BS17">
        <v>5521.456762302465</v>
      </c>
      <c r="BU17">
        <v>28806.122258165215</v>
      </c>
      <c r="BV17">
        <v>6282.7410273974338</v>
      </c>
      <c r="BX17">
        <v>34819.380919588373</v>
      </c>
      <c r="BY17">
        <v>0.15038063243121258</v>
      </c>
    </row>
    <row r="18" spans="13:77" x14ac:dyDescent="0.35">
      <c r="M18">
        <v>22590.635821068037</v>
      </c>
      <c r="N18">
        <v>1745.7429262654471</v>
      </c>
      <c r="P18">
        <v>14838.3800010051</v>
      </c>
      <c r="Q18">
        <v>8298.8700245732889</v>
      </c>
      <c r="S18">
        <v>24119.335737565521</v>
      </c>
      <c r="T18">
        <v>623.85580644747131</v>
      </c>
      <c r="V18">
        <v>13751.53116523173</v>
      </c>
      <c r="W18">
        <v>10348.732965731493</v>
      </c>
      <c r="Y18">
        <v>14842.41050130357</v>
      </c>
      <c r="Z18">
        <v>12114.100927263398</v>
      </c>
      <c r="AB18">
        <v>13908.668960400973</v>
      </c>
      <c r="AC18">
        <v>10677.843170386783</v>
      </c>
      <c r="AE18">
        <v>13996.263306010616</v>
      </c>
      <c r="AF18">
        <v>10847.463721013641</v>
      </c>
      <c r="AH18">
        <v>13534.848946000782</v>
      </c>
      <c r="AI18">
        <v>9829.6616135546737</v>
      </c>
      <c r="AK18">
        <v>27158.203686809404</v>
      </c>
      <c r="AL18">
        <v>0.56576713751160146</v>
      </c>
      <c r="AZ18">
        <v>34722.263465565738</v>
      </c>
      <c r="BA18">
        <v>577.78179598190354</v>
      </c>
      <c r="BC18">
        <v>31495.989847323046</v>
      </c>
      <c r="BD18">
        <v>4123.0170881036584</v>
      </c>
      <c r="BF18">
        <v>35096.78577813795</v>
      </c>
      <c r="BG18">
        <v>192.33850070154853</v>
      </c>
      <c r="BI18">
        <v>32511.751479610128</v>
      </c>
      <c r="BJ18">
        <v>4963.6126630471263</v>
      </c>
      <c r="BL18">
        <v>38542.743934122838</v>
      </c>
      <c r="BM18">
        <v>3709.0047578218664</v>
      </c>
      <c r="BO18">
        <v>33669.312977487592</v>
      </c>
      <c r="BP18">
        <v>4767.417317963218</v>
      </c>
      <c r="BR18">
        <v>34261.347174289156</v>
      </c>
      <c r="BS18">
        <v>4658.4867518530327</v>
      </c>
      <c r="BU18">
        <v>30668.691410856001</v>
      </c>
      <c r="BV18">
        <v>5228.2925585383946</v>
      </c>
      <c r="BX18">
        <v>36567.155025751963</v>
      </c>
      <c r="BY18">
        <v>0.12785833659360357</v>
      </c>
    </row>
    <row r="19" spans="13:77" x14ac:dyDescent="0.35">
      <c r="M19">
        <v>23967.708405619745</v>
      </c>
      <c r="N19">
        <v>1771.9355740510032</v>
      </c>
      <c r="P19">
        <v>15826.207461957905</v>
      </c>
      <c r="Q19">
        <v>7684.8279120792113</v>
      </c>
      <c r="S19">
        <v>25674.437445322761</v>
      </c>
      <c r="T19">
        <v>645.14388941071047</v>
      </c>
      <c r="V19">
        <v>14613.263486713946</v>
      </c>
      <c r="W19">
        <v>9456.3959752675019</v>
      </c>
      <c r="Y19">
        <v>15244.170003935213</v>
      </c>
      <c r="Z19">
        <v>11179.087557152254</v>
      </c>
      <c r="AB19">
        <v>14695.496336941793</v>
      </c>
      <c r="AC19">
        <v>9770.4798644192215</v>
      </c>
      <c r="AE19">
        <v>14742.952688865411</v>
      </c>
      <c r="AF19">
        <v>9933.3502808542762</v>
      </c>
      <c r="AH19">
        <v>14507.647979966339</v>
      </c>
      <c r="AI19">
        <v>8965.5714789950962</v>
      </c>
      <c r="AK19">
        <v>28685.900550486345</v>
      </c>
      <c r="AL19">
        <v>0.60584306243888142</v>
      </c>
      <c r="AZ19">
        <v>36417.040331947523</v>
      </c>
      <c r="BA19">
        <v>491.02771042242921</v>
      </c>
      <c r="BC19">
        <v>33212.128158391322</v>
      </c>
      <c r="BD19">
        <v>3463.5471631593282</v>
      </c>
      <c r="BF19">
        <v>36791.028726374367</v>
      </c>
      <c r="BG19">
        <v>163.67957875692321</v>
      </c>
      <c r="BI19">
        <v>34011.68303656653</v>
      </c>
      <c r="BJ19">
        <v>4183.3056791771878</v>
      </c>
      <c r="BL19">
        <v>39407.621545984111</v>
      </c>
      <c r="BM19">
        <v>3190.8765318463143</v>
      </c>
      <c r="BO19">
        <v>35039.086031849773</v>
      </c>
      <c r="BP19">
        <v>4033.7827530578106</v>
      </c>
      <c r="BR19">
        <v>35565.996276280777</v>
      </c>
      <c r="BS19">
        <v>3949.559848810009</v>
      </c>
      <c r="BU19">
        <v>32383.22757775601</v>
      </c>
      <c r="BV19">
        <v>4378.935240333527</v>
      </c>
      <c r="BX19">
        <v>38113.704389949664</v>
      </c>
      <c r="BY19">
        <v>0.10935546373207819</v>
      </c>
    </row>
    <row r="20" spans="13:77" x14ac:dyDescent="0.35">
      <c r="M20">
        <v>25215.89464885744</v>
      </c>
      <c r="N20">
        <v>1825.960242898155</v>
      </c>
      <c r="P20">
        <v>16762.106808474797</v>
      </c>
      <c r="Q20">
        <v>7195.6387306678553</v>
      </c>
      <c r="S20">
        <v>27106.875852520254</v>
      </c>
      <c r="T20">
        <v>678.75246762710492</v>
      </c>
      <c r="V20">
        <v>15458.615237873744</v>
      </c>
      <c r="W20">
        <v>8726.5741171534955</v>
      </c>
      <c r="Y20">
        <v>15712.675702599832</v>
      </c>
      <c r="Z20">
        <v>10368.397110041855</v>
      </c>
      <c r="AB20">
        <v>15479.003514712131</v>
      </c>
      <c r="AC20">
        <v>9021.6583747053082</v>
      </c>
      <c r="AE20">
        <v>15493.420499456399</v>
      </c>
      <c r="AF20">
        <v>9175.2662337010661</v>
      </c>
      <c r="AH20">
        <v>15445.212985536471</v>
      </c>
      <c r="AI20">
        <v>8268.0830887245847</v>
      </c>
      <c r="AK20">
        <v>30111.38530867497</v>
      </c>
      <c r="AL20">
        <v>0.6598993706702847</v>
      </c>
      <c r="AZ20">
        <v>37923.714545235998</v>
      </c>
      <c r="BA20">
        <v>419.71072380343799</v>
      </c>
      <c r="BC20">
        <v>34778.229394062517</v>
      </c>
      <c r="BD20">
        <v>2926.8040977774153</v>
      </c>
      <c r="BF20">
        <v>38292.556335965834</v>
      </c>
      <c r="BG20">
        <v>140.09417569000854</v>
      </c>
      <c r="BI20">
        <v>35399.704669025181</v>
      </c>
      <c r="BJ20">
        <v>3544.0518022276306</v>
      </c>
      <c r="BL20">
        <v>40227.328099205806</v>
      </c>
      <c r="BM20">
        <v>2753.4706641171401</v>
      </c>
      <c r="BO20">
        <v>36312.032262487613</v>
      </c>
      <c r="BP20">
        <v>3429.3265962753062</v>
      </c>
      <c r="BR20">
        <v>36781.126186073467</v>
      </c>
      <c r="BS20">
        <v>3363.7477484159408</v>
      </c>
      <c r="BU20">
        <v>33959.739830636732</v>
      </c>
      <c r="BV20">
        <v>3689.360345710938</v>
      </c>
      <c r="BX20">
        <v>39482.196450120849</v>
      </c>
      <c r="BY20">
        <v>9.40220350786794E-2</v>
      </c>
    </row>
    <row r="21" spans="13:77" x14ac:dyDescent="0.35">
      <c r="M21">
        <v>26337.320220990365</v>
      </c>
      <c r="N21">
        <v>1907.5260582846381</v>
      </c>
      <c r="P21">
        <v>17643.743269764745</v>
      </c>
      <c r="Q21">
        <v>6808.6111327697699</v>
      </c>
      <c r="S21">
        <v>28420.935754031649</v>
      </c>
      <c r="T21">
        <v>725.51308509068315</v>
      </c>
      <c r="V21">
        <v>16279.814510392311</v>
      </c>
      <c r="W21">
        <v>8130.9164227610991</v>
      </c>
      <c r="Y21">
        <v>16224.748414111014</v>
      </c>
      <c r="Z21">
        <v>9671.2162543936593</v>
      </c>
      <c r="AB21">
        <v>16249.051443045762</v>
      </c>
      <c r="AC21">
        <v>8405.279170642385</v>
      </c>
      <c r="AE21">
        <v>16236.226077818399</v>
      </c>
      <c r="AF21">
        <v>8548.4286409067299</v>
      </c>
      <c r="AH21">
        <v>16343.106108975477</v>
      </c>
      <c r="AI21">
        <v>7706.0412108237306</v>
      </c>
      <c r="AK21">
        <v>31441.48890785722</v>
      </c>
      <c r="AL21">
        <v>0.73028998661148381</v>
      </c>
      <c r="AZ21">
        <v>39263.225561321902</v>
      </c>
      <c r="BA21">
        <v>360.59378685528259</v>
      </c>
      <c r="BC21">
        <v>36206.345623276196</v>
      </c>
      <c r="BD21">
        <v>2486.6081418208096</v>
      </c>
      <c r="BF21">
        <v>39623.31913276681</v>
      </c>
      <c r="BG21">
        <v>120.5198998540762</v>
      </c>
      <c r="BI21">
        <v>36681.40570622708</v>
      </c>
      <c r="BJ21">
        <v>3016.9517660118449</v>
      </c>
      <c r="BL21">
        <v>41000.065550832936</v>
      </c>
      <c r="BM21">
        <v>2382.848868242228</v>
      </c>
      <c r="BO21">
        <v>37491.782112353852</v>
      </c>
      <c r="BP21">
        <v>2928.3525640861308</v>
      </c>
      <c r="BR21">
        <v>37909.465679818852</v>
      </c>
      <c r="BS21">
        <v>2876.9407611126162</v>
      </c>
      <c r="BU21">
        <v>35407.464849302363</v>
      </c>
      <c r="BV21">
        <v>3125.3498360321264</v>
      </c>
      <c r="BX21">
        <v>40693.13131532188</v>
      </c>
      <c r="BY21">
        <v>8.1214609116728037E-2</v>
      </c>
    </row>
    <row r="22" spans="13:77" x14ac:dyDescent="0.35">
      <c r="M22">
        <v>27333.079172718877</v>
      </c>
      <c r="N22">
        <v>2017.2207603554052</v>
      </c>
      <c r="P22">
        <v>18468.926156498783</v>
      </c>
      <c r="Q22">
        <v>6506.1527737437355</v>
      </c>
      <c r="S22">
        <v>29619.802144668178</v>
      </c>
      <c r="T22">
        <v>786.81616981971877</v>
      </c>
      <c r="V22">
        <v>17070.389549107596</v>
      </c>
      <c r="W22">
        <v>7646.7189962835128</v>
      </c>
      <c r="Y22">
        <v>16762.40996117931</v>
      </c>
      <c r="Z22">
        <v>9075.8304178771086</v>
      </c>
      <c r="AB22">
        <v>16997.432612207696</v>
      </c>
      <c r="AC22">
        <v>7899.9540453364034</v>
      </c>
      <c r="AE22">
        <v>16962.203832351679</v>
      </c>
      <c r="AF22">
        <v>8032.2370248216603</v>
      </c>
      <c r="AH22">
        <v>17197.289183353318</v>
      </c>
      <c r="AI22">
        <v>7255.183488855524</v>
      </c>
      <c r="AK22">
        <v>32682.583830184689</v>
      </c>
      <c r="AL22">
        <v>0.82025887337017178</v>
      </c>
      <c r="AZ22">
        <v>40454.145343304692</v>
      </c>
      <c r="BA22">
        <v>311.21724629597935</v>
      </c>
      <c r="BC22">
        <v>37507.538770084233</v>
      </c>
      <c r="BD22">
        <v>2123.0239454590551</v>
      </c>
      <c r="BF22">
        <v>40802.754224664655</v>
      </c>
      <c r="BG22">
        <v>104.14987262844657</v>
      </c>
      <c r="BI22">
        <v>37862.539225369146</v>
      </c>
      <c r="BJ22">
        <v>2579.6604046867687</v>
      </c>
      <c r="BL22">
        <v>41725.230269576692</v>
      </c>
      <c r="BM22">
        <v>2067.6834131635314</v>
      </c>
      <c r="BO22">
        <v>38582.466899052095</v>
      </c>
      <c r="BP22">
        <v>2510.8070289686425</v>
      </c>
      <c r="BR22">
        <v>38954.389807938642</v>
      </c>
      <c r="BS22">
        <v>2470.2329611387904</v>
      </c>
      <c r="BU22">
        <v>36735.119284815468</v>
      </c>
      <c r="BV22">
        <v>2660.825512650496</v>
      </c>
      <c r="BX22">
        <v>41764.648867464886</v>
      </c>
      <c r="BY22">
        <v>7.0440412620211904E-2</v>
      </c>
    </row>
    <row r="23" spans="13:77" x14ac:dyDescent="0.35">
      <c r="M23">
        <v>28203.306575891493</v>
      </c>
      <c r="N23">
        <v>2156.3100151561903</v>
      </c>
      <c r="P23">
        <v>19235.743469307992</v>
      </c>
      <c r="Q23">
        <v>6274.4952240335961</v>
      </c>
      <c r="S23">
        <v>30705.490620770215</v>
      </c>
      <c r="T23">
        <v>864.61692222991758</v>
      </c>
      <c r="V23">
        <v>17824.961027766331</v>
      </c>
      <c r="W23">
        <v>7255.7682296919202</v>
      </c>
      <c r="Y23">
        <v>17311.517093456961</v>
      </c>
      <c r="Z23">
        <v>8570.7533273234894</v>
      </c>
      <c r="AB23">
        <v>17717.458965272494</v>
      </c>
      <c r="AC23">
        <v>7488.2068374169921</v>
      </c>
      <c r="AE23">
        <v>17663.941922812082</v>
      </c>
      <c r="AF23">
        <v>7609.6712540409007</v>
      </c>
      <c r="AH23">
        <v>18004.213847112693</v>
      </c>
      <c r="AI23">
        <v>6896.4879158664035</v>
      </c>
      <c r="AK23">
        <v>33840.614321950554</v>
      </c>
      <c r="AL23">
        <v>0.93414263973157674</v>
      </c>
      <c r="AZ23">
        <v>41512.963215041709</v>
      </c>
      <c r="BA23">
        <v>269.69127216818879</v>
      </c>
      <c r="BC23">
        <v>38692.052549967797</v>
      </c>
      <c r="BD23">
        <v>1820.7305454285508</v>
      </c>
      <c r="BF23">
        <v>41848.078931416378</v>
      </c>
      <c r="BG23">
        <v>90.364304480397493</v>
      </c>
      <c r="BI23">
        <v>38948.955567115619</v>
      </c>
      <c r="BJ23">
        <v>2214.7755106146765</v>
      </c>
      <c r="BL23">
        <v>42403.119315851138</v>
      </c>
      <c r="BM23">
        <v>1798.741676528437</v>
      </c>
      <c r="BO23">
        <v>39588.567244196311</v>
      </c>
      <c r="BP23">
        <v>2160.940592705213</v>
      </c>
      <c r="BR23">
        <v>39919.733263422902</v>
      </c>
      <c r="BS23">
        <v>2128.7114401125959</v>
      </c>
      <c r="BU23">
        <v>37951.016459518367</v>
      </c>
      <c r="BV23">
        <v>2275.7413774368374</v>
      </c>
      <c r="BX23">
        <v>42712.800502944054</v>
      </c>
      <c r="BY23">
        <v>6.1317927592814188E-2</v>
      </c>
    </row>
    <row r="24" spans="13:77" x14ac:dyDescent="0.35">
      <c r="M24">
        <v>28947.275425929642</v>
      </c>
      <c r="N24">
        <v>2326.5547810333314</v>
      </c>
      <c r="P24">
        <v>19942.636262807242</v>
      </c>
      <c r="Q24">
        <v>6102.751503475949</v>
      </c>
      <c r="S24">
        <v>31678.758899424494</v>
      </c>
      <c r="T24">
        <v>961.46132886201349</v>
      </c>
      <c r="V24">
        <v>18539.090736909147</v>
      </c>
      <c r="W24">
        <v>6943.4048086971652</v>
      </c>
      <c r="Y24">
        <v>17860.817806941046</v>
      </c>
      <c r="Z24">
        <v>8145.30167675135</v>
      </c>
      <c r="AB24">
        <v>18403.679256245767</v>
      </c>
      <c r="AC24">
        <v>7155.7607115491282</v>
      </c>
      <c r="AE24">
        <v>18335.428439771837</v>
      </c>
      <c r="AF24">
        <v>7266.703770884902</v>
      </c>
      <c r="AH24">
        <v>18760.858094145209</v>
      </c>
      <c r="AI24">
        <v>6614.934263484346</v>
      </c>
      <c r="AK24">
        <v>34921.124461898689</v>
      </c>
      <c r="AL24">
        <v>1.077654593077733</v>
      </c>
      <c r="AZ24">
        <v>42454.329297443015</v>
      </c>
      <c r="BA24">
        <v>234.54862496706363</v>
      </c>
      <c r="BC24">
        <v>39769.413090834983</v>
      </c>
      <c r="BD24">
        <v>1567.8503367433664</v>
      </c>
      <c r="BF24">
        <v>42774.547691380612</v>
      </c>
      <c r="BG24">
        <v>78.682029925039686</v>
      </c>
      <c r="BI24">
        <v>39946.525905413211</v>
      </c>
      <c r="BJ24">
        <v>1908.6497302728633</v>
      </c>
      <c r="BL24">
        <v>43034.69911569859</v>
      </c>
      <c r="BM24">
        <v>1568.4745692636425</v>
      </c>
      <c r="BO24">
        <v>40514.779519064927</v>
      </c>
      <c r="BP24">
        <v>1866.3071236581432</v>
      </c>
      <c r="BR24">
        <v>40809.633059974971</v>
      </c>
      <c r="BS24">
        <v>1840.544107673823</v>
      </c>
      <c r="BU24">
        <v>39063.110994847593</v>
      </c>
      <c r="BV24">
        <v>1954.5621455844284</v>
      </c>
      <c r="BX24">
        <v>43551.789586407438</v>
      </c>
      <c r="BY24">
        <v>5.3548730121646328E-2</v>
      </c>
    </row>
    <row r="25" spans="13:77" x14ac:dyDescent="0.35">
      <c r="M25">
        <v>29563.542832232022</v>
      </c>
      <c r="N25">
        <v>2530.01828576353</v>
      </c>
      <c r="P25">
        <v>20588.440675254904</v>
      </c>
      <c r="Q25">
        <v>5982.2098846558538</v>
      </c>
      <c r="S25">
        <v>32539.008082253931</v>
      </c>
      <c r="T25">
        <v>1080.5209949363141</v>
      </c>
      <c r="V25">
        <v>19209.16733873574</v>
      </c>
      <c r="W25">
        <v>6697.7731355862825</v>
      </c>
      <c r="Y25">
        <v>18401.2914237851</v>
      </c>
      <c r="Z25">
        <v>7789.8399373898073</v>
      </c>
      <c r="AB25">
        <v>19051.678292172317</v>
      </c>
      <c r="AC25">
        <v>6890.9279740178945</v>
      </c>
      <c r="AE25">
        <v>18971.803306718655</v>
      </c>
      <c r="AF25">
        <v>6991.7689590409609</v>
      </c>
      <c r="AH25">
        <v>19464.734264640454</v>
      </c>
      <c r="AI25">
        <v>6398.5670881083643</v>
      </c>
      <c r="AK25">
        <v>35929.284170721774</v>
      </c>
      <c r="AL25">
        <v>1.2582716024962119</v>
      </c>
      <c r="AZ25">
        <v>43291.265213866231</v>
      </c>
      <c r="BA25">
        <v>204.63892376724442</v>
      </c>
      <c r="BC25">
        <v>40748.490663965844</v>
      </c>
      <c r="BD25">
        <v>1355.0988559816778</v>
      </c>
      <c r="BF25">
        <v>43595.677792912837</v>
      </c>
      <c r="BG25">
        <v>68.725748151122218</v>
      </c>
      <c r="BI25">
        <v>40861.068664063016</v>
      </c>
      <c r="BJ25">
        <v>1650.5079534153958</v>
      </c>
      <c r="BL25">
        <v>43621.423045145391</v>
      </c>
      <c r="BM25">
        <v>1370.6883940273317</v>
      </c>
      <c r="BO25">
        <v>41365.902821429539</v>
      </c>
      <c r="BP25">
        <v>1617.0108141528308</v>
      </c>
      <c r="BR25">
        <v>41628.398944920256</v>
      </c>
      <c r="BS25">
        <v>1596.2889886823596</v>
      </c>
      <c r="BU25">
        <v>40079.007596715928</v>
      </c>
      <c r="BV25">
        <v>1685.1542004658697</v>
      </c>
      <c r="BX25">
        <v>44294.184219606919</v>
      </c>
      <c r="BY25">
        <v>4.6897126879281534E-2</v>
      </c>
    </row>
    <row r="26" spans="13:77" x14ac:dyDescent="0.35">
      <c r="M26">
        <v>30050.170271558123</v>
      </c>
      <c r="N26">
        <v>2768.8392627323628</v>
      </c>
      <c r="P26">
        <v>21172.414020933527</v>
      </c>
      <c r="Q26">
        <v>5905.7980118904479</v>
      </c>
      <c r="S26">
        <v>33284.186866737888</v>
      </c>
      <c r="T26">
        <v>1225.6232742487989</v>
      </c>
      <c r="V26">
        <v>19832.318636766377</v>
      </c>
      <c r="W26">
        <v>6509.2219131568081</v>
      </c>
      <c r="Y26">
        <v>18925.680291252917</v>
      </c>
      <c r="Z26">
        <v>7495.8359326741011</v>
      </c>
      <c r="AB26">
        <v>19657.930592610239</v>
      </c>
      <c r="AC26">
        <v>6684.0994277676136</v>
      </c>
      <c r="AE26">
        <v>19569.179690451263</v>
      </c>
      <c r="AF26">
        <v>6775.3033510956193</v>
      </c>
      <c r="AH26">
        <v>20113.883644299145</v>
      </c>
      <c r="AI26">
        <v>6237.7805884766158</v>
      </c>
      <c r="AK26">
        <v>36869.913241268245</v>
      </c>
      <c r="AL26">
        <v>1.4857541689774734</v>
      </c>
      <c r="AZ26">
        <v>44035.348118643029</v>
      </c>
      <c r="BA26">
        <v>179.05183440535686</v>
      </c>
      <c r="BC26">
        <v>41637.541069641913</v>
      </c>
      <c r="BD26">
        <v>1175.161427073089</v>
      </c>
      <c r="BF26">
        <v>44323.448290248481</v>
      </c>
      <c r="BG26">
        <v>60.196800073818146</v>
      </c>
      <c r="BI26">
        <v>41698.285005220161</v>
      </c>
      <c r="BJ26">
        <v>1431.7870217116099</v>
      </c>
      <c r="BL26">
        <v>44165.087708786123</v>
      </c>
      <c r="BM26">
        <v>1200.2832851098722</v>
      </c>
      <c r="BO26">
        <v>42146.746384576487</v>
      </c>
      <c r="BP26">
        <v>1405.1365413174206</v>
      </c>
      <c r="BR26">
        <v>42380.408901110328</v>
      </c>
      <c r="BS26">
        <v>1388.3685778066786</v>
      </c>
      <c r="BU26">
        <v>41005.954362505596</v>
      </c>
      <c r="BV26">
        <v>1457.9699037228443</v>
      </c>
      <c r="BX26">
        <v>44951.105513163289</v>
      </c>
      <c r="BY26">
        <v>4.1175263978486774E-2</v>
      </c>
    </row>
    <row r="27" spans="13:77" x14ac:dyDescent="0.35">
      <c r="M27">
        <v>30405.040980474863</v>
      </c>
      <c r="N27">
        <v>3044.9534150159893</v>
      </c>
      <c r="P27">
        <v>21694.254282998521</v>
      </c>
      <c r="Q27">
        <v>5867.6716097708659</v>
      </c>
      <c r="S27">
        <v>33910.719348707673</v>
      </c>
      <c r="T27">
        <v>1401.258550525047</v>
      </c>
      <c r="V27">
        <v>20406.344248016932</v>
      </c>
      <c r="W27">
        <v>6369.8259265106917</v>
      </c>
      <c r="Y27">
        <v>19428.152321419268</v>
      </c>
      <c r="Z27">
        <v>7255.8133030880244</v>
      </c>
      <c r="AB27">
        <v>20219.692073054568</v>
      </c>
      <c r="AC27">
        <v>6527.3225427531488</v>
      </c>
      <c r="AE27">
        <v>20124.513099101619</v>
      </c>
      <c r="AF27">
        <v>6609.356411456266</v>
      </c>
      <c r="AH27">
        <v>20706.866782850073</v>
      </c>
      <c r="AI27">
        <v>6124.7680692327185</v>
      </c>
      <c r="AK27">
        <v>37747.503443660527</v>
      </c>
      <c r="AL27">
        <v>1.7728416510760545</v>
      </c>
      <c r="AZ27">
        <v>44696.872442855478</v>
      </c>
      <c r="BA27">
        <v>157.06065897894823</v>
      </c>
      <c r="BC27">
        <v>42444.237104891072</v>
      </c>
      <c r="BD27">
        <v>1022.2319468034185</v>
      </c>
      <c r="BF27">
        <v>44968.475637663614</v>
      </c>
      <c r="BG27">
        <v>52.856663328604178</v>
      </c>
      <c r="BI27">
        <v>42463.705835412584</v>
      </c>
      <c r="BJ27">
        <v>1245.6384050515785</v>
      </c>
      <c r="BL27">
        <v>44667.720026150673</v>
      </c>
      <c r="BM27">
        <v>1053.0445727242627</v>
      </c>
      <c r="BO27">
        <v>42862.055927429334</v>
      </c>
      <c r="BP27">
        <v>1224.3164497227006</v>
      </c>
      <c r="BR27">
        <v>43070.026647008948</v>
      </c>
      <c r="BS27">
        <v>1210.6677556668399</v>
      </c>
      <c r="BU27">
        <v>41850.831717502711</v>
      </c>
      <c r="BV27">
        <v>1265.4426039648411</v>
      </c>
      <c r="BX27">
        <v>45532.39418189256</v>
      </c>
      <c r="BY27">
        <v>3.6232122032832541E-2</v>
      </c>
    </row>
    <row r="28" spans="13:77" x14ac:dyDescent="0.35">
      <c r="M28">
        <v>30626.291944642544</v>
      </c>
      <c r="N28">
        <v>3359.7529274251524</v>
      </c>
      <c r="P28">
        <v>22154.117795874507</v>
      </c>
      <c r="Q28">
        <v>5862.8958893815752</v>
      </c>
      <c r="S28">
        <v>34413.487577951964</v>
      </c>
      <c r="T28">
        <v>1612.5396660535248</v>
      </c>
      <c r="V28">
        <v>20929.664714320723</v>
      </c>
      <c r="W28">
        <v>6273.004202729061</v>
      </c>
      <c r="Y28">
        <v>19904.05420616905</v>
      </c>
      <c r="Z28">
        <v>7063.2525968412929</v>
      </c>
      <c r="AB28">
        <v>20734.919475603285</v>
      </c>
      <c r="AC28">
        <v>6413.9555588163776</v>
      </c>
      <c r="AE28">
        <v>20635.504502339372</v>
      </c>
      <c r="AF28">
        <v>6487.2655996282292</v>
      </c>
      <c r="AH28">
        <v>21242.754708435281</v>
      </c>
      <c r="AI28">
        <v>6053.0946386987407</v>
      </c>
      <c r="AK28">
        <v>38566.238729127414</v>
      </c>
      <c r="AL28">
        <v>2.1361797803161759</v>
      </c>
      <c r="AZ28">
        <v>45284.992675255191</v>
      </c>
      <c r="BA28">
        <v>138.08048339832209</v>
      </c>
      <c r="BC28">
        <v>43175.695792311984</v>
      </c>
      <c r="BD28">
        <v>891.66869434501939</v>
      </c>
      <c r="BF28">
        <v>45540.168976869762</v>
      </c>
      <c r="BG28">
        <v>46.513234932168778</v>
      </c>
      <c r="BI28">
        <v>43162.65066321769</v>
      </c>
      <c r="BJ28">
        <v>1086.5511653868718</v>
      </c>
      <c r="BL28">
        <v>45131.488947282989</v>
      </c>
      <c r="BM28">
        <v>925.47612803162519</v>
      </c>
      <c r="BO28">
        <v>43516.456803369045</v>
      </c>
      <c r="BP28">
        <v>1069.3983212790283</v>
      </c>
      <c r="BR28">
        <v>43701.537979741232</v>
      </c>
      <c r="BS28">
        <v>1058.2246368300134</v>
      </c>
      <c r="BU28">
        <v>42620.142697433752</v>
      </c>
      <c r="BV28">
        <v>1101.5343430766673</v>
      </c>
      <c r="BX28">
        <v>46046.75795949217</v>
      </c>
      <c r="BY28">
        <v>3.1945301908111789E-2</v>
      </c>
    </row>
    <row r="29" spans="13:77" x14ac:dyDescent="0.35">
      <c r="M29">
        <v>30712.86585332458</v>
      </c>
      <c r="N29">
        <v>3713.686232222029</v>
      </c>
      <c r="P29">
        <v>22552.636828610801</v>
      </c>
      <c r="Q29">
        <v>5887.1974286934801</v>
      </c>
      <c r="S29">
        <v>34785.913289930031</v>
      </c>
      <c r="T29">
        <v>1865.0800340956077</v>
      </c>
      <c r="V29">
        <v>21401.284019621129</v>
      </c>
      <c r="W29">
        <v>6213.214695459078</v>
      </c>
      <c r="Y29">
        <v>20349.728507908098</v>
      </c>
      <c r="Z29">
        <v>6912.4713934488009</v>
      </c>
      <c r="AB29">
        <v>21202.210621480881</v>
      </c>
      <c r="AC29">
        <v>6338.3851077085501</v>
      </c>
      <c r="AE29">
        <v>21100.528427773712</v>
      </c>
      <c r="AF29">
        <v>6403.3874621432724</v>
      </c>
      <c r="AH29">
        <v>21721.123518794117</v>
      </c>
      <c r="AI29">
        <v>6017.3631931734499</v>
      </c>
      <c r="AK29">
        <v>39330.013518773114</v>
      </c>
      <c r="AL29">
        <v>2.5975578460301425</v>
      </c>
      <c r="AZ29">
        <v>45807.849776256349</v>
      </c>
      <c r="BA29">
        <v>121.63682596424047</v>
      </c>
      <c r="BC29">
        <v>43838.504289685952</v>
      </c>
      <c r="BD29">
        <v>779.73537822532546</v>
      </c>
      <c r="BF29">
        <v>46046.867560900289</v>
      </c>
      <c r="BG29">
        <v>41.010563373221508</v>
      </c>
      <c r="BI29">
        <v>43800.197528686396</v>
      </c>
      <c r="BJ29">
        <v>950.06429547584366</v>
      </c>
      <c r="BL29">
        <v>45558.636902087725</v>
      </c>
      <c r="BM29">
        <v>814.66698306138767</v>
      </c>
      <c r="BO29">
        <v>44114.411593710516</v>
      </c>
      <c r="BP29">
        <v>936.19041541558852</v>
      </c>
      <c r="BR29">
        <v>44279.102960801298</v>
      </c>
      <c r="BS29">
        <v>926.99164681340869</v>
      </c>
      <c r="BU29">
        <v>43320.007187684627</v>
      </c>
      <c r="BV29">
        <v>961.39515753772253</v>
      </c>
      <c r="BX29">
        <v>46501.902040978799</v>
      </c>
      <c r="BY29">
        <v>2.821483557950347E-2</v>
      </c>
    </row>
    <row r="30" spans="13:77" x14ac:dyDescent="0.35">
      <c r="M30">
        <v>30665.16785822553</v>
      </c>
      <c r="N30">
        <v>4105.8183165565852</v>
      </c>
      <c r="P30">
        <v>22890.936618251031</v>
      </c>
      <c r="Q30">
        <v>5936.7711565080699</v>
      </c>
      <c r="S30">
        <v>35020.197626837806</v>
      </c>
      <c r="T30">
        <v>2164.7486053225271</v>
      </c>
      <c r="V30">
        <v>21820.762763357234</v>
      </c>
      <c r="W30">
        <v>6185.7100256313279</v>
      </c>
      <c r="Y30">
        <v>20762.37643262804</v>
      </c>
      <c r="Z30">
        <v>6798.5008435725667</v>
      </c>
      <c r="AB30">
        <v>21620.760351753983</v>
      </c>
      <c r="AC30">
        <v>6295.7965197968042</v>
      </c>
      <c r="AE30">
        <v>21518.579580278794</v>
      </c>
      <c r="AF30">
        <v>6352.8765465841398</v>
      </c>
      <c r="AH30">
        <v>22142.052889525767</v>
      </c>
      <c r="AI30">
        <v>6012.9520777690241</v>
      </c>
      <c r="AK30">
        <v>40042.4490159454</v>
      </c>
      <c r="AL30">
        <v>3.1855601119120043</v>
      </c>
      <c r="AZ30">
        <v>46272.683324344929</v>
      </c>
      <c r="BA30">
        <v>107.34193780206152</v>
      </c>
      <c r="BC30">
        <v>44438.745821716439</v>
      </c>
      <c r="BD30">
        <v>683.40480340396823</v>
      </c>
      <c r="BF30">
        <v>46495.962444643257</v>
      </c>
      <c r="BG30">
        <v>36.221091597627407</v>
      </c>
      <c r="BI30">
        <v>44381.162701383117</v>
      </c>
      <c r="BJ30">
        <v>832.54589013453563</v>
      </c>
      <c r="BL30">
        <v>45951.427072274448</v>
      </c>
      <c r="BM30">
        <v>718.18433127785079</v>
      </c>
      <c r="BO30">
        <v>44660.189831238444</v>
      </c>
      <c r="BP30">
        <v>821.26406895187006</v>
      </c>
      <c r="BR30">
        <v>44806.72121392555</v>
      </c>
      <c r="BS30">
        <v>813.64992805098962</v>
      </c>
      <c r="BU30">
        <v>43956.16098171968</v>
      </c>
      <c r="BV30">
        <v>841.10458301172673</v>
      </c>
      <c r="BX30">
        <v>46904.644506976707</v>
      </c>
      <c r="BY30">
        <v>2.4958481116063712E-2</v>
      </c>
    </row>
    <row r="31" spans="13:77" x14ac:dyDescent="0.35">
      <c r="M31">
        <v>30485.782868225808</v>
      </c>
      <c r="N31">
        <v>4533.3949644016775</v>
      </c>
      <c r="P31">
        <v>23170.649873766251</v>
      </c>
      <c r="Q31">
        <v>6008.1319382179036</v>
      </c>
      <c r="S31">
        <v>35107.789291164947</v>
      </c>
      <c r="T31">
        <v>2517.2550955547176</v>
      </c>
      <c r="V31">
        <v>22188.199194771601</v>
      </c>
      <c r="W31">
        <v>6186.3424912862665</v>
      </c>
      <c r="Y31">
        <v>21139.953614964415</v>
      </c>
      <c r="Z31">
        <v>6716.9681897016317</v>
      </c>
      <c r="AB31">
        <v>21990.327936334055</v>
      </c>
      <c r="AC31">
        <v>6281.9878950534958</v>
      </c>
      <c r="AE31">
        <v>21889.232958520697</v>
      </c>
      <c r="AF31">
        <v>6331.5048682178112</v>
      </c>
      <c r="AH31">
        <v>22506.127591358236</v>
      </c>
      <c r="AI31">
        <v>6035.8089504122472</v>
      </c>
      <c r="AK31">
        <v>40706.90741956931</v>
      </c>
      <c r="AL31">
        <v>3.9377726544705536</v>
      </c>
      <c r="AZ31">
        <v>46685.931135973471</v>
      </c>
      <c r="BA31">
        <v>94.876732604974947</v>
      </c>
      <c r="BC31">
        <v>44982.026098182418</v>
      </c>
      <c r="BD31">
        <v>600.20891704124483</v>
      </c>
      <c r="BF31">
        <v>46894.004287616415</v>
      </c>
      <c r="BG31">
        <v>32.039745481635265</v>
      </c>
      <c r="BI31">
        <v>44910.088663619616</v>
      </c>
      <c r="BJ31">
        <v>731.02260398875876</v>
      </c>
      <c r="BL31">
        <v>46312.10334261346</v>
      </c>
      <c r="BM31">
        <v>633.98746339582533</v>
      </c>
      <c r="BO31">
        <v>45157.847712439318</v>
      </c>
      <c r="BP31">
        <v>721.80015580338102</v>
      </c>
      <c r="BR31">
        <v>45288.207923397327</v>
      </c>
      <c r="BS31">
        <v>715.464438496752</v>
      </c>
      <c r="BU31">
        <v>44533.959579515351</v>
      </c>
      <c r="BV31">
        <v>737.47416740136305</v>
      </c>
      <c r="BX31">
        <v>47261.018458954313</v>
      </c>
      <c r="BY31">
        <v>2.2108115507551363E-2</v>
      </c>
    </row>
    <row r="32" spans="13:77" x14ac:dyDescent="0.35">
      <c r="M32">
        <v>30180.17471988302</v>
      </c>
      <c r="N32">
        <v>4991.4787772868731</v>
      </c>
      <c r="P32">
        <v>23393.925756114804</v>
      </c>
      <c r="Q32">
        <v>6098.0036619518414</v>
      </c>
      <c r="S32">
        <v>35040.153268537491</v>
      </c>
      <c r="T32">
        <v>2927.523699682049</v>
      </c>
      <c r="V32">
        <v>22504.215130842353</v>
      </c>
      <c r="W32">
        <v>6211.4095416974224</v>
      </c>
      <c r="Y32">
        <v>21481.089788165889</v>
      </c>
      <c r="Z32">
        <v>6663.9902334445869</v>
      </c>
      <c r="AB32">
        <v>22311.212168174596</v>
      </c>
      <c r="AC32">
        <v>6293.2208802831537</v>
      </c>
      <c r="AE32">
        <v>22212.613213054588</v>
      </c>
      <c r="AF32">
        <v>6335.5158973757507</v>
      </c>
      <c r="AH32">
        <v>22814.440021807673</v>
      </c>
      <c r="AI32">
        <v>6082.2898934104896</v>
      </c>
      <c r="AK32">
        <v>41326.503835728348</v>
      </c>
      <c r="AL32">
        <v>4.9037362539248068</v>
      </c>
      <c r="AZ32">
        <v>47053.317832720553</v>
      </c>
      <c r="BA32">
        <v>83.976895299656846</v>
      </c>
      <c r="BC32">
        <v>45473.500220039103</v>
      </c>
      <c r="BD32">
        <v>528.12346921176288</v>
      </c>
      <c r="BF32">
        <v>47246.79887950889</v>
      </c>
      <c r="BG32">
        <v>28.379391169060785</v>
      </c>
      <c r="BI32">
        <v>45391.238906951294</v>
      </c>
      <c r="BJ32">
        <v>643.04717449989369</v>
      </c>
      <c r="BL32">
        <v>46642.860395263226</v>
      </c>
      <c r="BM32">
        <v>560.35834261196112</v>
      </c>
      <c r="BO32">
        <v>45611.215892222579</v>
      </c>
      <c r="BP32">
        <v>635.46902718627371</v>
      </c>
      <c r="BR32">
        <v>45727.178448539184</v>
      </c>
      <c r="BS32">
        <v>630.17025169304532</v>
      </c>
      <c r="BU32">
        <v>45058.386180146917</v>
      </c>
      <c r="BV32">
        <v>647.89558732879266</v>
      </c>
      <c r="BX32">
        <v>47576.362395419615</v>
      </c>
      <c r="BY32">
        <v>1.9606946770063458E-2</v>
      </c>
    </row>
    <row r="33" spans="13:77" x14ac:dyDescent="0.35">
      <c r="M33">
        <v>29757.256827296969</v>
      </c>
      <c r="N33">
        <v>5472.7433095591296</v>
      </c>
      <c r="P33">
        <v>23563.429810271195</v>
      </c>
      <c r="Q33">
        <v>6203.2409787902916</v>
      </c>
      <c r="S33">
        <v>34809.893277413874</v>
      </c>
      <c r="T33">
        <v>3398.8362360353599</v>
      </c>
      <c r="V33">
        <v>22769.943591710584</v>
      </c>
      <c r="W33">
        <v>6257.5332401926062</v>
      </c>
      <c r="Y33">
        <v>21785.025496567639</v>
      </c>
      <c r="Z33">
        <v>6636.0800778452522</v>
      </c>
      <c r="AB33">
        <v>22584.230569499123</v>
      </c>
      <c r="AC33">
        <v>6326.1027180211213</v>
      </c>
      <c r="AE33">
        <v>22489.36941591166</v>
      </c>
      <c r="AF33">
        <v>6361.5082615041611</v>
      </c>
      <c r="AH33">
        <v>23068.590984863273</v>
      </c>
      <c r="AI33">
        <v>6149.0360994187422</v>
      </c>
      <c r="AK33">
        <v>41904.115579107805</v>
      </c>
      <c r="AL33">
        <v>6.1489027434667189</v>
      </c>
      <c r="AZ33">
        <v>47379.933622766628</v>
      </c>
      <c r="BA33">
        <v>74.422119541113744</v>
      </c>
      <c r="BC33">
        <v>45917.899853938492</v>
      </c>
      <c r="BD33">
        <v>465.47869848630779</v>
      </c>
      <c r="BF33">
        <v>47559.491801026263</v>
      </c>
      <c r="BG33">
        <v>25.167316549218022</v>
      </c>
      <c r="BI33">
        <v>45828.598181694091</v>
      </c>
      <c r="BJ33">
        <v>566.59492828362579</v>
      </c>
      <c r="BL33">
        <v>46945.821895669847</v>
      </c>
      <c r="BM33">
        <v>495.84543088182875</v>
      </c>
      <c r="BO33">
        <v>46023.893709072858</v>
      </c>
      <c r="BP33">
        <v>560.33614207522874</v>
      </c>
      <c r="BR33">
        <v>46127.039783123393</v>
      </c>
      <c r="BS33">
        <v>555.88289668738378</v>
      </c>
      <c r="BU33">
        <v>45534.063131064977</v>
      </c>
      <c r="BV33">
        <v>570.22308710112065</v>
      </c>
      <c r="BX33">
        <v>47855.400182924051</v>
      </c>
      <c r="BY33">
        <v>1.7407342565893984E-2</v>
      </c>
    </row>
    <row r="34" spans="13:77" x14ac:dyDescent="0.35">
      <c r="M34">
        <v>29229.706989129671</v>
      </c>
      <c r="N34">
        <v>5967.5142063563144</v>
      </c>
      <c r="P34">
        <v>23682.331294668678</v>
      </c>
      <c r="Q34">
        <v>6320.7801749805849</v>
      </c>
      <c r="S34">
        <v>34412.229022871892</v>
      </c>
      <c r="T34">
        <v>3931.7748871513268</v>
      </c>
      <c r="V34">
        <v>22987.014891364797</v>
      </c>
      <c r="W34">
        <v>6321.5689724122894</v>
      </c>
      <c r="Y34">
        <v>22051.560507105154</v>
      </c>
      <c r="Z34">
        <v>6630.0680031469246</v>
      </c>
      <c r="AB34">
        <v>22810.699287166492</v>
      </c>
      <c r="AC34">
        <v>6377.4954321085079</v>
      </c>
      <c r="AE34">
        <v>22720.651696456262</v>
      </c>
      <c r="AF34">
        <v>6406.3454076347743</v>
      </c>
      <c r="AH34">
        <v>23270.6855000793</v>
      </c>
      <c r="AI34">
        <v>6232.8827590142055</v>
      </c>
      <c r="AK34">
        <v>42442.388415545895</v>
      </c>
      <c r="AL34">
        <v>7.7599423930372859</v>
      </c>
      <c r="AZ34">
        <v>47670.304398550652</v>
      </c>
      <c r="BA34">
        <v>66.027706847379619</v>
      </c>
      <c r="BC34">
        <v>46319.560372370739</v>
      </c>
      <c r="BD34">
        <v>410.88972123529459</v>
      </c>
      <c r="BF34">
        <v>47836.643463351036</v>
      </c>
      <c r="BG34">
        <v>22.342485259286988</v>
      </c>
      <c r="BI34">
        <v>46225.876996388164</v>
      </c>
      <c r="BJ34">
        <v>499.98248157453554</v>
      </c>
      <c r="BL34">
        <v>47223.025108495807</v>
      </c>
      <c r="BM34">
        <v>439.21809202135779</v>
      </c>
      <c r="BO34">
        <v>46399.24843712079</v>
      </c>
      <c r="BP34">
        <v>494.78751116956818</v>
      </c>
      <c r="BR34">
        <v>46490.987374617624</v>
      </c>
      <c r="BS34">
        <v>491.02730894237794</v>
      </c>
      <c r="BU34">
        <v>45965.266059402631</v>
      </c>
      <c r="BV34">
        <v>502.68192014523993</v>
      </c>
      <c r="BX34">
        <v>48102.311819848954</v>
      </c>
      <c r="BY34">
        <v>1.5469126439458736E-2</v>
      </c>
    </row>
    <row r="35" spans="13:77" x14ac:dyDescent="0.35">
      <c r="M35">
        <v>28613.910002777273</v>
      </c>
      <c r="N35">
        <v>6464.123583274024</v>
      </c>
      <c r="P35">
        <v>23754.274837847839</v>
      </c>
      <c r="Q35">
        <v>6447.6162119985247</v>
      </c>
      <c r="S35">
        <v>33846.735767455299</v>
      </c>
      <c r="T35">
        <v>4523.0740337644856</v>
      </c>
      <c r="V35">
        <v>23157.537997814678</v>
      </c>
      <c r="W35">
        <v>6400.5398475683742</v>
      </c>
      <c r="Y35">
        <v>22281.009602842565</v>
      </c>
      <c r="Z35">
        <v>6643.0365324880786</v>
      </c>
      <c r="AB35">
        <v>22992.410462793268</v>
      </c>
      <c r="AC35">
        <v>6444.4489594171091</v>
      </c>
      <c r="AE35">
        <v>22908.08648163695</v>
      </c>
      <c r="AF35">
        <v>6467.0882696487843</v>
      </c>
      <c r="AH35">
        <v>23423.320320317172</v>
      </c>
      <c r="AI35">
        <v>6330.7962680993141</v>
      </c>
      <c r="AK35">
        <v>42943.73910968026</v>
      </c>
      <c r="AL35">
        <v>9.851871548911296</v>
      </c>
      <c r="AZ35">
        <v>47928.454116744411</v>
      </c>
      <c r="BA35">
        <v>58.637962052632339</v>
      </c>
      <c r="BC35">
        <v>46682.447648829511</v>
      </c>
      <c r="BD35">
        <v>363.20193889143911</v>
      </c>
      <c r="BF35">
        <v>48082.295623305617</v>
      </c>
      <c r="BG35">
        <v>19.85337795844514</v>
      </c>
      <c r="BI35">
        <v>46586.519334885292</v>
      </c>
      <c r="BJ35">
        <v>441.80353038407088</v>
      </c>
      <c r="BL35">
        <v>47476.410597413626</v>
      </c>
      <c r="BM35">
        <v>389.42945852104492</v>
      </c>
      <c r="BO35">
        <v>46740.418391457693</v>
      </c>
      <c r="BP35">
        <v>437.47049879721152</v>
      </c>
      <c r="BR35">
        <v>46822.006072232791</v>
      </c>
      <c r="BS35">
        <v>434.28125782465833</v>
      </c>
      <c r="BU35">
        <v>46355.939955431626</v>
      </c>
      <c r="BV35">
        <v>443.79661465872664</v>
      </c>
      <c r="BX35">
        <v>48320.796053020975</v>
      </c>
      <c r="BY35">
        <v>1.3758231411750768E-2</v>
      </c>
    </row>
    <row r="36" spans="13:77" x14ac:dyDescent="0.35">
      <c r="M36">
        <v>27929.458495072948</v>
      </c>
      <c r="N36">
        <v>6949.5929019300747</v>
      </c>
      <c r="P36">
        <v>23783.334333674909</v>
      </c>
      <c r="Q36">
        <v>6580.8029190537418</v>
      </c>
      <c r="S36">
        <v>33119.124514394418</v>
      </c>
      <c r="T36">
        <v>5164.5902599570272</v>
      </c>
      <c r="V36">
        <v>23284.07428562361</v>
      </c>
      <c r="W36">
        <v>6491.5939462761989</v>
      </c>
      <c r="Y36">
        <v>22474.162204958819</v>
      </c>
      <c r="Z36">
        <v>6672.2692981662767</v>
      </c>
      <c r="AB36">
        <v>23131.60421215542</v>
      </c>
      <c r="AC36">
        <v>6524.1556278610915</v>
      </c>
      <c r="AE36">
        <v>23053.747455671441</v>
      </c>
      <c r="AF36">
        <v>6540.9485004102462</v>
      </c>
      <c r="AH36">
        <v>23529.560117596127</v>
      </c>
      <c r="AI36">
        <v>6439.8366858947356</v>
      </c>
      <c r="AK36">
        <v>43410.353391336874</v>
      </c>
      <c r="AL36">
        <v>12.577633562239605</v>
      </c>
      <c r="AZ36">
        <v>48157.960312599091</v>
      </c>
      <c r="BA36">
        <v>52.120965117821832</v>
      </c>
      <c r="BC36">
        <v>47010.184228051228</v>
      </c>
      <c r="BD36">
        <v>321.4479652975586</v>
      </c>
      <c r="BF36">
        <v>48300.030343946011</v>
      </c>
      <c r="BG36">
        <v>17.656283360136086</v>
      </c>
      <c r="BI36">
        <v>46913.712725249621</v>
      </c>
      <c r="BJ36">
        <v>390.87787098496989</v>
      </c>
      <c r="BL36">
        <v>47707.815918603417</v>
      </c>
      <c r="BM36">
        <v>345.58608959558353</v>
      </c>
      <c r="BO36">
        <v>47050.318918120392</v>
      </c>
      <c r="BP36">
        <v>387.24658789293562</v>
      </c>
      <c r="BR36">
        <v>47122.874193527852</v>
      </c>
      <c r="BS36">
        <v>384.53008751294317</v>
      </c>
      <c r="BU36">
        <v>46709.716562081558</v>
      </c>
      <c r="BV36">
        <v>392.3344455140292</v>
      </c>
      <c r="BX36">
        <v>48514.125785156524</v>
      </c>
      <c r="BY36">
        <v>1.2245628641706328E-2</v>
      </c>
    </row>
    <row r="37" spans="13:77" x14ac:dyDescent="0.35">
      <c r="M37">
        <v>27198.220972991021</v>
      </c>
      <c r="N37">
        <v>7410.5882566817218</v>
      </c>
      <c r="P37">
        <v>23773.948389944268</v>
      </c>
      <c r="Q37">
        <v>6717.472838293771</v>
      </c>
      <c r="S37">
        <v>32242.707527252664</v>
      </c>
      <c r="T37">
        <v>5842.6880294285729</v>
      </c>
      <c r="V37">
        <v>23369.601376657745</v>
      </c>
      <c r="W37">
        <v>6591.98185525791</v>
      </c>
      <c r="Y37">
        <v>22632.242909866138</v>
      </c>
      <c r="Z37">
        <v>6715.2130382491869</v>
      </c>
      <c r="AB37">
        <v>23230.932886480943</v>
      </c>
      <c r="AC37">
        <v>6613.9236442347683</v>
      </c>
      <c r="AE37">
        <v>23160.119882812767</v>
      </c>
      <c r="AF37">
        <v>6625.2600666115468</v>
      </c>
      <c r="AH37">
        <v>23592.899969780712</v>
      </c>
      <c r="AI37">
        <v>6557.1426278622657</v>
      </c>
      <c r="AK37">
        <v>43844.178119573553</v>
      </c>
      <c r="AL37">
        <v>16.140986006013534</v>
      </c>
      <c r="AZ37">
        <v>48362.003503118816</v>
      </c>
      <c r="BA37">
        <v>46.36440491570761</v>
      </c>
      <c r="BC37">
        <v>47306.074638841455</v>
      </c>
      <c r="BD37">
        <v>284.81344548208267</v>
      </c>
      <c r="BF37">
        <v>48493.022258752579</v>
      </c>
      <c r="BG37">
        <v>15.713936151023164</v>
      </c>
      <c r="BI37">
        <v>47210.399947711798</v>
      </c>
      <c r="BJ37">
        <v>346.21071678058712</v>
      </c>
      <c r="BL37">
        <v>47918.972426104752</v>
      </c>
      <c r="BM37">
        <v>306.92309411694606</v>
      </c>
      <c r="BO37">
        <v>47331.650478748379</v>
      </c>
      <c r="BP37">
        <v>343.15350872193477</v>
      </c>
      <c r="BR37">
        <v>47396.169888170414</v>
      </c>
      <c r="BS37">
        <v>340.83034015878832</v>
      </c>
      <c r="BU37">
        <v>47029.932522326133</v>
      </c>
      <c r="BV37">
        <v>347.26063890300924</v>
      </c>
      <c r="BX37">
        <v>48685.197103140701</v>
      </c>
      <c r="BY37">
        <v>1.090646927421394E-2</v>
      </c>
    </row>
    <row r="38" spans="13:77" x14ac:dyDescent="0.35">
      <c r="M38">
        <v>26443.077925741971</v>
      </c>
      <c r="N38">
        <v>7834.5200947244666</v>
      </c>
      <c r="P38">
        <v>23730.838326806712</v>
      </c>
      <c r="Q38">
        <v>6854.8725092165714</v>
      </c>
      <c r="S38">
        <v>31239.115699470294</v>
      </c>
      <c r="T38">
        <v>6538.3636591856493</v>
      </c>
      <c r="V38">
        <v>23417.465598143815</v>
      </c>
      <c r="W38">
        <v>6699.0518788261934</v>
      </c>
      <c r="Y38">
        <v>22756.870634674153</v>
      </c>
      <c r="Z38">
        <v>6769.4518264710478</v>
      </c>
      <c r="AB38">
        <v>23293.416028325188</v>
      </c>
      <c r="AC38">
        <v>6711.1672421547128</v>
      </c>
      <c r="AE38">
        <v>23230.056638736052</v>
      </c>
      <c r="AF38">
        <v>6717.4669977668773</v>
      </c>
      <c r="AH38">
        <v>23617.212816782408</v>
      </c>
      <c r="AI38">
        <v>6679.9356023218106</v>
      </c>
      <c r="AK38">
        <v>44246.905976484399</v>
      </c>
      <c r="AL38">
        <v>20.813841294696314</v>
      </c>
      <c r="AZ38">
        <v>48543.411148899548</v>
      </c>
      <c r="BA38">
        <v>41.272237920363516</v>
      </c>
      <c r="BC38">
        <v>47573.129669011258</v>
      </c>
      <c r="BD38">
        <v>252.60977772541295</v>
      </c>
      <c r="BF38">
        <v>48664.084899462752</v>
      </c>
      <c r="BG38">
        <v>13.994424272258952</v>
      </c>
      <c r="BI38">
        <v>47479.291804442728</v>
      </c>
      <c r="BJ38">
        <v>306.9600692678892</v>
      </c>
      <c r="BL38">
        <v>48111.504476925147</v>
      </c>
      <c r="BM38">
        <v>272.78366421214139</v>
      </c>
      <c r="BO38">
        <v>47586.908192611278</v>
      </c>
      <c r="BP38">
        <v>304.37473156179686</v>
      </c>
      <c r="BR38">
        <v>47644.279136970392</v>
      </c>
      <c r="BS38">
        <v>302.38038426214439</v>
      </c>
      <c r="BU38">
        <v>47319.647834292024</v>
      </c>
      <c r="BV38">
        <v>307.70268115118171</v>
      </c>
      <c r="BX38">
        <v>48836.572661586019</v>
      </c>
      <c r="BY38">
        <v>9.7193926114313017E-3</v>
      </c>
    </row>
    <row r="39" spans="13:77" x14ac:dyDescent="0.35">
      <c r="M39">
        <v>25686.503372875228</v>
      </c>
      <c r="N39">
        <v>8210.6123537571311</v>
      </c>
      <c r="P39">
        <v>23658.911477097368</v>
      </c>
      <c r="Q39">
        <v>6990.4082574884151</v>
      </c>
      <c r="S39">
        <v>30137.88183084179</v>
      </c>
      <c r="T39">
        <v>7228.3386822497023</v>
      </c>
      <c r="V39">
        <v>23431.322633948912</v>
      </c>
      <c r="W39">
        <v>6810.2600325087724</v>
      </c>
      <c r="Y39">
        <v>22850.01468744755</v>
      </c>
      <c r="Z39">
        <v>6832.6924097465653</v>
      </c>
      <c r="AB39">
        <v>23322.385350751534</v>
      </c>
      <c r="AC39">
        <v>6813.4109244843257</v>
      </c>
      <c r="AE39">
        <v>23266.725155219188</v>
      </c>
      <c r="AF39">
        <v>6815.1248895274466</v>
      </c>
      <c r="AH39">
        <v>23606.681870307519</v>
      </c>
      <c r="AI39">
        <v>6805.540345791901</v>
      </c>
      <c r="AK39">
        <v>44619.950428781434</v>
      </c>
      <c r="AL39">
        <v>26.959598646874809</v>
      </c>
      <c r="AZ39">
        <v>48704.696770396491</v>
      </c>
      <c r="BA39">
        <v>36.761991787992685</v>
      </c>
      <c r="BC39">
        <v>47814.089471883854</v>
      </c>
      <c r="BD39">
        <v>224.25222596131275</v>
      </c>
      <c r="BF39">
        <v>48815.711761043298</v>
      </c>
      <c r="BG39">
        <v>12.470306730714523</v>
      </c>
      <c r="BI39">
        <v>47722.880490870346</v>
      </c>
      <c r="BJ39">
        <v>272.41042052997886</v>
      </c>
      <c r="BL39">
        <v>48286.930462237047</v>
      </c>
      <c r="BM39">
        <v>242.60217955972703</v>
      </c>
      <c r="BO39">
        <v>47818.392327462869</v>
      </c>
      <c r="BP39">
        <v>270.21477755331864</v>
      </c>
      <c r="BR39">
        <v>47869.404857691399</v>
      </c>
      <c r="BS39">
        <v>268.49659257005339</v>
      </c>
      <c r="BU39">
        <v>47581.664254870797</v>
      </c>
      <c r="BV39">
        <v>272.9217308848331</v>
      </c>
      <c r="BX39">
        <v>48970.520071557796</v>
      </c>
      <c r="BY39">
        <v>8.6659648761473109E-3</v>
      </c>
    </row>
    <row r="40" spans="13:77" x14ac:dyDescent="0.35">
      <c r="M40">
        <v>24949.203915534767</v>
      </c>
      <c r="N40">
        <v>8530.7633841830611</v>
      </c>
      <c r="P40">
        <v>23563.15413239635</v>
      </c>
      <c r="Q40">
        <v>7121.6970394009613</v>
      </c>
      <c r="S40">
        <v>28974.716487365324</v>
      </c>
      <c r="T40">
        <v>7887.1289115067102</v>
      </c>
      <c r="V40">
        <v>23415.067116333208</v>
      </c>
      <c r="W40">
        <v>6923.1915269092369</v>
      </c>
      <c r="Y40">
        <v>22913.946736449387</v>
      </c>
      <c r="Z40">
        <v>6902.7592806714147</v>
      </c>
      <c r="AB40">
        <v>23321.420096414909</v>
      </c>
      <c r="AC40">
        <v>6918.3049098653355</v>
      </c>
      <c r="AE40">
        <v>23273.545446726399</v>
      </c>
      <c r="AF40">
        <v>6915.9134656202923</v>
      </c>
      <c r="AH40">
        <v>23565.719419682857</v>
      </c>
      <c r="AI40">
        <v>6931.4171507627334</v>
      </c>
      <c r="AK40">
        <v>44964.407910378686</v>
      </c>
      <c r="AL40">
        <v>35.064520031112963</v>
      </c>
      <c r="AZ40">
        <v>48848.094749087286</v>
      </c>
      <c r="BA40">
        <v>32.762576235121109</v>
      </c>
      <c r="BC40">
        <v>48031.445418447256</v>
      </c>
      <c r="BD40">
        <v>199.24226435814418</v>
      </c>
      <c r="BF40">
        <v>48950.112700809397</v>
      </c>
      <c r="BG40">
        <v>11.117896994960853</v>
      </c>
      <c r="BI40">
        <v>47943.453207287144</v>
      </c>
      <c r="BJ40">
        <v>241.95145729299958</v>
      </c>
      <c r="BL40">
        <v>48446.665203896358</v>
      </c>
      <c r="BM40">
        <v>215.89021139494446</v>
      </c>
      <c r="BO40">
        <v>48028.219338036361</v>
      </c>
      <c r="BP40">
        <v>240.07914733729643</v>
      </c>
      <c r="BR40">
        <v>48073.576699735044</v>
      </c>
      <c r="BS40">
        <v>238.59393560264655</v>
      </c>
      <c r="BU40">
        <v>47818.543373081833</v>
      </c>
      <c r="BV40">
        <v>242.28960296308247</v>
      </c>
      <c r="BX40">
        <v>49089.045869530652</v>
      </c>
      <c r="BY40">
        <v>7.7302211475305718E-3</v>
      </c>
    </row>
    <row r="41" spans="13:77" x14ac:dyDescent="0.35">
      <c r="M41">
        <v>24249.008096646765</v>
      </c>
      <c r="N41">
        <v>8790.0661452542408</v>
      </c>
      <c r="P41">
        <v>23448.519675728352</v>
      </c>
      <c r="Q41">
        <v>7246.6167608032783</v>
      </c>
      <c r="S41">
        <v>27788.643457017701</v>
      </c>
      <c r="T41">
        <v>8489.7927184108339</v>
      </c>
      <c r="V41">
        <v>23372.753078649956</v>
      </c>
      <c r="W41">
        <v>7035.5900700832553</v>
      </c>
      <c r="Y41">
        <v>22951.188335219151</v>
      </c>
      <c r="Z41">
        <v>6977.5978581275103</v>
      </c>
      <c r="AB41">
        <v>23294.274177586365</v>
      </c>
      <c r="AC41">
        <v>7023.6485644176291</v>
      </c>
      <c r="AE41">
        <v>23254.120373579906</v>
      </c>
      <c r="AF41">
        <v>7017.6571952089525</v>
      </c>
      <c r="AH41">
        <v>23498.874902449308</v>
      </c>
      <c r="AI41">
        <v>7055.2016869420677</v>
      </c>
      <c r="AK41">
        <v>45281.00315288276</v>
      </c>
      <c r="AL41">
        <v>45.779871783746337</v>
      </c>
      <c r="AZ41">
        <v>48975.591286166069</v>
      </c>
      <c r="BA41">
        <v>29.212495378595555</v>
      </c>
      <c r="BC41">
        <v>48227.46064724146</v>
      </c>
      <c r="BD41">
        <v>177.15326248478573</v>
      </c>
      <c r="BF41">
        <v>49069.246201003749</v>
      </c>
      <c r="BG41">
        <v>9.9166774212040405</v>
      </c>
      <c r="BI41">
        <v>48143.105732089614</v>
      </c>
      <c r="BJ41">
        <v>215.06073467376652</v>
      </c>
      <c r="BL41">
        <v>48592.023347564354</v>
      </c>
      <c r="BM41">
        <v>192.22488876786718</v>
      </c>
      <c r="BO41">
        <v>48218.33313966632</v>
      </c>
      <c r="BP41">
        <v>213.45793110347228</v>
      </c>
      <c r="BR41">
        <v>48258.661200802475</v>
      </c>
      <c r="BS41">
        <v>212.17010375039416</v>
      </c>
      <c r="BU41">
        <v>48032.62414340963</v>
      </c>
      <c r="BV41">
        <v>215.2701453800592</v>
      </c>
      <c r="BX41">
        <v>49193.9255754322</v>
      </c>
      <c r="BY41">
        <v>6.8982892976846774E-3</v>
      </c>
    </row>
    <row r="42" spans="13:77" x14ac:dyDescent="0.35">
      <c r="M42">
        <v>23600.134177425574</v>
      </c>
      <c r="N42">
        <v>8986.9326357876216</v>
      </c>
      <c r="P42">
        <v>23319.818065395619</v>
      </c>
      <c r="Q42">
        <v>7363.3508396601437</v>
      </c>
      <c r="S42">
        <v>26618.506880279718</v>
      </c>
      <c r="T42">
        <v>9014.8041489484604</v>
      </c>
      <c r="V42">
        <v>23308.508225906113</v>
      </c>
      <c r="W42">
        <v>7145.3910772010786</v>
      </c>
      <c r="Y42">
        <v>22964.454336658811</v>
      </c>
      <c r="Z42">
        <v>7055.283916475546</v>
      </c>
      <c r="AB42">
        <v>23244.797446313514</v>
      </c>
      <c r="AC42">
        <v>7127.4183704620682</v>
      </c>
      <c r="AE42">
        <v>23212.160203711683</v>
      </c>
      <c r="AF42">
        <v>7118.3507370185971</v>
      </c>
      <c r="AH42">
        <v>23410.736313804049</v>
      </c>
      <c r="AI42">
        <v>7174.7475518637484</v>
      </c>
      <c r="AK42">
        <v>45570.012268921128</v>
      </c>
      <c r="AL42">
        <v>59.978406639755065</v>
      </c>
      <c r="AZ42">
        <v>49088.951940016639</v>
      </c>
      <c r="BA42">
        <v>26.058379637242254</v>
      </c>
      <c r="BC42">
        <v>48404.189295307588</v>
      </c>
      <c r="BD42">
        <v>157.61882092361924</v>
      </c>
      <c r="BF42">
        <v>49174.84796418374</v>
      </c>
      <c r="BG42">
        <v>8.8488179807124343</v>
      </c>
      <c r="BI42">
        <v>48323.755746025396</v>
      </c>
      <c r="BJ42">
        <v>191.28951521125148</v>
      </c>
      <c r="BL42">
        <v>48724.223458705659</v>
      </c>
      <c r="BM42">
        <v>171.23919535945396</v>
      </c>
      <c r="BO42">
        <v>48390.516377150438</v>
      </c>
      <c r="BP42">
        <v>189.91236639018706</v>
      </c>
      <c r="BR42">
        <v>48426.37205302919</v>
      </c>
      <c r="BS42">
        <v>188.79246104613628</v>
      </c>
      <c r="BU42">
        <v>48226.039727067211</v>
      </c>
      <c r="BV42">
        <v>191.40409709390349</v>
      </c>
      <c r="BX42">
        <v>49286.730290044594</v>
      </c>
      <c r="BY42">
        <v>6.1580794847013003E-3</v>
      </c>
    </row>
    <row r="43" spans="13:77" x14ac:dyDescent="0.35">
      <c r="M43">
        <v>23012.878437477226</v>
      </c>
      <c r="N43">
        <v>9122.8506933415174</v>
      </c>
      <c r="P43">
        <v>23181.61279463716</v>
      </c>
      <c r="Q43">
        <v>7470.4226221730796</v>
      </c>
      <c r="S43">
        <v>25499.557965497348</v>
      </c>
      <c r="T43">
        <v>9446.4134610013625</v>
      </c>
      <c r="V43">
        <v>23226.445748469094</v>
      </c>
      <c r="W43">
        <v>7250.7548737772886</v>
      </c>
      <c r="Y43">
        <v>22956.593153770591</v>
      </c>
      <c r="Z43">
        <v>7134.0372300865647</v>
      </c>
      <c r="AB43">
        <v>23176.854184041917</v>
      </c>
      <c r="AC43">
        <v>7227.7969399272451</v>
      </c>
      <c r="AE43">
        <v>23151.40426100104</v>
      </c>
      <c r="AF43">
        <v>7216.1859182446879</v>
      </c>
      <c r="AH43">
        <v>23305.82984576172</v>
      </c>
      <c r="AI43">
        <v>7288.1668645972568</v>
      </c>
      <c r="AK43">
        <v>45831.15652921718</v>
      </c>
      <c r="AL43">
        <v>78.829816968027416</v>
      </c>
      <c r="AZ43">
        <v>49189.746117957446</v>
      </c>
      <c r="BA43">
        <v>23.253773448960512</v>
      </c>
      <c r="BC43">
        <v>48563.494418411465</v>
      </c>
      <c r="BD43">
        <v>140.32322031875168</v>
      </c>
      <c r="BF43">
        <v>49268.456257614263</v>
      </c>
      <c r="BG43">
        <v>7.8987784928715232</v>
      </c>
      <c r="BI43">
        <v>48487.155752253995</v>
      </c>
      <c r="BJ43">
        <v>170.25114319480141</v>
      </c>
      <c r="BL43">
        <v>48844.39258875994</v>
      </c>
      <c r="BM43">
        <v>152.61384912214456</v>
      </c>
      <c r="BO43">
        <v>48546.401507996088</v>
      </c>
      <c r="BP43">
        <v>169.06376631506825</v>
      </c>
      <c r="BR43">
        <v>48578.280286510839</v>
      </c>
      <c r="BS43">
        <v>168.08728083136526</v>
      </c>
      <c r="BU43">
        <v>48400.733536522253</v>
      </c>
      <c r="BV43">
        <v>170.29671753577153</v>
      </c>
      <c r="BX43">
        <v>49368.850230194214</v>
      </c>
      <c r="BY43">
        <v>5.499026356534353E-3</v>
      </c>
    </row>
    <row r="44" spans="13:77" x14ac:dyDescent="0.35">
      <c r="M44">
        <v>22493.686571215985</v>
      </c>
      <c r="N44">
        <v>9201.8648774038174</v>
      </c>
      <c r="P44">
        <v>23038.130765772421</v>
      </c>
      <c r="Q44">
        <v>7566.7165072069402</v>
      </c>
      <c r="S44">
        <v>24460.783316529545</v>
      </c>
      <c r="T44">
        <v>9776.0023872924303</v>
      </c>
      <c r="V44">
        <v>23130.57780491887</v>
      </c>
      <c r="W44">
        <v>7350.0962670570934</v>
      </c>
      <c r="Y44">
        <v>22930.525346496535</v>
      </c>
      <c r="Z44">
        <v>7212.2373215697999</v>
      </c>
      <c r="AB44">
        <v>23094.242341692741</v>
      </c>
      <c r="AC44">
        <v>7323.1997744669634</v>
      </c>
      <c r="AE44">
        <v>23075.542907153016</v>
      </c>
      <c r="AF44">
        <v>7309.5771079183996</v>
      </c>
      <c r="AH44">
        <v>23188.522960467722</v>
      </c>
      <c r="AI44">
        <v>7393.86468796803</v>
      </c>
      <c r="AK44">
        <v>46063.457754034847</v>
      </c>
      <c r="AL44">
        <v>103.90103664455434</v>
      </c>
      <c r="AZ44">
        <v>49279.368856957393</v>
      </c>
      <c r="BA44">
        <v>20.758128909059636</v>
      </c>
      <c r="BC44">
        <v>48707.064627983069</v>
      </c>
      <c r="BD44">
        <v>124.99356387639405</v>
      </c>
      <c r="BF44">
        <v>49351.434375734891</v>
      </c>
      <c r="BG44">
        <v>7.0529780923602763</v>
      </c>
      <c r="BI44">
        <v>48634.905481729285</v>
      </c>
      <c r="BJ44">
        <v>151.61145867868362</v>
      </c>
      <c r="BL44">
        <v>48953.571128371608</v>
      </c>
      <c r="BM44">
        <v>136.07048383326838</v>
      </c>
      <c r="BO44">
        <v>48687.481566823939</v>
      </c>
      <c r="BP44">
        <v>150.58436202173311</v>
      </c>
      <c r="BR44">
        <v>48715.824226906727</v>
      </c>
      <c r="BS44">
        <v>149.73082782575048</v>
      </c>
      <c r="BU44">
        <v>48558.474416857316</v>
      </c>
      <c r="BV44">
        <v>151.60763354031252</v>
      </c>
      <c r="BX44">
        <v>49441.515554287704</v>
      </c>
      <c r="BY44">
        <v>4.9118738755152694E-3</v>
      </c>
    </row>
    <row r="45" spans="13:77" x14ac:dyDescent="0.35">
      <c r="M45">
        <v>22045.517399003507</v>
      </c>
      <c r="N45">
        <v>9229.9032773116578</v>
      </c>
      <c r="P45">
        <v>22893.189303620587</v>
      </c>
      <c r="Q45">
        <v>7651.4841221385323</v>
      </c>
      <c r="S45">
        <v>23523.378433124872</v>
      </c>
      <c r="T45">
        <v>10002.249414970469</v>
      </c>
      <c r="V45">
        <v>23024.734784456497</v>
      </c>
      <c r="W45">
        <v>7442.1074402910017</v>
      </c>
      <c r="Y45">
        <v>22889.182386842374</v>
      </c>
      <c r="Z45">
        <v>7288.4392462205924</v>
      </c>
      <c r="AB45">
        <v>23000.61715243258</v>
      </c>
      <c r="AC45">
        <v>7412.2969189590403</v>
      </c>
      <c r="AE45">
        <v>22988.143243074861</v>
      </c>
      <c r="AF45">
        <v>7397.1822270265102</v>
      </c>
      <c r="AH45">
        <v>23062.935873980947</v>
      </c>
      <c r="AI45">
        <v>7490.5639067830116</v>
      </c>
      <c r="AK45">
        <v>46265.04393051604</v>
      </c>
      <c r="AL45">
        <v>137.28862171819159</v>
      </c>
      <c r="AZ45">
        <v>49359.060191624252</v>
      </c>
      <c r="BA45">
        <v>18.535966066046356</v>
      </c>
      <c r="BC45">
        <v>48836.429486582318</v>
      </c>
      <c r="BD45">
        <v>111.39328324776905</v>
      </c>
      <c r="BF45">
        <v>49424.99054797156</v>
      </c>
      <c r="BG45">
        <v>6.2995191292766153</v>
      </c>
      <c r="BI45">
        <v>48768.463709102012</v>
      </c>
      <c r="BJ45">
        <v>135.08085957531006</v>
      </c>
      <c r="BL45">
        <v>49052.717804779379</v>
      </c>
      <c r="BM45">
        <v>121.36590496662784</v>
      </c>
      <c r="BO45">
        <v>48815.120515840863</v>
      </c>
      <c r="BP45">
        <v>134.18969733680544</v>
      </c>
      <c r="BR45">
        <v>48840.319122919929</v>
      </c>
      <c r="BS45">
        <v>133.44194025910267</v>
      </c>
      <c r="BU45">
        <v>48700.870927889846</v>
      </c>
      <c r="BV45">
        <v>135.04246849299892</v>
      </c>
      <c r="BX45">
        <v>49505.814790162061</v>
      </c>
      <c r="BY45">
        <v>4.3884947950223376E-3</v>
      </c>
    </row>
    <row r="46" spans="13:77" x14ac:dyDescent="0.35">
      <c r="M46">
        <v>21668.387282015952</v>
      </c>
      <c r="N46">
        <v>9214.0690104785099</v>
      </c>
      <c r="P46">
        <v>22750.142983124853</v>
      </c>
      <c r="Q46">
        <v>7724.3354267768418</v>
      </c>
      <c r="S46">
        <v>22700.427081245383</v>
      </c>
      <c r="T46">
        <v>10130.250302229955</v>
      </c>
      <c r="V46">
        <v>22912.494038931949</v>
      </c>
      <c r="W46">
        <v>7525.7719453148075</v>
      </c>
      <c r="Y46">
        <v>22835.447645015531</v>
      </c>
      <c r="Z46">
        <v>7361.3875236370395</v>
      </c>
      <c r="AB46">
        <v>22899.422476599673</v>
      </c>
      <c r="AC46">
        <v>7494.0273179356209</v>
      </c>
      <c r="AE46">
        <v>22892.581724866639</v>
      </c>
      <c r="AF46">
        <v>7477.917227536007</v>
      </c>
      <c r="AH46">
        <v>22932.865701705028</v>
      </c>
      <c r="AI46">
        <v>7577.3183102864732</v>
      </c>
      <c r="AK46">
        <v>46432.891312781023</v>
      </c>
      <c r="AL46">
        <v>181.79166636100484</v>
      </c>
      <c r="AZ46">
        <v>49429.922375282127</v>
      </c>
      <c r="BA46">
        <v>16.55616881397971</v>
      </c>
      <c r="BC46">
        <v>48952.973714002146</v>
      </c>
      <c r="BD46">
        <v>99.316747156576511</v>
      </c>
      <c r="BF46">
        <v>49490.195582086977</v>
      </c>
      <c r="BG46">
        <v>5.6279553775950664</v>
      </c>
      <c r="BI46">
        <v>48889.159432539287</v>
      </c>
      <c r="BJ46">
        <v>120.4077010733814</v>
      </c>
      <c r="BL46">
        <v>49142.71471301304</v>
      </c>
      <c r="BM46">
        <v>108.28723494116909</v>
      </c>
      <c r="BO46">
        <v>48930.563116597477</v>
      </c>
      <c r="BP46">
        <v>119.63228722338627</v>
      </c>
      <c r="BR46">
        <v>48952.966370607362</v>
      </c>
      <c r="BS46">
        <v>118.97583554341713</v>
      </c>
      <c r="BU46">
        <v>48829.384714676096</v>
      </c>
      <c r="BV46">
        <v>120.34591039045849</v>
      </c>
      <c r="BX46">
        <v>49562.711141298976</v>
      </c>
      <c r="BY46">
        <v>3.9217384622311545E-3</v>
      </c>
    </row>
    <row r="47" spans="13:77" x14ac:dyDescent="0.35">
      <c r="M47">
        <v>21359.990161762504</v>
      </c>
      <c r="N47">
        <v>9161.9891659431451</v>
      </c>
      <c r="P47">
        <v>22611.851284102682</v>
      </c>
      <c r="Q47">
        <v>7785.216006318009</v>
      </c>
      <c r="S47">
        <v>21997.56318404289</v>
      </c>
      <c r="T47">
        <v>10169.960882065692</v>
      </c>
      <c r="V47">
        <v>22797.12101802283</v>
      </c>
      <c r="W47">
        <v>7600.3685375487667</v>
      </c>
      <c r="Y47">
        <v>22772.101634326507</v>
      </c>
      <c r="Z47">
        <v>7430.0266330997538</v>
      </c>
      <c r="AB47">
        <v>22793.832666513274</v>
      </c>
      <c r="AC47">
        <v>7567.6044965674682</v>
      </c>
      <c r="AE47">
        <v>22791.986403566112</v>
      </c>
      <c r="AF47">
        <v>7550.9626109904611</v>
      </c>
      <c r="AH47">
        <v>22801.72641132936</v>
      </c>
      <c r="AI47">
        <v>7653.5128867642534</v>
      </c>
      <c r="AK47">
        <v>46562.487450688073</v>
      </c>
      <c r="AL47">
        <v>241.13429541842504</v>
      </c>
      <c r="AZ47">
        <v>49492.935190957563</v>
      </c>
      <c r="BA47">
        <v>14.791391683620233</v>
      </c>
      <c r="BC47">
        <v>49057.950263085084</v>
      </c>
      <c r="BD47">
        <v>88.584766010759097</v>
      </c>
      <c r="BF47">
        <v>49547.998500375717</v>
      </c>
      <c r="BG47">
        <v>5.0290965025993755</v>
      </c>
      <c r="BI47">
        <v>48998.202392884879</v>
      </c>
      <c r="BJ47">
        <v>107.3727847572604</v>
      </c>
      <c r="BL47">
        <v>49224.37229681154</v>
      </c>
      <c r="BM47">
        <v>96.647797019436723</v>
      </c>
      <c r="BO47">
        <v>49034.94428211503</v>
      </c>
      <c r="BP47">
        <v>106.69630933680369</v>
      </c>
      <c r="BR47">
        <v>49054.862286102973</v>
      </c>
      <c r="BS47">
        <v>106.11891785497862</v>
      </c>
      <c r="BU47">
        <v>48945.342972187267</v>
      </c>
      <c r="BV47">
        <v>107.2959467874947</v>
      </c>
      <c r="BX47">
        <v>49613.056915671536</v>
      </c>
      <c r="BY47">
        <v>3.5053018988138651E-3</v>
      </c>
    </row>
    <row r="48" spans="13:77" x14ac:dyDescent="0.35">
      <c r="M48">
        <v>21116.311129481124</v>
      </c>
      <c r="N48">
        <v>9081.2784602004504</v>
      </c>
      <c r="P48">
        <v>22480.666524254386</v>
      </c>
      <c r="Q48">
        <v>7834.3728958913152</v>
      </c>
      <c r="S48">
        <v>21414.248445140965</v>
      </c>
      <c r="T48">
        <v>10134.389893470441</v>
      </c>
      <c r="V48">
        <v>22681.524759487002</v>
      </c>
      <c r="W48">
        <v>7665.4645996110748</v>
      </c>
      <c r="Y48">
        <v>22701.773361300518</v>
      </c>
      <c r="Z48">
        <v>7493.5068969034555</v>
      </c>
      <c r="AB48">
        <v>22686.706942519188</v>
      </c>
      <c r="AC48">
        <v>7632.5130570199817</v>
      </c>
      <c r="AE48">
        <v>22689.190788872154</v>
      </c>
      <c r="AF48">
        <v>7615.7613628318313</v>
      </c>
      <c r="AH48">
        <v>22672.506407220382</v>
      </c>
      <c r="AI48">
        <v>7718.8515790069368</v>
      </c>
      <c r="AK48">
        <v>46647.399552731324</v>
      </c>
      <c r="AL48">
        <v>320.24569354534214</v>
      </c>
      <c r="AZ48">
        <v>49548.969563213381</v>
      </c>
      <c r="BA48">
        <v>13.217557795564209</v>
      </c>
      <c r="BC48">
        <v>49152.492328611297</v>
      </c>
      <c r="BD48">
        <v>79.040827743459829</v>
      </c>
      <c r="BF48">
        <v>49599.240396836649</v>
      </c>
      <c r="BG48">
        <v>4.4948423551668366</v>
      </c>
      <c r="BI48">
        <v>49096.692924565104</v>
      </c>
      <c r="BJ48">
        <v>95.784739302939755</v>
      </c>
      <c r="BL48">
        <v>49298.434216307287</v>
      </c>
      <c r="BM48">
        <v>86.283614646461899</v>
      </c>
      <c r="BO48">
        <v>49129.297887083208</v>
      </c>
      <c r="BP48">
        <v>95.193143438387395</v>
      </c>
      <c r="BR48">
        <v>49147.006397643112</v>
      </c>
      <c r="BS48">
        <v>94.684409318592643</v>
      </c>
      <c r="BU48">
        <v>49049.950023567144</v>
      </c>
      <c r="BV48">
        <v>95.69905014056323</v>
      </c>
      <c r="BX48">
        <v>49657.606293368372</v>
      </c>
      <c r="BY48">
        <v>3.1336201107406265E-3</v>
      </c>
    </row>
    <row r="49" spans="13:77" x14ac:dyDescent="0.35">
      <c r="M49">
        <v>20932.179868433577</v>
      </c>
      <c r="N49">
        <v>8979.1410501346327</v>
      </c>
      <c r="P49">
        <v>22358.440226008941</v>
      </c>
      <c r="Q49">
        <v>7872.3119687588869</v>
      </c>
      <c r="S49">
        <v>20945.296160122318</v>
      </c>
      <c r="T49">
        <v>10037.897370810266</v>
      </c>
      <c r="V49">
        <v>22568.228611514554</v>
      </c>
      <c r="W49">
        <v>7720.899820862699</v>
      </c>
      <c r="Y49">
        <v>22626.899280188598</v>
      </c>
      <c r="Z49">
        <v>7551.1850458958415</v>
      </c>
      <c r="AB49">
        <v>22580.557357877577</v>
      </c>
      <c r="AC49">
        <v>7688.4963099908255</v>
      </c>
      <c r="AE49">
        <v>22586.700501011375</v>
      </c>
      <c r="AF49">
        <v>7672.0084618822857</v>
      </c>
      <c r="AH49">
        <v>22547.744209198841</v>
      </c>
      <c r="AI49">
        <v>7773.3338264227341</v>
      </c>
      <c r="AK49">
        <v>46678.736650723324</v>
      </c>
      <c r="AL49">
        <v>425.6009938916348</v>
      </c>
      <c r="AZ49">
        <v>49598.79965867463</v>
      </c>
      <c r="BA49">
        <v>11.813432125255524</v>
      </c>
      <c r="BC49">
        <v>49237.6243547759</v>
      </c>
      <c r="BD49">
        <v>70.547933025796198</v>
      </c>
      <c r="BF49">
        <v>49644.666717578148</v>
      </c>
      <c r="BG49">
        <v>4.0180419272739591</v>
      </c>
      <c r="BI49">
        <v>49185.631143531005</v>
      </c>
      <c r="BJ49">
        <v>85.47613359604955</v>
      </c>
      <c r="BL49">
        <v>49365.582056456733</v>
      </c>
      <c r="BM49">
        <v>77.050425212334929</v>
      </c>
      <c r="BO49">
        <v>49214.565028182129</v>
      </c>
      <c r="BP49">
        <v>84.957609349538259</v>
      </c>
      <c r="BR49">
        <v>49230.309242763171</v>
      </c>
      <c r="BS49">
        <v>84.50866080432624</v>
      </c>
      <c r="BU49">
        <v>49144.298041314207</v>
      </c>
      <c r="BV49">
        <v>85.386140520634086</v>
      </c>
      <c r="BX49">
        <v>49697.026624255108</v>
      </c>
      <c r="BY49">
        <v>2.8017723634925313E-3</v>
      </c>
    </row>
    <row r="50" spans="13:77" x14ac:dyDescent="0.35">
      <c r="M50">
        <v>20801.736395166768</v>
      </c>
      <c r="N50">
        <v>8862.1081783408608</v>
      </c>
      <c r="P50">
        <v>22246.545143543215</v>
      </c>
      <c r="Q50">
        <v>7899.7501985846648</v>
      </c>
      <c r="S50">
        <v>20582.35779580161</v>
      </c>
      <c r="T50">
        <v>9894.8177677359818</v>
      </c>
      <c r="V50">
        <v>22459.356024918743</v>
      </c>
      <c r="W50">
        <v>7766.7615465090812</v>
      </c>
      <c r="Y50">
        <v>22549.690894276973</v>
      </c>
      <c r="Z50">
        <v>7602.6192469355583</v>
      </c>
      <c r="AB50">
        <v>22477.530510007247</v>
      </c>
      <c r="AC50">
        <v>7735.536064751801</v>
      </c>
      <c r="AE50">
        <v>22486.673014014814</v>
      </c>
      <c r="AF50">
        <v>7719.6328047155794</v>
      </c>
      <c r="AH50">
        <v>22429.521448363885</v>
      </c>
      <c r="AI50">
        <v>7817.2220262868641</v>
      </c>
      <c r="AK50">
        <v>46644.506312641272</v>
      </c>
      <c r="AL50">
        <v>565.61490657219053</v>
      </c>
      <c r="AZ50">
        <v>49643.113642487835</v>
      </c>
      <c r="BA50">
        <v>10.560257289261026</v>
      </c>
      <c r="BC50">
        <v>49314.272107286153</v>
      </c>
      <c r="BD50">
        <v>62.985923872232071</v>
      </c>
      <c r="BF50">
        <v>49684.938143759486</v>
      </c>
      <c r="BG50">
        <v>3.5923727996441936</v>
      </c>
      <c r="BI50">
        <v>49265.925487112065</v>
      </c>
      <c r="BJ50">
        <v>76.300193920190878</v>
      </c>
      <c r="BL50">
        <v>49426.439843707136</v>
      </c>
      <c r="BM50">
        <v>68.821125168324727</v>
      </c>
      <c r="BO50">
        <v>49291.601737487559</v>
      </c>
      <c r="BP50">
        <v>75.844782633965281</v>
      </c>
      <c r="BR50">
        <v>49305.599668016737</v>
      </c>
      <c r="BS50">
        <v>75.448025632299476</v>
      </c>
      <c r="BU50">
        <v>49229.376947704135</v>
      </c>
      <c r="BV50">
        <v>76.209186829293444</v>
      </c>
      <c r="BX50">
        <v>49731.908424912894</v>
      </c>
      <c r="BY50">
        <v>2.505401778803562E-3</v>
      </c>
    </row>
    <row r="51" spans="13:77" x14ac:dyDescent="0.35">
      <c r="M51">
        <v>20718.80137410665</v>
      </c>
      <c r="N51">
        <v>8735.8934573244642</v>
      </c>
      <c r="P51">
        <v>22145.909644575913</v>
      </c>
      <c r="Q51">
        <v>7917.5660153968038</v>
      </c>
      <c r="S51">
        <v>20315.203259954887</v>
      </c>
      <c r="T51">
        <v>9718.4907010764691</v>
      </c>
      <c r="V51">
        <v>22356.630355346999</v>
      </c>
      <c r="W51">
        <v>7803.3537217163857</v>
      </c>
      <c r="Y51">
        <v>22472.111534988002</v>
      </c>
      <c r="Z51">
        <v>7647.5588257939999</v>
      </c>
      <c r="AB51">
        <v>22379.402326417443</v>
      </c>
      <c r="AC51">
        <v>7773.826118883876</v>
      </c>
      <c r="AE51">
        <v>22390.91000043229</v>
      </c>
      <c r="AF51">
        <v>7758.7729021759678</v>
      </c>
      <c r="AH51">
        <v>22319.471401741481</v>
      </c>
      <c r="AI51">
        <v>7851.0025282330253</v>
      </c>
      <c r="AK51">
        <v>46528.893848039792</v>
      </c>
      <c r="AL51">
        <v>751.05656689060174</v>
      </c>
      <c r="AZ51">
        <v>49682.523239579779</v>
      </c>
      <c r="BA51">
        <v>9.4414414816438033</v>
      </c>
      <c r="BC51">
        <v>49383.271875368511</v>
      </c>
      <c r="BD51">
        <v>56.249220102308492</v>
      </c>
      <c r="BF51">
        <v>49720.640236015897</v>
      </c>
      <c r="BG51">
        <v>3.2122377002522358</v>
      </c>
      <c r="BI51">
        <v>49338.400627598647</v>
      </c>
      <c r="BJ51">
        <v>68.128021305506891</v>
      </c>
      <c r="BL51">
        <v>49481.578349108466</v>
      </c>
      <c r="BM51">
        <v>61.48357797907105</v>
      </c>
      <c r="BO51">
        <v>49361.186160055091</v>
      </c>
      <c r="BP51">
        <v>67.727289896748928</v>
      </c>
      <c r="BR51">
        <v>49373.631637234175</v>
      </c>
      <c r="BS51">
        <v>67.376201252043387</v>
      </c>
      <c r="BU51">
        <v>49306.083535388949</v>
      </c>
      <c r="BV51">
        <v>68.038334613384677</v>
      </c>
      <c r="BX51">
        <v>49762.774224608889</v>
      </c>
      <c r="BY51">
        <v>2.2406461005842334E-3</v>
      </c>
    </row>
    <row r="52" spans="13:77" x14ac:dyDescent="0.35">
      <c r="M52">
        <v>20677.156112289864</v>
      </c>
      <c r="N52">
        <v>8605.3404835241781</v>
      </c>
      <c r="P52">
        <v>22057.060980194259</v>
      </c>
      <c r="Q52">
        <v>7926.7505987542845</v>
      </c>
      <c r="S52">
        <v>20132.72619406326</v>
      </c>
      <c r="T52">
        <v>9520.6824704648898</v>
      </c>
      <c r="V52">
        <v>22261.386930651694</v>
      </c>
      <c r="W52">
        <v>7831.161613177781</v>
      </c>
      <c r="Y52">
        <v>22395.862338845724</v>
      </c>
      <c r="Z52">
        <v>7685.929301280582</v>
      </c>
      <c r="AB52">
        <v>22287.584586396555</v>
      </c>
      <c r="AC52">
        <v>7803.7412925932413</v>
      </c>
      <c r="AE52">
        <v>22300.861132364334</v>
      </c>
      <c r="AF52">
        <v>7789.7480283194463</v>
      </c>
      <c r="AH52">
        <v>22218.800592066666</v>
      </c>
      <c r="AI52">
        <v>7875.3429311348273</v>
      </c>
      <c r="AK52">
        <v>46311.543880156678</v>
      </c>
      <c r="AL52">
        <v>995.41147574531817</v>
      </c>
      <c r="AZ52">
        <v>49717.572233199266</v>
      </c>
      <c r="BA52">
        <v>8.4422901111992612</v>
      </c>
      <c r="BC52">
        <v>49445.378867304469</v>
      </c>
      <c r="BD52">
        <v>50.244894338508551</v>
      </c>
      <c r="BF52">
        <v>49752.291981262359</v>
      </c>
      <c r="BG52">
        <v>2.8726754180069163</v>
      </c>
      <c r="BI52">
        <v>49403.804786212306</v>
      </c>
      <c r="BJ52">
        <v>60.846224594790989</v>
      </c>
      <c r="BL52">
        <v>49531.519164526588</v>
      </c>
      <c r="BM52">
        <v>54.938728226271415</v>
      </c>
      <c r="BO52">
        <v>49424.025212703331</v>
      </c>
      <c r="BP52">
        <v>60.493003732053396</v>
      </c>
      <c r="BR52">
        <v>49435.090560747063</v>
      </c>
      <c r="BS52">
        <v>60.181961395042777</v>
      </c>
      <c r="BU52">
        <v>49375.229851881071</v>
      </c>
      <c r="BV52">
        <v>60.759469938823884</v>
      </c>
      <c r="BX52">
        <v>49790.086392812031</v>
      </c>
      <c r="BY52">
        <v>2.0040778692572742E-3</v>
      </c>
    </row>
    <row r="53" spans="13:77" x14ac:dyDescent="0.35">
      <c r="M53">
        <v>20670.74416230321</v>
      </c>
      <c r="N53">
        <v>8474.4366478663633</v>
      </c>
      <c r="P53">
        <v>21980.174118011302</v>
      </c>
      <c r="Q53">
        <v>7928.3623931279899</v>
      </c>
      <c r="S53">
        <v>20023.674394735677</v>
      </c>
      <c r="T53">
        <v>9311.3269564373531</v>
      </c>
      <c r="V53">
        <v>22174.595197561834</v>
      </c>
      <c r="W53">
        <v>7850.814508450323</v>
      </c>
      <c r="Y53">
        <v>22322.376979835717</v>
      </c>
      <c r="Z53">
        <v>7717.8136294028063</v>
      </c>
      <c r="AB53">
        <v>22203.141373227398</v>
      </c>
      <c r="AC53">
        <v>7825.8039448207437</v>
      </c>
      <c r="AE53">
        <v>22217.637718603819</v>
      </c>
      <c r="AF53">
        <v>7813.0266276883194</v>
      </c>
      <c r="AH53">
        <v>22128.320602858708</v>
      </c>
      <c r="AI53">
        <v>7891.0483223804213</v>
      </c>
      <c r="AK53">
        <v>45967.012778760261</v>
      </c>
      <c r="AL53">
        <v>1315.046445082234</v>
      </c>
      <c r="AZ53">
        <v>49748.744018623751</v>
      </c>
      <c r="BA53">
        <v>7.5497742238013883</v>
      </c>
      <c r="BC53">
        <v>49501.274860773679</v>
      </c>
      <c r="BD53">
        <v>44.891029134737806</v>
      </c>
      <c r="BF53">
        <v>49780.353366763236</v>
      </c>
      <c r="BG53">
        <v>2.56928381497791</v>
      </c>
      <c r="BI53">
        <v>49462.816477309127</v>
      </c>
      <c r="BJ53">
        <v>54.354900347173313</v>
      </c>
      <c r="BL53">
        <v>49576.738545216926</v>
      </c>
      <c r="BM53">
        <v>49.098974827140658</v>
      </c>
      <c r="BO53">
        <v>49480.760745182575</v>
      </c>
      <c r="BP53">
        <v>54.043071903078904</v>
      </c>
      <c r="BR53">
        <v>49490.599162616672</v>
      </c>
      <c r="BS53">
        <v>53.767215205112493</v>
      </c>
      <c r="BU53">
        <v>49437.550892967694</v>
      </c>
      <c r="BV53">
        <v>54.27214578160509</v>
      </c>
      <c r="BX53">
        <v>49814.254065510795</v>
      </c>
      <c r="BY53">
        <v>1.7926525570845623E-3</v>
      </c>
    </row>
    <row r="54" spans="13:77" x14ac:dyDescent="0.35">
      <c r="M54">
        <v>20693.808940407511</v>
      </c>
      <c r="N54">
        <v>8346.3699065468754</v>
      </c>
      <c r="P54">
        <v>21915.123172820386</v>
      </c>
      <c r="Q54">
        <v>7923.4864912274834</v>
      </c>
      <c r="S54">
        <v>19977.142545495844</v>
      </c>
      <c r="T54">
        <v>9098.4968759120438</v>
      </c>
      <c r="V54">
        <v>22096.888560745152</v>
      </c>
      <c r="W54">
        <v>7863.0484149713766</v>
      </c>
      <c r="Y54">
        <v>22252.824335986519</v>
      </c>
      <c r="Z54">
        <v>7743.4307272008091</v>
      </c>
      <c r="AB54">
        <v>22126.813394230598</v>
      </c>
      <c r="AC54">
        <v>7840.6498175479637</v>
      </c>
      <c r="AE54">
        <v>22142.034275746071</v>
      </c>
      <c r="AF54">
        <v>7829.1937366714601</v>
      </c>
      <c r="AH54">
        <v>22048.487173551221</v>
      </c>
      <c r="AI54">
        <v>7899.0187569317532</v>
      </c>
      <c r="AK54">
        <v>45464.694770026785</v>
      </c>
      <c r="AL54">
        <v>1728.9319344935966</v>
      </c>
      <c r="AZ54">
        <v>49776.468316902465</v>
      </c>
      <c r="BA54">
        <v>6.7523300229994003</v>
      </c>
      <c r="BC54">
        <v>49551.575166481634</v>
      </c>
      <c r="BD54">
        <v>40.115310155684902</v>
      </c>
      <c r="BF54">
        <v>49805.232092160826</v>
      </c>
      <c r="BG54">
        <v>2.2981530803848407</v>
      </c>
      <c r="BI54">
        <v>49516.050714553799</v>
      </c>
      <c r="BJ54">
        <v>48.565903185679652</v>
      </c>
      <c r="BL54">
        <v>49617.671017125715</v>
      </c>
      <c r="BM54">
        <v>43.886764218883229</v>
      </c>
      <c r="BO54">
        <v>49531.975227696275</v>
      </c>
      <c r="BP54">
        <v>48.290227049600183</v>
      </c>
      <c r="BR54">
        <v>49540.722906092495</v>
      </c>
      <c r="BS54">
        <v>48.045341142706306</v>
      </c>
      <c r="BU54">
        <v>49493.711650340134</v>
      </c>
      <c r="BV54">
        <v>48.487810968317419</v>
      </c>
      <c r="BX54">
        <v>49835.639274089845</v>
      </c>
      <c r="BY54">
        <v>1.6036634689328797E-3</v>
      </c>
    </row>
    <row r="55" spans="13:77" x14ac:dyDescent="0.35">
      <c r="M55">
        <v>20740.981537731681</v>
      </c>
      <c r="N55">
        <v>8223.6098336687974</v>
      </c>
      <c r="P55">
        <v>21861.532956210631</v>
      </c>
      <c r="Q55">
        <v>7913.1998965868979</v>
      </c>
      <c r="S55">
        <v>19982.877908900515</v>
      </c>
      <c r="T55">
        <v>8888.5219185840378</v>
      </c>
      <c r="V55">
        <v>22028.599535250029</v>
      </c>
      <c r="W55">
        <v>7868.670463887127</v>
      </c>
      <c r="Y55">
        <v>22188.117994715445</v>
      </c>
      <c r="Z55">
        <v>7763.1124059095646</v>
      </c>
      <c r="AB55">
        <v>22059.048039718276</v>
      </c>
      <c r="AC55">
        <v>7848.9948253783359</v>
      </c>
      <c r="AE55">
        <v>22074.556030920307</v>
      </c>
      <c r="AF55">
        <v>7838.9189870473674</v>
      </c>
      <c r="AH55">
        <v>21979.443788289846</v>
      </c>
      <c r="AI55">
        <v>7900.2097994662954</v>
      </c>
      <c r="AK55">
        <v>44769.696952337523</v>
      </c>
      <c r="AL55">
        <v>2257.5547677230707</v>
      </c>
      <c r="AZ55">
        <v>49801.127141918623</v>
      </c>
      <c r="BA55">
        <v>6.0396847910699583</v>
      </c>
      <c r="BC55">
        <v>49596.83496045247</v>
      </c>
      <c r="BD55">
        <v>35.853817614814581</v>
      </c>
      <c r="BF55">
        <v>49827.28951757108</v>
      </c>
      <c r="BG55">
        <v>2.0558076913604952</v>
      </c>
      <c r="BI55">
        <v>49564.064711694387</v>
      </c>
      <c r="BJ55">
        <v>43.401360248446018</v>
      </c>
      <c r="BL55">
        <v>49654.71275118614</v>
      </c>
      <c r="BM55">
        <v>39.23337082732435</v>
      </c>
      <c r="BO55">
        <v>49578.196990438417</v>
      </c>
      <c r="BP55">
        <v>43.157332676632429</v>
      </c>
      <c r="BR55">
        <v>49585.974999594655</v>
      </c>
      <c r="BS55">
        <v>42.939752592675596</v>
      </c>
      <c r="BU55">
        <v>49544.313558136826</v>
      </c>
      <c r="BV55">
        <v>43.328292579771386</v>
      </c>
      <c r="BX55">
        <v>49854.562368576502</v>
      </c>
      <c r="BY55">
        <v>1.4347024162785357E-3</v>
      </c>
    </row>
    <row r="56" spans="13:77" x14ac:dyDescent="0.35">
      <c r="M56">
        <v>20807.331251048148</v>
      </c>
      <c r="N56">
        <v>8107.9991178639029</v>
      </c>
      <c r="P56">
        <v>21818.828704629508</v>
      </c>
      <c r="Q56">
        <v>7898.5431091263199</v>
      </c>
      <c r="S56">
        <v>20031.44888677034</v>
      </c>
      <c r="T56">
        <v>8686.1866756883155</v>
      </c>
      <c r="V56">
        <v>21969.798003118856</v>
      </c>
      <c r="W56">
        <v>7868.5263300807846</v>
      </c>
      <c r="Y56">
        <v>22128.931337520389</v>
      </c>
      <c r="Z56">
        <v>7777.2798055209441</v>
      </c>
      <c r="AB56">
        <v>22000.033142298034</v>
      </c>
      <c r="AC56">
        <v>7851.6040908469195</v>
      </c>
      <c r="AE56">
        <v>22015.45040654554</v>
      </c>
      <c r="AF56">
        <v>7842.9264808374646</v>
      </c>
      <c r="AH56">
        <v>21921.067285890545</v>
      </c>
      <c r="AI56">
        <v>7895.5974258475117</v>
      </c>
      <c r="AK56">
        <v>43845.298049665646</v>
      </c>
      <c r="AL56">
        <v>2920.5625889746721</v>
      </c>
      <c r="AZ56">
        <v>49823.060103733493</v>
      </c>
      <c r="BA56">
        <v>5.4027053121949811</v>
      </c>
      <c r="BC56">
        <v>49637.555037103957</v>
      </c>
      <c r="BD56">
        <v>32.049984855312076</v>
      </c>
      <c r="BF56">
        <v>49846.845934697762</v>
      </c>
      <c r="BG56">
        <v>1.839155805611439</v>
      </c>
      <c r="BI56">
        <v>49607.363110696977</v>
      </c>
      <c r="BJ56">
        <v>38.792391526354287</v>
      </c>
      <c r="BL56">
        <v>49688.224709803515</v>
      </c>
      <c r="BM56">
        <v>35.077837454402143</v>
      </c>
      <c r="BO56">
        <v>49619.905041665566</v>
      </c>
      <c r="BP56">
        <v>38.576128841754389</v>
      </c>
      <c r="BR56">
        <v>49626.821006708356</v>
      </c>
      <c r="BS56">
        <v>38.382659517223679</v>
      </c>
      <c r="BU56">
        <v>49589.900381905209</v>
      </c>
      <c r="BV56">
        <v>38.724491485931111</v>
      </c>
      <c r="BX56">
        <v>49871.306816497796</v>
      </c>
      <c r="BY56">
        <v>1.2836253371642187E-3</v>
      </c>
    </row>
    <row r="57" spans="13:77" x14ac:dyDescent="0.35">
      <c r="M57">
        <v>20888.389159282458</v>
      </c>
      <c r="N57">
        <v>8000.8460168613237</v>
      </c>
      <c r="P57">
        <v>21786.282573936365</v>
      </c>
      <c r="Q57">
        <v>7880.4980133867875</v>
      </c>
      <c r="S57">
        <v>20114.318856547496</v>
      </c>
      <c r="T57">
        <v>8494.9601554292403</v>
      </c>
      <c r="V57">
        <v>21920.330643958972</v>
      </c>
      <c r="W57">
        <v>7863.4715646533405</v>
      </c>
      <c r="Y57">
        <v>22075.716884487985</v>
      </c>
      <c r="Z57">
        <v>7786.420308822987</v>
      </c>
      <c r="AB57">
        <v>21949.732601940672</v>
      </c>
      <c r="AC57">
        <v>7849.2641713278736</v>
      </c>
      <c r="AE57">
        <v>21964.740705085605</v>
      </c>
      <c r="AF57">
        <v>7841.9675013757269</v>
      </c>
      <c r="AH57">
        <v>21873.013428293209</v>
      </c>
      <c r="AI57">
        <v>7886.1480650539652</v>
      </c>
      <c r="AK57">
        <v>42657.642682672747</v>
      </c>
      <c r="AL57">
        <v>3732.7338323794083</v>
      </c>
      <c r="AZ57">
        <v>49842.569121987413</v>
      </c>
      <c r="BA57">
        <v>4.8332655484134905</v>
      </c>
      <c r="BC57">
        <v>49674.187031890804</v>
      </c>
      <c r="BD57">
        <v>28.65369835698716</v>
      </c>
      <c r="BF57">
        <v>49864.185238025457</v>
      </c>
      <c r="BG57">
        <v>1.6454450222766184</v>
      </c>
      <c r="BI57">
        <v>49646.40276955528</v>
      </c>
      <c r="BJ57">
        <v>34.678004455643304</v>
      </c>
      <c r="BL57">
        <v>49718.535572869587</v>
      </c>
      <c r="BM57">
        <v>31.366052602219742</v>
      </c>
      <c r="BO57">
        <v>49657.533491033842</v>
      </c>
      <c r="BP57">
        <v>34.486147189445738</v>
      </c>
      <c r="BR57">
        <v>49663.683084198317</v>
      </c>
      <c r="BS57">
        <v>34.313996530872295</v>
      </c>
      <c r="BU57">
        <v>49630.963591861895</v>
      </c>
      <c r="BV57">
        <v>34.615257749385762</v>
      </c>
      <c r="BX57">
        <v>49886.123449235267</v>
      </c>
      <c r="BY57">
        <v>1.1485221691581954E-3</v>
      </c>
    </row>
    <row r="58" spans="13:77" x14ac:dyDescent="0.35">
      <c r="M58">
        <v>20980.152842949818</v>
      </c>
      <c r="N58">
        <v>7903.011817212112</v>
      </c>
      <c r="P58">
        <v>21763.055966811273</v>
      </c>
      <c r="Q58">
        <v>7859.9717031394839</v>
      </c>
      <c r="S58">
        <v>20223.858200134408</v>
      </c>
      <c r="T58">
        <v>8317.2255778047911</v>
      </c>
      <c r="V58">
        <v>21879.859947315796</v>
      </c>
      <c r="W58">
        <v>7854.3473434896205</v>
      </c>
      <c r="Y58">
        <v>22028.728607489757</v>
      </c>
      <c r="Z58">
        <v>7791.0657474762311</v>
      </c>
      <c r="AB58">
        <v>21907.922316143402</v>
      </c>
      <c r="AC58">
        <v>7842.7590723447856</v>
      </c>
      <c r="AE58">
        <v>21922.260453856776</v>
      </c>
      <c r="AF58">
        <v>7836.7966960161257</v>
      </c>
      <c r="AH58">
        <v>21834.760810641616</v>
      </c>
      <c r="AI58">
        <v>7872.7941057225971</v>
      </c>
      <c r="AK58">
        <v>41182.974803013465</v>
      </c>
      <c r="AL58">
        <v>4698.244225506488</v>
      </c>
      <c r="AZ58">
        <v>49859.922614955292</v>
      </c>
      <c r="BA58">
        <v>4.324130848066404</v>
      </c>
      <c r="BC58">
        <v>49707.138158979396</v>
      </c>
      <c r="BD58">
        <v>25.620517833490865</v>
      </c>
      <c r="BF58">
        <v>49879.559064384463</v>
      </c>
      <c r="BG58">
        <v>1.4722236194872189</v>
      </c>
      <c r="BI58">
        <v>49681.59714122524</v>
      </c>
      <c r="BJ58">
        <v>31.00413649173278</v>
      </c>
      <c r="BL58">
        <v>49745.944452167605</v>
      </c>
      <c r="BM58">
        <v>28.049945374824066</v>
      </c>
      <c r="BO58">
        <v>49691.475604657091</v>
      </c>
      <c r="BP58">
        <v>30.833770063186353</v>
      </c>
      <c r="BR58">
        <v>49696.943872056261</v>
      </c>
      <c r="BS58">
        <v>30.680492703987962</v>
      </c>
      <c r="BU58">
        <v>49667.947260408917</v>
      </c>
      <c r="BV58">
        <v>30.946418362939653</v>
      </c>
      <c r="BX58">
        <v>49899.234219488324</v>
      </c>
      <c r="BY58">
        <v>1.0276903922844664E-3</v>
      </c>
    </row>
    <row r="59" spans="13:77" x14ac:dyDescent="0.35">
      <c r="M59">
        <v>21079.078351420834</v>
      </c>
      <c r="N59">
        <v>7814.9900056043689</v>
      </c>
      <c r="P59">
        <v>21748.237164556722</v>
      </c>
      <c r="Q59">
        <v>7837.7856454829916</v>
      </c>
      <c r="S59">
        <v>20353.31848113408</v>
      </c>
      <c r="T59">
        <v>8154.4923317656285</v>
      </c>
      <c r="V59">
        <v>21847.901569632049</v>
      </c>
      <c r="W59">
        <v>7841.9607952548386</v>
      </c>
      <c r="Y59">
        <v>21988.046017515779</v>
      </c>
      <c r="Z59">
        <v>7791.772520423483</v>
      </c>
      <c r="AB59">
        <v>21874.225159460388</v>
      </c>
      <c r="AC59">
        <v>7832.8503250073845</v>
      </c>
      <c r="AE59">
        <v>21887.687149460107</v>
      </c>
      <c r="AF59">
        <v>7828.1520616222961</v>
      </c>
      <c r="AH59">
        <v>21805.651931641998</v>
      </c>
      <c r="AI59">
        <v>7856.4148195167227</v>
      </c>
      <c r="AK59">
        <v>39416.769605968795</v>
      </c>
      <c r="AL59">
        <v>5804.0618907348089</v>
      </c>
      <c r="AZ59">
        <v>49875.35922257723</v>
      </c>
      <c r="BA59">
        <v>3.8688563996117145</v>
      </c>
      <c r="BC59">
        <v>49736.77550615769</v>
      </c>
      <c r="BD59">
        <v>22.910998652766224</v>
      </c>
      <c r="BF59">
        <v>49893.190461408849</v>
      </c>
      <c r="BG59">
        <v>1.3173065181699832</v>
      </c>
      <c r="BI59">
        <v>49713.320273968864</v>
      </c>
      <c r="BJ59">
        <v>27.722823763806282</v>
      </c>
      <c r="BL59">
        <v>49770.7234040556</v>
      </c>
      <c r="BM59">
        <v>25.086781602847896</v>
      </c>
      <c r="BO59">
        <v>49722.08751770854</v>
      </c>
      <c r="BP59">
        <v>27.571412585287185</v>
      </c>
      <c r="BR59">
        <v>49726.950059213879</v>
      </c>
      <c r="BS59">
        <v>27.434862441249656</v>
      </c>
      <c r="BU59">
        <v>49701.252521754832</v>
      </c>
      <c r="BV59">
        <v>27.669934445177351</v>
      </c>
      <c r="BX59">
        <v>49910.835526133182</v>
      </c>
      <c r="BY59">
        <v>9.1961174923364309E-4</v>
      </c>
    </row>
    <row r="60" spans="13:77" x14ac:dyDescent="0.35">
      <c r="M60">
        <v>21182.063869677564</v>
      </c>
      <c r="N60">
        <v>7736.9757324000784</v>
      </c>
      <c r="P60">
        <v>21740.874058345544</v>
      </c>
      <c r="Q60">
        <v>7814.6694586141048</v>
      </c>
      <c r="S60">
        <v>20496.785330739145</v>
      </c>
      <c r="T60">
        <v>8007.5813231056773</v>
      </c>
      <c r="V60">
        <v>21823.859138706419</v>
      </c>
      <c r="W60">
        <v>7827.0698003129255</v>
      </c>
      <c r="Y60">
        <v>21953.598974539542</v>
      </c>
      <c r="Z60">
        <v>7789.1040476975923</v>
      </c>
      <c r="AB60">
        <v>21848.144061583556</v>
      </c>
      <c r="AC60">
        <v>7820.261140988925</v>
      </c>
      <c r="AE60">
        <v>21860.574427889082</v>
      </c>
      <c r="AF60">
        <v>7816.7388047694467</v>
      </c>
      <c r="AH60">
        <v>21784.930636818652</v>
      </c>
      <c r="AI60">
        <v>7837.8223766298242</v>
      </c>
      <c r="AK60">
        <v>37382.607345472432</v>
      </c>
      <c r="AL60">
        <v>7014.5460098602025</v>
      </c>
      <c r="AZ60">
        <v>49889.091115310497</v>
      </c>
      <c r="BA60">
        <v>3.4616979998332145</v>
      </c>
      <c r="BC60">
        <v>49763.429926029035</v>
      </c>
      <c r="BD60">
        <v>20.490101730645666</v>
      </c>
      <c r="BF60">
        <v>49905.277138521036</v>
      </c>
      <c r="BG60">
        <v>1.1787453376594164</v>
      </c>
      <c r="BI60">
        <v>49741.910462020242</v>
      </c>
      <c r="BJ60">
        <v>24.791477491464597</v>
      </c>
      <c r="BL60">
        <v>49793.119750949074</v>
      </c>
      <c r="BM60">
        <v>22.438547333565555</v>
      </c>
      <c r="BO60">
        <v>49749.691629495333</v>
      </c>
      <c r="BP60">
        <v>24.656810009263765</v>
      </c>
      <c r="BR60">
        <v>49754.015647889246</v>
      </c>
      <c r="BS60">
        <v>24.535100102655793</v>
      </c>
      <c r="BU60">
        <v>49731.241629276527</v>
      </c>
      <c r="BV60">
        <v>24.743168819177765</v>
      </c>
      <c r="BX60">
        <v>49921.101156284087</v>
      </c>
      <c r="BY60">
        <v>8.2293172474721238E-4</v>
      </c>
    </row>
    <row r="61" spans="13:77" x14ac:dyDescent="0.35">
      <c r="M61">
        <v>21286.428231976683</v>
      </c>
      <c r="N61">
        <v>7668.925383977883</v>
      </c>
      <c r="P61">
        <v>21740.002018620864</v>
      </c>
      <c r="Q61">
        <v>7791.2585306579413</v>
      </c>
      <c r="S61">
        <v>20649.120970502183</v>
      </c>
      <c r="T61">
        <v>7876.781031420267</v>
      </c>
      <c r="V61">
        <v>21807.055912982371</v>
      </c>
      <c r="W61">
        <v>7810.3719532066079</v>
      </c>
      <c r="Y61">
        <v>21925.192337081866</v>
      </c>
      <c r="Z61">
        <v>7783.6157975301794</v>
      </c>
      <c r="AB61">
        <v>21829.092515936984</v>
      </c>
      <c r="AC61">
        <v>7805.6644552103835</v>
      </c>
      <c r="AE61">
        <v>21840.381957326368</v>
      </c>
      <c r="AF61">
        <v>7803.2169443763432</v>
      </c>
      <c r="AH61">
        <v>21771.775482076875</v>
      </c>
      <c r="AI61">
        <v>7817.752444094499</v>
      </c>
      <c r="AK61">
        <v>35137.192519490935</v>
      </c>
      <c r="AL61">
        <v>8270.2949659444657</v>
      </c>
      <c r="AZ61">
        <v>49901.306934890083</v>
      </c>
      <c r="BA61">
        <v>3.0975334995369161</v>
      </c>
      <c r="BC61">
        <v>49787.39955951619</v>
      </c>
      <c r="BD61">
        <v>18.326678440386591</v>
      </c>
      <c r="BF61">
        <v>49915.994347970831</v>
      </c>
      <c r="BG61">
        <v>1.0548020045481996</v>
      </c>
      <c r="BI61">
        <v>49767.673573984663</v>
      </c>
      <c r="BJ61">
        <v>22.172252788031699</v>
      </c>
      <c r="BL61">
        <v>49813.358222451483</v>
      </c>
      <c r="BM61">
        <v>20.07140791107075</v>
      </c>
      <c r="BO61">
        <v>49774.57970486251</v>
      </c>
      <c r="BP61">
        <v>22.052395462358998</v>
      </c>
      <c r="BR61">
        <v>49778.424938668206</v>
      </c>
      <c r="BS61">
        <v>21.943863773847227</v>
      </c>
      <c r="BU61">
        <v>49758.241644004658</v>
      </c>
      <c r="BV61">
        <v>22.128248012304631</v>
      </c>
      <c r="BX61">
        <v>49930.184888629061</v>
      </c>
      <c r="BY61">
        <v>7.36441427915935E-4</v>
      </c>
    </row>
    <row r="62" spans="13:77" x14ac:dyDescent="0.35">
      <c r="M62">
        <v>21389.886439339141</v>
      </c>
      <c r="N62">
        <v>7610.6068324498119</v>
      </c>
      <c r="P62">
        <v>21744.667113370946</v>
      </c>
      <c r="Q62">
        <v>7768.0947211636931</v>
      </c>
      <c r="S62">
        <v>20805.903242273609</v>
      </c>
      <c r="T62">
        <v>7761.9752262318334</v>
      </c>
      <c r="V62">
        <v>21796.762960379376</v>
      </c>
      <c r="W62">
        <v>7792.4972515698646</v>
      </c>
      <c r="Y62">
        <v>21902.529745782809</v>
      </c>
      <c r="Z62">
        <v>7775.8429632203352</v>
      </c>
      <c r="AB62">
        <v>21816.42209781519</v>
      </c>
      <c r="AC62">
        <v>7789.6745242108409</v>
      </c>
      <c r="AE62">
        <v>21826.502591554134</v>
      </c>
      <c r="AF62">
        <v>7788.1923771073161</v>
      </c>
      <c r="AH62">
        <v>21765.328833999527</v>
      </c>
      <c r="AI62">
        <v>7796.8587540513081</v>
      </c>
      <c r="AK62">
        <v>32767.850555847184</v>
      </c>
      <c r="AL62">
        <v>9493.860077070929</v>
      </c>
      <c r="AZ62">
        <v>49912.174407962848</v>
      </c>
      <c r="BA62">
        <v>2.7717935336738893</v>
      </c>
      <c r="BC62">
        <v>49808.953024830385</v>
      </c>
      <c r="BD62">
        <v>16.393020050830025</v>
      </c>
      <c r="BF62">
        <v>49925.497438046295</v>
      </c>
      <c r="BG62">
        <v>0.94392545575924691</v>
      </c>
      <c r="BI62">
        <v>49790.886084806378</v>
      </c>
      <c r="BJ62">
        <v>19.831496901727142</v>
      </c>
      <c r="BL62">
        <v>49831.642927069952</v>
      </c>
      <c r="BM62">
        <v>17.955232612168281</v>
      </c>
      <c r="BO62">
        <v>49797.015704592726</v>
      </c>
      <c r="BP62">
        <v>19.724755520221766</v>
      </c>
      <c r="BR62">
        <v>49800.435257417739</v>
      </c>
      <c r="BS62">
        <v>19.627935858887824</v>
      </c>
      <c r="BU62">
        <v>49782.547785371426</v>
      </c>
      <c r="BV62">
        <v>19.791505272694305</v>
      </c>
      <c r="BX62">
        <v>49938.222797038397</v>
      </c>
      <c r="BY62">
        <v>6.5906157264831772E-4</v>
      </c>
    </row>
    <row r="63" spans="13:77" x14ac:dyDescent="0.35">
      <c r="M63">
        <v>21490.523609056443</v>
      </c>
      <c r="N63">
        <v>7561.6413362861113</v>
      </c>
      <c r="P63">
        <v>21753.944997868413</v>
      </c>
      <c r="Q63">
        <v>7745.6294422842184</v>
      </c>
      <c r="S63">
        <v>20963.365212293571</v>
      </c>
      <c r="T63">
        <v>7662.745213367798</v>
      </c>
      <c r="V63">
        <v>21792.223727995563</v>
      </c>
      <c r="W63">
        <v>7774.0040043839026</v>
      </c>
      <c r="Y63">
        <v>21885.236007304142</v>
      </c>
      <c r="Z63">
        <v>7766.2907349653015</v>
      </c>
      <c r="AB63">
        <v>21809.446776046891</v>
      </c>
      <c r="AC63">
        <v>7772.8416613385707</v>
      </c>
      <c r="AE63">
        <v>21818.286525135729</v>
      </c>
      <c r="AF63">
        <v>7772.2110313420508</v>
      </c>
      <c r="AH63">
        <v>21764.72172787111</v>
      </c>
      <c r="AI63">
        <v>7775.710991293322</v>
      </c>
      <c r="AK63">
        <v>30381.175598601199</v>
      </c>
      <c r="AL63">
        <v>10602.404924680155</v>
      </c>
      <c r="AZ63">
        <v>49921.842669005207</v>
      </c>
      <c r="BA63">
        <v>2.4804003458762507</v>
      </c>
      <c r="BC63">
        <v>49828.332302351344</v>
      </c>
      <c r="BD63">
        <v>14.66446283326664</v>
      </c>
      <c r="BF63">
        <v>49933.924115778449</v>
      </c>
      <c r="BG63">
        <v>0.84473104312916825</v>
      </c>
      <c r="BI63">
        <v>49811.797835536752</v>
      </c>
      <c r="BJ63">
        <v>17.739265953222763</v>
      </c>
      <c r="BL63">
        <v>49848.159165360463</v>
      </c>
      <c r="BM63">
        <v>16.063176263259994</v>
      </c>
      <c r="BO63">
        <v>49817.238366209102</v>
      </c>
      <c r="BP63">
        <v>17.644152982764332</v>
      </c>
      <c r="BR63">
        <v>49820.27944403646</v>
      </c>
      <c r="BS63">
        <v>17.557750049792922</v>
      </c>
      <c r="BU63">
        <v>49804.426473159561</v>
      </c>
      <c r="BV63">
        <v>17.702993306877449</v>
      </c>
      <c r="BX63">
        <v>49945.335288954077</v>
      </c>
      <c r="BY63">
        <v>5.8982829466215137E-4</v>
      </c>
    </row>
    <row r="64" spans="13:77" x14ac:dyDescent="0.35">
      <c r="M64">
        <v>21586.768264093858</v>
      </c>
      <c r="N64">
        <v>7521.5382339122807</v>
      </c>
      <c r="P64">
        <v>21766.955862592258</v>
      </c>
      <c r="Q64">
        <v>7724.2284963467646</v>
      </c>
      <c r="S64">
        <v>21118.337547362418</v>
      </c>
      <c r="T64">
        <v>7578.4502924760063</v>
      </c>
      <c r="V64">
        <v>21792.675031534713</v>
      </c>
      <c r="W64">
        <v>7755.3774304551835</v>
      </c>
      <c r="Y64">
        <v>21872.877702399459</v>
      </c>
      <c r="Z64">
        <v>7755.4270128587959</v>
      </c>
      <c r="AB64">
        <v>21807.463964048678</v>
      </c>
      <c r="AC64">
        <v>7755.6496493830809</v>
      </c>
      <c r="AE64">
        <v>21815.06235487813</v>
      </c>
      <c r="AF64">
        <v>7755.7556862283691</v>
      </c>
      <c r="AH64">
        <v>21769.094650882234</v>
      </c>
      <c r="AI64">
        <v>7754.7953606149913</v>
      </c>
      <c r="AK64">
        <v>28085.590427988409</v>
      </c>
      <c r="AL64">
        <v>11523.715058668096</v>
      </c>
      <c r="AZ64">
        <v>49930.444324884375</v>
      </c>
      <c r="BA64">
        <v>2.2197136871752088</v>
      </c>
      <c r="BC64">
        <v>49845.755343322999</v>
      </c>
      <c r="BD64">
        <v>13.119041326269791</v>
      </c>
      <c r="BF64">
        <v>49941.39645221227</v>
      </c>
      <c r="BG64">
        <v>0.75598230229540342</v>
      </c>
      <c r="BI64">
        <v>49830.634543535416</v>
      </c>
      <c r="BJ64">
        <v>15.868900894020328</v>
      </c>
      <c r="BL64">
        <v>49863.075095116328</v>
      </c>
      <c r="BM64">
        <v>14.371310490905726</v>
      </c>
      <c r="BO64">
        <v>49835.463555298142</v>
      </c>
      <c r="BP64">
        <v>15.78410782294392</v>
      </c>
      <c r="BR64">
        <v>49838.168121907162</v>
      </c>
      <c r="BS64">
        <v>15.706975793476104</v>
      </c>
      <c r="BU64">
        <v>49824.118087462164</v>
      </c>
      <c r="BV64">
        <v>15.836057187625316</v>
      </c>
      <c r="BX64">
        <v>49951.628909095365</v>
      </c>
      <c r="BY64">
        <v>5.2788057956272636E-4</v>
      </c>
    </row>
    <row r="65" spans="13:77" x14ac:dyDescent="0.35">
      <c r="M65">
        <v>21677.365510765841</v>
      </c>
      <c r="N65">
        <v>7489.7235882005971</v>
      </c>
      <c r="P65">
        <v>21782.875854259702</v>
      </c>
      <c r="Q65">
        <v>7704.1781371644856</v>
      </c>
      <c r="S65">
        <v>21268.194656733587</v>
      </c>
      <c r="T65">
        <v>7508.2902431219864</v>
      </c>
      <c r="V65">
        <v>21797.364606792897</v>
      </c>
      <c r="W65">
        <v>7737.0304314962641</v>
      </c>
      <c r="Y65">
        <v>21864.981779398277</v>
      </c>
      <c r="Z65">
        <v>7743.6773392704417</v>
      </c>
      <c r="AB65">
        <v>21809.772377701589</v>
      </c>
      <c r="AC65">
        <v>7738.5153667789309</v>
      </c>
      <c r="AE65">
        <v>21816.155077176954</v>
      </c>
      <c r="AF65">
        <v>7739.2450190826148</v>
      </c>
      <c r="AH65">
        <v>21777.614515256893</v>
      </c>
      <c r="AI65">
        <v>7734.517239117894</v>
      </c>
      <c r="AK65">
        <v>25973.788378004556</v>
      </c>
      <c r="AL65">
        <v>12209.70704004033</v>
      </c>
      <c r="AZ65">
        <v>49938.097289822217</v>
      </c>
      <c r="BA65">
        <v>1.9864829112207878</v>
      </c>
      <c r="BC65">
        <v>49861.418427897217</v>
      </c>
      <c r="BD65">
        <v>11.737183370181938</v>
      </c>
      <c r="BF65">
        <v>49948.022659550472</v>
      </c>
      <c r="BG65">
        <v>0.67657479533535281</v>
      </c>
      <c r="BI65">
        <v>49847.600084168349</v>
      </c>
      <c r="BJ65">
        <v>14.196654797229616</v>
      </c>
      <c r="BL65">
        <v>49876.543258882302</v>
      </c>
      <c r="BM65">
        <v>12.858298293751931</v>
      </c>
      <c r="BO65">
        <v>49851.886406176789</v>
      </c>
      <c r="BP65">
        <v>14.121028617503748</v>
      </c>
      <c r="BR65">
        <v>49854.29176575804</v>
      </c>
      <c r="BS65">
        <v>14.052152685208247</v>
      </c>
      <c r="BU65">
        <v>49841.839471422216</v>
      </c>
      <c r="BV65">
        <v>14.166959329399143</v>
      </c>
      <c r="BX65">
        <v>49957.197935500175</v>
      </c>
      <c r="BY65">
        <v>4.724491071250958E-4</v>
      </c>
    </row>
    <row r="66" spans="13:77" x14ac:dyDescent="0.35">
      <c r="M66">
        <v>21761.350414850815</v>
      </c>
      <c r="N66">
        <v>7465.5638634345696</v>
      </c>
      <c r="P66">
        <v>21800.945387546348</v>
      </c>
      <c r="Q66">
        <v>7685.691914311732</v>
      </c>
      <c r="S66">
        <v>21410.804847371357</v>
      </c>
      <c r="T66">
        <v>7451.3534188792</v>
      </c>
      <c r="V66">
        <v>21805.565441756589</v>
      </c>
      <c r="W66">
        <v>7719.306061742499</v>
      </c>
      <c r="Y66">
        <v>21861.052009162653</v>
      </c>
      <c r="Z66">
        <v>7731.421788358798</v>
      </c>
      <c r="AB66">
        <v>21815.68685367439</v>
      </c>
      <c r="AC66">
        <v>7721.7901849023765</v>
      </c>
      <c r="AE66">
        <v>21820.901141685637</v>
      </c>
      <c r="AF66">
        <v>7723.03445776013</v>
      </c>
      <c r="AH66">
        <v>21789.488143917086</v>
      </c>
      <c r="AI66">
        <v>7715.2053832532192</v>
      </c>
      <c r="AK66">
        <v>24110.903007334735</v>
      </c>
      <c r="AL66">
        <v>12642.696040474788</v>
      </c>
      <c r="AZ66">
        <v>49944.906416319893</v>
      </c>
      <c r="BA66">
        <v>1.7778045084939675</v>
      </c>
      <c r="BC66">
        <v>49875.49829585226</v>
      </c>
      <c r="BD66">
        <v>10.501441459972417</v>
      </c>
      <c r="BF66">
        <v>49953.898666139321</v>
      </c>
      <c r="BG66">
        <v>0.6055217759885928</v>
      </c>
      <c r="BI66">
        <v>49862.878563545833</v>
      </c>
      <c r="BJ66">
        <v>12.701364751128169</v>
      </c>
      <c r="BL66">
        <v>49888.70198367288</v>
      </c>
      <c r="BM66">
        <v>11.505106498772163</v>
      </c>
      <c r="BO66">
        <v>49866.683269453482</v>
      </c>
      <c r="BP66">
        <v>12.633887888098585</v>
      </c>
      <c r="BR66">
        <v>49868.822584485664</v>
      </c>
      <c r="BS66">
        <v>12.572368314087589</v>
      </c>
      <c r="BU66">
        <v>49857.786199580565</v>
      </c>
      <c r="BV66">
        <v>12.674549635118764</v>
      </c>
      <c r="BX66">
        <v>49962.125791811057</v>
      </c>
      <c r="BY66">
        <v>4.2284634278518896E-4</v>
      </c>
    </row>
    <row r="67" spans="13:77" x14ac:dyDescent="0.35">
      <c r="M67">
        <v>21838.021737941333</v>
      </c>
      <c r="N67">
        <v>7448.3855897499498</v>
      </c>
      <c r="P67">
        <v>21820.474750705867</v>
      </c>
      <c r="Q67">
        <v>7668.917946185049</v>
      </c>
      <c r="S67">
        <v>21544.4843032073</v>
      </c>
      <c r="T67">
        <v>7406.6536082695511</v>
      </c>
      <c r="V67">
        <v>21816.587154092664</v>
      </c>
      <c r="W67">
        <v>7702.4812678673698</v>
      </c>
      <c r="Y67">
        <v>21860.583269650073</v>
      </c>
      <c r="Z67">
        <v>7718.9935328557458</v>
      </c>
      <c r="AB67">
        <v>21824.550338549459</v>
      </c>
      <c r="AC67">
        <v>7705.7627321916052</v>
      </c>
      <c r="AE67">
        <v>21828.660743549193</v>
      </c>
      <c r="AF67">
        <v>7707.4184459364533</v>
      </c>
      <c r="AH67">
        <v>21803.972619127948</v>
      </c>
      <c r="AI67">
        <v>7697.1172343690178</v>
      </c>
      <c r="AK67">
        <v>22530.989568901135</v>
      </c>
      <c r="AL67">
        <v>12833.386352943344</v>
      </c>
      <c r="AZ67">
        <v>49950.964944756044</v>
      </c>
      <c r="BA67">
        <v>1.5910844237079045</v>
      </c>
      <c r="BC67">
        <v>49888.154071269251</v>
      </c>
      <c r="BD67">
        <v>9.3962557501413766</v>
      </c>
      <c r="BF67">
        <v>49959.109512308365</v>
      </c>
      <c r="BG67">
        <v>0.54194145967147767</v>
      </c>
      <c r="BI67">
        <v>49876.636200383851</v>
      </c>
      <c r="BJ67">
        <v>11.364162597087155</v>
      </c>
      <c r="BL67">
        <v>49899.67666232078</v>
      </c>
      <c r="BM67">
        <v>10.294751406996481</v>
      </c>
      <c r="BO67">
        <v>49880.013482793489</v>
      </c>
      <c r="BP67">
        <v>11.303935721208829</v>
      </c>
      <c r="BR67">
        <v>49881.916234361408</v>
      </c>
      <c r="BS67">
        <v>11.248974007651087</v>
      </c>
      <c r="BU67">
        <v>49872.134632828682</v>
      </c>
      <c r="BV67">
        <v>11.339974926159183</v>
      </c>
      <c r="BX67">
        <v>49966.486296961913</v>
      </c>
      <c r="BY67">
        <v>3.7845772936651273E-4</v>
      </c>
    </row>
    <row r="68" spans="13:77" x14ac:dyDescent="0.35">
      <c r="M68">
        <v>21906.916112766725</v>
      </c>
      <c r="N68">
        <v>7437.4918214004738</v>
      </c>
      <c r="P68">
        <v>21840.847383586522</v>
      </c>
      <c r="Q68">
        <v>7653.9463451350002</v>
      </c>
      <c r="S68">
        <v>21667.954467283784</v>
      </c>
      <c r="T68">
        <v>7373.1583349066505</v>
      </c>
      <c r="V68">
        <v>21829.784702016295</v>
      </c>
      <c r="W68">
        <v>7686.7715313327926</v>
      </c>
      <c r="Y68">
        <v>21863.073699024091</v>
      </c>
      <c r="Z68">
        <v>7706.6788084008276</v>
      </c>
      <c r="AB68">
        <v>21835.743292424377</v>
      </c>
      <c r="AC68">
        <v>7690.6626683530776</v>
      </c>
      <c r="AE68">
        <v>21838.827574750794</v>
      </c>
      <c r="AF68">
        <v>7692.6337711896449</v>
      </c>
      <c r="AH68">
        <v>21820.382850656806</v>
      </c>
      <c r="AI68">
        <v>7680.4449420325609</v>
      </c>
      <c r="AK68">
        <v>21240.575161917288</v>
      </c>
      <c r="AL68">
        <v>12813.102428868791</v>
      </c>
      <c r="AZ68">
        <v>49956.355791842259</v>
      </c>
      <c r="BA68">
        <v>1.4240045870046216</v>
      </c>
      <c r="BC68">
        <v>49899.529000562223</v>
      </c>
      <c r="BD68">
        <v>8.4077447051543697</v>
      </c>
      <c r="BF68">
        <v>49963.730587455517</v>
      </c>
      <c r="BG68">
        <v>0.48504570889400878</v>
      </c>
      <c r="BI68">
        <v>49889.023033682344</v>
      </c>
      <c r="BJ68">
        <v>10.168219570055907</v>
      </c>
      <c r="BL68">
        <v>49909.580925397968</v>
      </c>
      <c r="BM68">
        <v>9.2120735650907548</v>
      </c>
      <c r="BO68">
        <v>49892.020980005109</v>
      </c>
      <c r="BP68">
        <v>10.114446827064949</v>
      </c>
      <c r="BR68">
        <v>49893.713376945816</v>
      </c>
      <c r="BS68">
        <v>10.065333699893332</v>
      </c>
      <c r="BU68">
        <v>49885.043779241503</v>
      </c>
      <c r="BV68">
        <v>10.146422612896254</v>
      </c>
      <c r="BX68">
        <v>49970.344770985837</v>
      </c>
      <c r="BY68">
        <v>3.3873385087547958E-4</v>
      </c>
    </row>
    <row r="69" spans="13:77" x14ac:dyDescent="0.35">
      <c r="M69">
        <v>21967.782699491436</v>
      </c>
      <c r="N69">
        <v>7432.176042745109</v>
      </c>
      <c r="P69">
        <v>21861.521176436116</v>
      </c>
      <c r="Q69">
        <v>7640.8165844460218</v>
      </c>
      <c r="S69">
        <v>21780.302309009141</v>
      </c>
      <c r="T69">
        <v>7349.8107829254868</v>
      </c>
      <c r="V69">
        <v>21844.564722881965</v>
      </c>
      <c r="W69">
        <v>7672.3361045278762</v>
      </c>
      <c r="Y69">
        <v>21868.034808226937</v>
      </c>
      <c r="Z69">
        <v>7694.7180086866465</v>
      </c>
      <c r="AB69">
        <v>21848.69076618203</v>
      </c>
      <c r="AC69">
        <v>7676.6651629790204</v>
      </c>
      <c r="AE69">
        <v>21850.836275240184</v>
      </c>
      <c r="AF69">
        <v>7678.863652560055</v>
      </c>
      <c r="AH69">
        <v>21838.09671125211</v>
      </c>
      <c r="AI69">
        <v>7665.3217960881839</v>
      </c>
      <c r="AK69">
        <v>20225.982095175805</v>
      </c>
      <c r="AL69">
        <v>12624.135634803813</v>
      </c>
      <c r="AZ69">
        <v>49961.152695871824</v>
      </c>
      <c r="BA69">
        <v>1.2744931632416066</v>
      </c>
      <c r="BC69">
        <v>49909.752021518601</v>
      </c>
      <c r="BD69">
        <v>7.5235199453791477</v>
      </c>
      <c r="BF69">
        <v>49967.828726446649</v>
      </c>
      <c r="BG69">
        <v>0.43412996894596645</v>
      </c>
      <c r="BI69">
        <v>49900.17447159873</v>
      </c>
      <c r="BJ69">
        <v>9.0985205886190492</v>
      </c>
      <c r="BL69">
        <v>49918.517712151683</v>
      </c>
      <c r="BM69">
        <v>8.243538137372358</v>
      </c>
      <c r="BO69">
        <v>49902.835752423227</v>
      </c>
      <c r="BP69">
        <v>9.0504968669013799</v>
      </c>
      <c r="BR69">
        <v>49904.341094981879</v>
      </c>
      <c r="BS69">
        <v>9.0066018042780396</v>
      </c>
      <c r="BU69">
        <v>49896.656978456595</v>
      </c>
      <c r="BV69">
        <v>9.0788942743875456</v>
      </c>
      <c r="BX69">
        <v>49973.759013509174</v>
      </c>
      <c r="BY69">
        <v>3.0318345631835295E-4</v>
      </c>
    </row>
    <row r="70" spans="13:77" x14ac:dyDescent="0.35">
      <c r="M70">
        <v>22020.558359827581</v>
      </c>
      <c r="N70">
        <v>7431.7340310908312</v>
      </c>
      <c r="P70">
        <v>21882.028105875324</v>
      </c>
      <c r="Q70">
        <v>7629.5246520775099</v>
      </c>
      <c r="S70">
        <v>21880.94295034905</v>
      </c>
      <c r="T70">
        <v>7335.5470820938881</v>
      </c>
      <c r="V70">
        <v>21860.389788522691</v>
      </c>
      <c r="W70">
        <v>7659.2835882347845</v>
      </c>
      <c r="Y70">
        <v>21874.999679949655</v>
      </c>
      <c r="Z70">
        <v>7683.3076661320865</v>
      </c>
      <c r="AB70">
        <v>21862.867414230495</v>
      </c>
      <c r="AC70">
        <v>7663.8958233292205</v>
      </c>
      <c r="AE70">
        <v>21864.167831162478</v>
      </c>
      <c r="AF70">
        <v>7666.2423316064405</v>
      </c>
      <c r="AH70">
        <v>21856.558069177521</v>
      </c>
      <c r="AI70">
        <v>7651.8288230560802</v>
      </c>
      <c r="AK70">
        <v>19461.242172643379</v>
      </c>
      <c r="AL70">
        <v>12311.293675240589</v>
      </c>
      <c r="AZ70">
        <v>49965.421234700181</v>
      </c>
      <c r="BA70">
        <v>1.1406980867281518</v>
      </c>
      <c r="BC70">
        <v>49918.939179408342</v>
      </c>
      <c r="BD70">
        <v>6.7325223094012596</v>
      </c>
      <c r="BF70">
        <v>49971.463181341293</v>
      </c>
      <c r="BG70">
        <v>0.38856430951307253</v>
      </c>
      <c r="BI70">
        <v>49910.21269565753</v>
      </c>
      <c r="BJ70">
        <v>8.1416645245103805</v>
      </c>
      <c r="BL70">
        <v>49926.580248392675</v>
      </c>
      <c r="BM70">
        <v>7.3770578130481956</v>
      </c>
      <c r="BO70">
        <v>49912.57517548513</v>
      </c>
      <c r="BP70">
        <v>8.0987644450023542</v>
      </c>
      <c r="BR70">
        <v>49913.914178533683</v>
      </c>
      <c r="BS70">
        <v>8.0595265309970578</v>
      </c>
      <c r="BU70">
        <v>49907.103425767382</v>
      </c>
      <c r="BV70">
        <v>8.124005416139541</v>
      </c>
      <c r="BX70">
        <v>49976.780169589605</v>
      </c>
      <c r="BY70">
        <v>2.7136724535917472E-4</v>
      </c>
    </row>
    <row r="71" spans="13:77" x14ac:dyDescent="0.35">
      <c r="M71">
        <v>22065.343400627669</v>
      </c>
      <c r="N71">
        <v>7435.474055362256</v>
      </c>
      <c r="P71">
        <v>21901.972492795183</v>
      </c>
      <c r="Q71">
        <v>7620.0298804349522</v>
      </c>
      <c r="S71">
        <v>21969.584173362207</v>
      </c>
      <c r="T71">
        <v>7329.3102852462762</v>
      </c>
      <c r="V71">
        <v>21876.780853477441</v>
      </c>
      <c r="W71">
        <v>7647.6776487546531</v>
      </c>
      <c r="Y71">
        <v>21883.529403965007</v>
      </c>
      <c r="Z71">
        <v>7672.6030990970385</v>
      </c>
      <c r="AB71">
        <v>21877.800698242205</v>
      </c>
      <c r="AC71">
        <v>7652.4358630769211</v>
      </c>
      <c r="AE71">
        <v>21878.353164649965</v>
      </c>
      <c r="AF71">
        <v>7654.859955955797</v>
      </c>
      <c r="AH71">
        <v>21875.278024246323</v>
      </c>
      <c r="AI71">
        <v>7640.001358469106</v>
      </c>
      <c r="AK71">
        <v>18914.670476914642</v>
      </c>
      <c r="AL71">
        <v>11916.096767029459</v>
      </c>
      <c r="AZ71">
        <v>49969.2197306202</v>
      </c>
      <c r="BA71">
        <v>1.0209635029315021</v>
      </c>
      <c r="BC71">
        <v>49927.194904753997</v>
      </c>
      <c r="BD71">
        <v>6.024876553380925</v>
      </c>
      <c r="BF71">
        <v>49974.686482632664</v>
      </c>
      <c r="BG71">
        <v>0.34778544577096193</v>
      </c>
      <c r="BI71">
        <v>49919.247933277817</v>
      </c>
      <c r="BJ71">
        <v>7.2856872762213127</v>
      </c>
      <c r="BL71">
        <v>49933.85293877092</v>
      </c>
      <c r="BM71">
        <v>6.6018355779892275</v>
      </c>
      <c r="BO71">
        <v>49921.345212373111</v>
      </c>
      <c r="BP71">
        <v>7.2473556441884597</v>
      </c>
      <c r="BR71">
        <v>49922.536292685523</v>
      </c>
      <c r="BS71">
        <v>7.2122755622783892</v>
      </c>
      <c r="BU71">
        <v>49916.499550707777</v>
      </c>
      <c r="BV71">
        <v>7.2698081833066057</v>
      </c>
      <c r="BX71">
        <v>49979.453495868693</v>
      </c>
      <c r="BY71">
        <v>2.4289232960603255E-4</v>
      </c>
    </row>
    <row r="72" spans="13:77" x14ac:dyDescent="0.35">
      <c r="M72">
        <v>22102.377964279767</v>
      </c>
      <c r="N72">
        <v>7442.7256778731589</v>
      </c>
      <c r="P72">
        <v>21921.028137069505</v>
      </c>
      <c r="Q72">
        <v>7612.2613761626098</v>
      </c>
      <c r="S72">
        <v>22046.192415679805</v>
      </c>
      <c r="T72">
        <v>7330.0620236625082</v>
      </c>
      <c r="V72">
        <v>21893.318154922144</v>
      </c>
      <c r="W72">
        <v>7637.5427172515328</v>
      </c>
      <c r="Y72">
        <v>21893.217911614156</v>
      </c>
      <c r="Z72">
        <v>7662.72153495163</v>
      </c>
      <c r="AB72">
        <v>21893.072525443757</v>
      </c>
      <c r="AC72">
        <v>7642.3273458901767</v>
      </c>
      <c r="AE72">
        <v>21892.975150457198</v>
      </c>
      <c r="AF72">
        <v>7644.767585169272</v>
      </c>
      <c r="AH72">
        <v>21893.834628242894</v>
      </c>
      <c r="AI72">
        <v>7629.8354536539782</v>
      </c>
      <c r="AK72">
        <v>18553.449082716423</v>
      </c>
      <c r="AL72">
        <v>11473.692732219712</v>
      </c>
      <c r="AZ72">
        <v>49972.600054717848</v>
      </c>
      <c r="BA72">
        <v>0.91380878533842713</v>
      </c>
      <c r="BC72">
        <v>49934.61316601107</v>
      </c>
      <c r="BD72">
        <v>5.3917624486057161</v>
      </c>
      <c r="BF72">
        <v>49977.545202574598</v>
      </c>
      <c r="BG72">
        <v>0.3112896279422373</v>
      </c>
      <c r="BI72">
        <v>49927.379610518765</v>
      </c>
      <c r="BJ72">
        <v>6.5199048925850072</v>
      </c>
      <c r="BL72">
        <v>49940.412180382002</v>
      </c>
      <c r="BM72">
        <v>5.9082250194601054</v>
      </c>
      <c r="BO72">
        <v>49929.24150564061</v>
      </c>
      <c r="BP72">
        <v>6.4856483945711068</v>
      </c>
      <c r="BR72">
        <v>49930.301037220175</v>
      </c>
      <c r="BS72">
        <v>6.4542814045457808</v>
      </c>
      <c r="BU72">
        <v>49924.950263618484</v>
      </c>
      <c r="BV72">
        <v>6.5056342385467705</v>
      </c>
      <c r="BX72">
        <v>49981.819038515772</v>
      </c>
      <c r="BY72">
        <v>2.1740729367534267E-4</v>
      </c>
    </row>
    <row r="73" spans="13:77" x14ac:dyDescent="0.35">
      <c r="M73">
        <v>22132.019172457418</v>
      </c>
      <c r="N73">
        <v>7452.8473350618178</v>
      </c>
      <c r="P73">
        <v>21938.934556556913</v>
      </c>
      <c r="Q73">
        <v>7606.124000466345</v>
      </c>
      <c r="S73">
        <v>22110.959965028975</v>
      </c>
      <c r="T73">
        <v>7336.7925332366658</v>
      </c>
      <c r="V73">
        <v>21909.640803617596</v>
      </c>
      <c r="W73">
        <v>7628.869551211601</v>
      </c>
      <c r="Y73">
        <v>21903.69537732947</v>
      </c>
      <c r="Z73">
        <v>7653.7455465339963</v>
      </c>
      <c r="AB73">
        <v>21908.319549711061</v>
      </c>
      <c r="AC73">
        <v>7633.5783741041969</v>
      </c>
      <c r="AE73">
        <v>21907.669281649294</v>
      </c>
      <c r="AF73">
        <v>7635.9821845131919</v>
      </c>
      <c r="AH73">
        <v>21911.871344777581</v>
      </c>
      <c r="AI73">
        <v>7621.2940136571824</v>
      </c>
      <c r="AK73">
        <v>18346.372143826589</v>
      </c>
      <c r="AL73">
        <v>11011.860343947552</v>
      </c>
      <c r="AZ73">
        <v>49975.608341892002</v>
      </c>
      <c r="BA73">
        <v>0.81790983599138967</v>
      </c>
      <c r="BC73">
        <v>49941.278509180651</v>
      </c>
      <c r="BD73">
        <v>4.8253003292890764</v>
      </c>
      <c r="BF73">
        <v>49980.080631736433</v>
      </c>
      <c r="BG73">
        <v>0.27862630166693747</v>
      </c>
      <c r="BI73">
        <v>49934.697395937706</v>
      </c>
      <c r="BJ73">
        <v>5.8347743519460886</v>
      </c>
      <c r="BL73">
        <v>49946.327104169817</v>
      </c>
      <c r="BM73">
        <v>5.2876061244236032</v>
      </c>
      <c r="BO73">
        <v>49936.350366842729</v>
      </c>
      <c r="BP73">
        <v>5.8041543170515437</v>
      </c>
      <c r="BR73">
        <v>49937.292907854047</v>
      </c>
      <c r="BS73">
        <v>5.7761040828728953</v>
      </c>
      <c r="BU73">
        <v>49932.550082497713</v>
      </c>
      <c r="BV73">
        <v>5.8219553817809757</v>
      </c>
      <c r="BX73">
        <v>49983.912233118906</v>
      </c>
      <c r="BY73">
        <v>1.9459778918262826E-4</v>
      </c>
    </row>
    <row r="74" spans="13:77" x14ac:dyDescent="0.35">
      <c r="M74">
        <v>22154.719156932242</v>
      </c>
      <c r="N74">
        <v>7465.2328023065238</v>
      </c>
      <c r="P74">
        <v>21955.492533112229</v>
      </c>
      <c r="Q74">
        <v>7601.5038702874599</v>
      </c>
      <c r="S74">
        <v>22164.273177051666</v>
      </c>
      <c r="T74">
        <v>7348.5295029777144</v>
      </c>
      <c r="V74">
        <v>21925.445285054546</v>
      </c>
      <c r="W74">
        <v>7621.6205686374451</v>
      </c>
      <c r="Y74">
        <v>21914.630354517329</v>
      </c>
      <c r="Z74">
        <v>7645.7266662609691</v>
      </c>
      <c r="AB74">
        <v>21923.232346820671</v>
      </c>
      <c r="AC74">
        <v>7626.1681233560057</v>
      </c>
      <c r="AE74">
        <v>21922.123191380135</v>
      </c>
      <c r="AF74">
        <v>7628.4915026775434</v>
      </c>
      <c r="AH74">
        <v>21929.094478729497</v>
      </c>
      <c r="AI74">
        <v>7614.312593347423</v>
      </c>
      <c r="AK74">
        <v>18265.219168309934</v>
      </c>
      <c r="AL74">
        <v>10551.317701563356</v>
      </c>
      <c r="AZ74">
        <v>49978.285626476463</v>
      </c>
      <c r="BA74">
        <v>0.73208241318200729</v>
      </c>
      <c r="BC74">
        <v>49947.266995255435</v>
      </c>
      <c r="BD74">
        <v>4.3184493919396214</v>
      </c>
      <c r="BF74">
        <v>49982.329378658302</v>
      </c>
      <c r="BG74">
        <v>0.24939245314157632</v>
      </c>
      <c r="BI74">
        <v>49941.282145522855</v>
      </c>
      <c r="BJ74">
        <v>5.2217699106193303</v>
      </c>
      <c r="BL74">
        <v>49951.660250131863</v>
      </c>
      <c r="BM74">
        <v>4.7322747844395519</v>
      </c>
      <c r="BO74">
        <v>49942.749673357495</v>
      </c>
      <c r="BP74">
        <v>5.1943959846337204</v>
      </c>
      <c r="BR74">
        <v>49943.588167821224</v>
      </c>
      <c r="BS74">
        <v>5.1693091406946881</v>
      </c>
      <c r="BU74">
        <v>49939.384151345141</v>
      </c>
      <c r="BV74">
        <v>5.2102598036595733</v>
      </c>
      <c r="BX74">
        <v>49985.764435509249</v>
      </c>
      <c r="BY74">
        <v>1.7418260264473508E-4</v>
      </c>
    </row>
    <row r="75" spans="13:77" x14ac:dyDescent="0.35">
      <c r="M75">
        <v>22171.004132032398</v>
      </c>
      <c r="N75">
        <v>7479.3165971842373</v>
      </c>
      <c r="P75">
        <v>21970.559146130978</v>
      </c>
      <c r="Q75">
        <v>7598.2733651922736</v>
      </c>
      <c r="S75">
        <v>22206.681653050306</v>
      </c>
      <c r="T75">
        <v>7364.3460040868704</v>
      </c>
      <c r="V75">
        <v>21940.483070193917</v>
      </c>
      <c r="W75">
        <v>7615.7348903326447</v>
      </c>
      <c r="Y75">
        <v>21925.730808603392</v>
      </c>
      <c r="Z75">
        <v>7638.6890665362216</v>
      </c>
      <c r="AB75">
        <v>21937.553657855144</v>
      </c>
      <c r="AC75">
        <v>7620.0516492377756</v>
      </c>
      <c r="AE75">
        <v>21936.075221762436</v>
      </c>
      <c r="AF75">
        <v>7622.2587548136789</v>
      </c>
      <c r="AH75">
        <v>21945.269782152409</v>
      </c>
      <c r="AI75">
        <v>7608.8048022982448</v>
      </c>
      <c r="AK75">
        <v>18285.240915981769</v>
      </c>
      <c r="AL75">
        <v>10106.684877360591</v>
      </c>
      <c r="AZ75">
        <v>49980.668407295321</v>
      </c>
      <c r="BA75">
        <v>0.65526726017701664</v>
      </c>
      <c r="BC75">
        <v>49952.647045378282</v>
      </c>
      <c r="BD75">
        <v>3.8649172618601919</v>
      </c>
      <c r="BF75">
        <v>49984.323901355208</v>
      </c>
      <c r="BG75">
        <v>0.22322756308600419</v>
      </c>
      <c r="BI75">
        <v>49947.206757800341</v>
      </c>
      <c r="BJ75">
        <v>4.6732731989579914</v>
      </c>
      <c r="BL75">
        <v>49956.468181894415</v>
      </c>
      <c r="BM75">
        <v>4.2353444387123682</v>
      </c>
      <c r="BO75">
        <v>49948.509680808653</v>
      </c>
      <c r="BP75">
        <v>4.6487978039940092</v>
      </c>
      <c r="BR75">
        <v>49949.255637866503</v>
      </c>
      <c r="BS75">
        <v>4.6263591637904717</v>
      </c>
      <c r="BU75">
        <v>49945.529160202561</v>
      </c>
      <c r="BV75">
        <v>4.662942134192579</v>
      </c>
      <c r="BX75">
        <v>49987.403391470587</v>
      </c>
      <c r="BY75">
        <v>1.5591014512032994E-4</v>
      </c>
    </row>
    <row r="76" spans="13:77" x14ac:dyDescent="0.35">
      <c r="M76">
        <v>22181.454675070003</v>
      </c>
      <c r="N76">
        <v>7494.5783432713897</v>
      </c>
      <c r="P76">
        <v>21984.042454227998</v>
      </c>
      <c r="Q76">
        <v>7596.2956354058988</v>
      </c>
      <c r="S76">
        <v>22238.868418039074</v>
      </c>
      <c r="T76">
        <v>7383.3676090236286</v>
      </c>
      <c r="V76">
        <v>21954.557516323384</v>
      </c>
      <c r="W76">
        <v>7611.1330451972844</v>
      </c>
      <c r="Y76">
        <v>21936.744202871912</v>
      </c>
      <c r="Z76">
        <v>7632.6332167017908</v>
      </c>
      <c r="AB76">
        <v>21951.075877683688</v>
      </c>
      <c r="AC76">
        <v>7615.1644123648948</v>
      </c>
      <c r="AE76">
        <v>21949.312214743961</v>
      </c>
      <c r="AF76">
        <v>7617.2270529347643</v>
      </c>
      <c r="AH76">
        <v>21960.218422112943</v>
      </c>
      <c r="AI76">
        <v>7604.6672870486182</v>
      </c>
      <c r="AK76">
        <v>18385.137752965024</v>
      </c>
      <c r="AL76">
        <v>9687.6623041330949</v>
      </c>
      <c r="AZ76">
        <v>49982.789149999298</v>
      </c>
      <c r="BA76">
        <v>0.58651683533955967</v>
      </c>
      <c r="BC76">
        <v>49957.480202661383</v>
      </c>
      <c r="BD76">
        <v>3.45907952697323</v>
      </c>
      <c r="BF76">
        <v>49986.092978422465</v>
      </c>
      <c r="BG76">
        <v>0.199809102417285</v>
      </c>
      <c r="BI76">
        <v>49952.536947419525</v>
      </c>
      <c r="BJ76">
        <v>4.1824754712512888</v>
      </c>
      <c r="BL76">
        <v>49960.802045807955</v>
      </c>
      <c r="BM76">
        <v>3.7906584764829461</v>
      </c>
      <c r="BO76">
        <v>49953.693758782458</v>
      </c>
      <c r="BP76">
        <v>4.1605889434092571</v>
      </c>
      <c r="BR76">
        <v>49954.357412027915</v>
      </c>
      <c r="BS76">
        <v>4.1405172684942606</v>
      </c>
      <c r="BU76">
        <v>49951.054176172263</v>
      </c>
      <c r="BV76">
        <v>4.1732056798187109</v>
      </c>
      <c r="BX76">
        <v>49988.853652370381</v>
      </c>
      <c r="BY76">
        <v>1.395553174034003E-4</v>
      </c>
    </row>
    <row r="77" spans="13:77" x14ac:dyDescent="0.35">
      <c r="M77">
        <v>22186.68738209139</v>
      </c>
      <c r="N77">
        <v>7510.5461006493069</v>
      </c>
      <c r="P77">
        <v>21995.895967627763</v>
      </c>
      <c r="Q77">
        <v>7595.4286140979666</v>
      </c>
      <c r="S77">
        <v>22261.621228105341</v>
      </c>
      <c r="T77">
        <v>7404.778702081453</v>
      </c>
      <c r="V77">
        <v>21967.520220830418</v>
      </c>
      <c r="W77">
        <v>7607.7213087286264</v>
      </c>
      <c r="Y77">
        <v>21947.456783893769</v>
      </c>
      <c r="Z77">
        <v>7627.5394454900306</v>
      </c>
      <c r="AB77">
        <v>21963.637949042452</v>
      </c>
      <c r="AC77">
        <v>7611.4264844528016</v>
      </c>
      <c r="AE77">
        <v>21961.666684242824</v>
      </c>
      <c r="AF77">
        <v>7613.3235423484311</v>
      </c>
      <c r="AH77">
        <v>21973.812476389747</v>
      </c>
      <c r="AI77">
        <v>7601.7842729016938</v>
      </c>
      <c r="AK77">
        <v>18546.786283288438</v>
      </c>
      <c r="AL77">
        <v>9300.1746771217295</v>
      </c>
      <c r="AZ77">
        <v>49984.676733656823</v>
      </c>
      <c r="BA77">
        <v>0.52498346714884292</v>
      </c>
      <c r="BC77">
        <v>49961.821818767094</v>
      </c>
      <c r="BD77">
        <v>3.0959080987290157</v>
      </c>
      <c r="BF77">
        <v>49987.662126612246</v>
      </c>
      <c r="BG77">
        <v>0.17884851022702231</v>
      </c>
      <c r="BI77">
        <v>49957.331944787693</v>
      </c>
      <c r="BJ77">
        <v>3.7432906124637655</v>
      </c>
      <c r="BL77">
        <v>49964.708079319164</v>
      </c>
      <c r="BM77">
        <v>3.3927121848871562</v>
      </c>
      <c r="BO77">
        <v>49958.359056866757</v>
      </c>
      <c r="BP77">
        <v>3.723716926499864</v>
      </c>
      <c r="BR77">
        <v>49958.949505959565</v>
      </c>
      <c r="BS77">
        <v>3.7057611852132859</v>
      </c>
      <c r="BU77">
        <v>49956.021393849092</v>
      </c>
      <c r="BV77">
        <v>3.7349754420298424</v>
      </c>
      <c r="BX77">
        <v>49990.136942938421</v>
      </c>
      <c r="BY77">
        <v>1.2491670983647555E-4</v>
      </c>
    </row>
    <row r="78" spans="13:77" x14ac:dyDescent="0.35">
      <c r="M78">
        <v>22187.338056239474</v>
      </c>
      <c r="N78">
        <v>7526.7986670004648</v>
      </c>
      <c r="P78">
        <v>22006.113037330528</v>
      </c>
      <c r="Q78">
        <v>7595.5285427101207</v>
      </c>
      <c r="S78">
        <v>22275.805204559372</v>
      </c>
      <c r="T78">
        <v>7427.8279123713946</v>
      </c>
      <c r="V78">
        <v>21979.266974170627</v>
      </c>
      <c r="W78">
        <v>7605.3956567557689</v>
      </c>
      <c r="Y78">
        <v>21957.692203542738</v>
      </c>
      <c r="Z78">
        <v>7623.3713538591674</v>
      </c>
      <c r="AB78">
        <v>21975.121807197436</v>
      </c>
      <c r="AC78">
        <v>7608.7464107811247</v>
      </c>
      <c r="AE78">
        <v>21973.013513802234</v>
      </c>
      <c r="AF78">
        <v>7610.4632160330411</v>
      </c>
      <c r="AH78">
        <v>21985.970105116739</v>
      </c>
      <c r="AI78">
        <v>7600.031657589333</v>
      </c>
      <c r="AK78">
        <v>18754.868772332011</v>
      </c>
      <c r="AL78">
        <v>8947.3629376145382</v>
      </c>
      <c r="AZ78">
        <v>49986.35684779696</v>
      </c>
      <c r="BA78">
        <v>0.46990877788244079</v>
      </c>
      <c r="BC78">
        <v>49965.721672581109</v>
      </c>
      <c r="BD78">
        <v>2.7709073980977554</v>
      </c>
      <c r="BF78">
        <v>49989.053970969246</v>
      </c>
      <c r="BG78">
        <v>0.16008760142574777</v>
      </c>
      <c r="BI78">
        <v>49961.645128651529</v>
      </c>
      <c r="BJ78">
        <v>3.35027767519292</v>
      </c>
      <c r="BL78">
        <v>49968.228073004801</v>
      </c>
      <c r="BM78">
        <v>3.0365831721329757</v>
      </c>
      <c r="BO78">
        <v>49962.557107427892</v>
      </c>
      <c r="BP78">
        <v>3.3327706788127749</v>
      </c>
      <c r="BR78">
        <v>49963.082443963707</v>
      </c>
      <c r="BS78">
        <v>3.3167067340680685</v>
      </c>
      <c r="BU78">
        <v>49960.486812828894</v>
      </c>
      <c r="BV78">
        <v>3.3428206833985303</v>
      </c>
      <c r="BX78">
        <v>49991.27248670243</v>
      </c>
      <c r="BY78">
        <v>1.1181410042618528E-4</v>
      </c>
    </row>
    <row r="79" spans="13:77" x14ac:dyDescent="0.35">
      <c r="M79">
        <v>22184.046565525663</v>
      </c>
      <c r="N79">
        <v>7542.9668615584787</v>
      </c>
      <c r="P79">
        <v>22014.721271757029</v>
      </c>
      <c r="Q79">
        <v>7596.45302248199</v>
      </c>
      <c r="S79">
        <v>22282.337037300847</v>
      </c>
      <c r="T79">
        <v>7451.8325626941933</v>
      </c>
      <c r="V79">
        <v>21989.733442908779</v>
      </c>
      <c r="W79">
        <v>7604.0453256048258</v>
      </c>
      <c r="Y79">
        <v>21967.309604332324</v>
      </c>
      <c r="Z79">
        <v>7620.0790364768791</v>
      </c>
      <c r="AB79">
        <v>21985.448505514047</v>
      </c>
      <c r="AC79">
        <v>7607.0247144845389</v>
      </c>
      <c r="AE79">
        <v>21983.266309782564</v>
      </c>
      <c r="AF79">
        <v>7608.5523893714917</v>
      </c>
      <c r="AH79">
        <v>21996.650530052037</v>
      </c>
      <c r="AI79">
        <v>7599.2806567903926</v>
      </c>
      <c r="AK79">
        <v>18996.48989463356</v>
      </c>
      <c r="AL79">
        <v>8630.3875178237249</v>
      </c>
      <c r="AZ79">
        <v>49987.852345411477</v>
      </c>
      <c r="BA79">
        <v>0.42061423750270893</v>
      </c>
      <c r="BC79">
        <v>49969.224527609076</v>
      </c>
      <c r="BD79">
        <v>2.4800574847172627</v>
      </c>
      <c r="BF79">
        <v>49990.288572920334</v>
      </c>
      <c r="BG79">
        <v>0.14329535736400972</v>
      </c>
      <c r="BI79">
        <v>49965.524597904419</v>
      </c>
      <c r="BJ79">
        <v>2.9985718680618132</v>
      </c>
      <c r="BL79">
        <v>49971.399790305062</v>
      </c>
      <c r="BM79">
        <v>2.7178693213527296</v>
      </c>
      <c r="BO79">
        <v>49966.334370976874</v>
      </c>
      <c r="BP79">
        <v>2.9829119598303202</v>
      </c>
      <c r="BR79">
        <v>49966.801790364159</v>
      </c>
      <c r="BS79">
        <v>2.9685396335122132</v>
      </c>
      <c r="BU79">
        <v>49964.500849249795</v>
      </c>
      <c r="BV79">
        <v>2.9918859565324234</v>
      </c>
      <c r="BX79">
        <v>49992.277293955696</v>
      </c>
      <c r="BY79">
        <v>1.0008621900811475E-4</v>
      </c>
    </row>
    <row r="80" spans="13:77" x14ac:dyDescent="0.35">
      <c r="M80">
        <v>22177.443477423782</v>
      </c>
      <c r="N80">
        <v>7558.7338200400372</v>
      </c>
      <c r="P80">
        <v>22021.77707707059</v>
      </c>
      <c r="Q80">
        <v>7598.0636088774909</v>
      </c>
      <c r="S80">
        <v>22282.161019725965</v>
      </c>
      <c r="T80">
        <v>7476.1820189389737</v>
      </c>
      <c r="V80">
        <v>21998.890699284955</v>
      </c>
      <c r="W80">
        <v>7603.5559770529144</v>
      </c>
      <c r="Y80">
        <v>21976.201284384319</v>
      </c>
      <c r="Z80">
        <v>7617.6020812629604</v>
      </c>
      <c r="AB80">
        <v>21994.57413842051</v>
      </c>
      <c r="AC80">
        <v>7606.1570360595124</v>
      </c>
      <c r="AE80">
        <v>21992.373526599473</v>
      </c>
      <c r="AF80">
        <v>7607.4918260044506</v>
      </c>
      <c r="AH80">
        <v>22005.848937924238</v>
      </c>
      <c r="AI80">
        <v>7599.4010073671034</v>
      </c>
      <c r="AK80">
        <v>19260.821840701617</v>
      </c>
      <c r="AL80">
        <v>8349.0487005537761</v>
      </c>
      <c r="AZ80">
        <v>49989.183556810109</v>
      </c>
      <c r="BA80">
        <v>0.37649272491627928</v>
      </c>
      <c r="BC80">
        <v>49972.370634092484</v>
      </c>
      <c r="BD80">
        <v>2.2197633517971318</v>
      </c>
      <c r="BF80">
        <v>49991.383721099141</v>
      </c>
      <c r="BG80">
        <v>0.12826505797394785</v>
      </c>
      <c r="BI80">
        <v>49969.013688331659</v>
      </c>
      <c r="BJ80">
        <v>2.6838230453538783</v>
      </c>
      <c r="BL80">
        <v>49974.257348668769</v>
      </c>
      <c r="BM80">
        <v>2.4326334402819874</v>
      </c>
      <c r="BO80">
        <v>49969.732729457486</v>
      </c>
      <c r="BP80">
        <v>2.6698142397171654</v>
      </c>
      <c r="BR80">
        <v>49970.14863035881</v>
      </c>
      <c r="BS80">
        <v>2.6569547082598488</v>
      </c>
      <c r="BU80">
        <v>49968.108887677765</v>
      </c>
      <c r="BV80">
        <v>2.6778296414904075</v>
      </c>
      <c r="BX80">
        <v>49993.166416570479</v>
      </c>
      <c r="BY80">
        <v>8.9588748792659601E-5</v>
      </c>
    </row>
    <row r="81" spans="13:77" x14ac:dyDescent="0.35">
      <c r="M81">
        <v>22168.138541591663</v>
      </c>
      <c r="N81">
        <v>7573.8343489130739</v>
      </c>
      <c r="P81">
        <v>22027.360403512917</v>
      </c>
      <c r="Q81">
        <v>7600.2279686652419</v>
      </c>
      <c r="S81">
        <v>22276.227172712039</v>
      </c>
      <c r="T81">
        <v>7500.3398391384062</v>
      </c>
      <c r="V81">
        <v>22006.740700149367</v>
      </c>
      <c r="W81">
        <v>7603.8124721222721</v>
      </c>
      <c r="Y81">
        <v>21984.290047960123</v>
      </c>
      <c r="Z81">
        <v>7615.8723256471858</v>
      </c>
      <c r="AB81">
        <v>22002.485665137545</v>
      </c>
      <c r="AC81">
        <v>7606.036907829829</v>
      </c>
      <c r="AE81">
        <v>22000.314467672597</v>
      </c>
      <c r="AF81">
        <v>7607.1795122592312</v>
      </c>
      <c r="AH81">
        <v>22013.591409997298</v>
      </c>
      <c r="AI81">
        <v>7600.2637388348085</v>
      </c>
      <c r="AK81">
        <v>19538.793928145147</v>
      </c>
      <c r="AL81">
        <v>8102.2487629406005</v>
      </c>
      <c r="AZ81">
        <v>49990.368568678488</v>
      </c>
      <c r="BA81">
        <v>0.33700098753748059</v>
      </c>
      <c r="BC81">
        <v>49975.196181263374</v>
      </c>
      <c r="BD81">
        <v>1.9868097005796763</v>
      </c>
      <c r="BF81">
        <v>49992.355189142385</v>
      </c>
      <c r="BG81">
        <v>0.11481171859040491</v>
      </c>
      <c r="BI81">
        <v>49972.151439486966</v>
      </c>
      <c r="BJ81">
        <v>2.4021408597887257</v>
      </c>
      <c r="BL81">
        <v>49976.831565519817</v>
      </c>
      <c r="BM81">
        <v>2.1773538681383684</v>
      </c>
      <c r="BO81">
        <v>49972.789932312953</v>
      </c>
      <c r="BP81">
        <v>2.3896081906798834</v>
      </c>
      <c r="BR81">
        <v>49973.160005034399</v>
      </c>
      <c r="BS81">
        <v>2.3781016723659181</v>
      </c>
      <c r="BU81">
        <v>49971.351779060191</v>
      </c>
      <c r="BV81">
        <v>2.3967691503835602</v>
      </c>
      <c r="BX81">
        <v>49993.953173474256</v>
      </c>
      <c r="BY81">
        <v>8.0192539790169791E-5</v>
      </c>
    </row>
    <row r="82" spans="13:77" x14ac:dyDescent="0.35">
      <c r="M82">
        <v>22156.711051747974</v>
      </c>
      <c r="N82">
        <v>7588.0534090388355</v>
      </c>
      <c r="P82">
        <v>22031.569766735753</v>
      </c>
      <c r="Q82">
        <v>7602.8216221577277</v>
      </c>
      <c r="S82">
        <v>22265.471687930847</v>
      </c>
      <c r="T82">
        <v>7523.8446533944252</v>
      </c>
      <c r="V82">
        <v>22013.311805168727</v>
      </c>
      <c r="W82">
        <v>7604.7012624040071</v>
      </c>
      <c r="Y82">
        <v>21991.526337258736</v>
      </c>
      <c r="Z82">
        <v>7614.8163558642082</v>
      </c>
      <c r="AB82">
        <v>22009.196725047455</v>
      </c>
      <c r="AC82">
        <v>7606.5581682823577</v>
      </c>
      <c r="AE82">
        <v>22007.09525348627</v>
      </c>
      <c r="AF82">
        <v>7607.5130830582693</v>
      </c>
      <c r="AH82">
        <v>22019.92996639866</v>
      </c>
      <c r="AI82">
        <v>7601.7435274121626</v>
      </c>
      <c r="AK82">
        <v>19822.829729846988</v>
      </c>
      <c r="AL82">
        <v>7888.3259896614245</v>
      </c>
      <c r="AZ82">
        <v>49991.423472203991</v>
      </c>
      <c r="BA82">
        <v>0.30165290222494306</v>
      </c>
      <c r="BC82">
        <v>49977.733704635139</v>
      </c>
      <c r="BD82">
        <v>1.7783205878921178</v>
      </c>
      <c r="BF82">
        <v>49993.216964212697</v>
      </c>
      <c r="BG82">
        <v>0.10276979868643049</v>
      </c>
      <c r="BI82">
        <v>49974.973016419004</v>
      </c>
      <c r="BJ82">
        <v>2.1500458382491985</v>
      </c>
      <c r="BL82">
        <v>49979.150272172439</v>
      </c>
      <c r="BM82">
        <v>1.9488803855401604</v>
      </c>
      <c r="BO82">
        <v>49975.539999751061</v>
      </c>
      <c r="BP82">
        <v>2.1388330594664411</v>
      </c>
      <c r="BR82">
        <v>49975.869304809654</v>
      </c>
      <c r="BS82">
        <v>2.1285367590852426</v>
      </c>
      <c r="BU82">
        <v>49974.266289935367</v>
      </c>
      <c r="BV82">
        <v>2.1452320566394287</v>
      </c>
      <c r="BX82">
        <v>49994.649350166525</v>
      </c>
      <c r="BY82">
        <v>7.1782011414774235E-5</v>
      </c>
    </row>
    <row r="83" spans="13:77" x14ac:dyDescent="0.35">
      <c r="M83">
        <v>22143.702075953028</v>
      </c>
      <c r="N83">
        <v>7601.2238193511585</v>
      </c>
      <c r="P83">
        <v>22034.517600210555</v>
      </c>
      <c r="Q83">
        <v>7605.7292956488</v>
      </c>
      <c r="S83">
        <v>22250.79987468139</v>
      </c>
      <c r="T83">
        <v>7546.3097495724969</v>
      </c>
      <c r="V83">
        <v>22018.654411820826</v>
      </c>
      <c r="W83">
        <v>7606.1124114842432</v>
      </c>
      <c r="Y83">
        <v>21997.885231170876</v>
      </c>
      <c r="Z83">
        <v>7614.3577419843268</v>
      </c>
      <c r="AB83">
        <v>22014.743523602137</v>
      </c>
      <c r="AC83">
        <v>7607.6170254782519</v>
      </c>
      <c r="AE83">
        <v>22012.74483640532</v>
      </c>
      <c r="AF83">
        <v>7608.391906725823</v>
      </c>
      <c r="AH83">
        <v>22024.937800726413</v>
      </c>
      <c r="AI83">
        <v>7603.7206502843846</v>
      </c>
      <c r="AK83">
        <v>20106.628483738034</v>
      </c>
      <c r="AL83">
        <v>7705.2893817288868</v>
      </c>
      <c r="AZ83">
        <v>49992.362583704802</v>
      </c>
      <c r="BA83">
        <v>0.27001345138282118</v>
      </c>
      <c r="BC83">
        <v>49980.012452753006</v>
      </c>
      <c r="BD83">
        <v>1.5917234101702364</v>
      </c>
      <c r="BF83">
        <v>49993.981449575323</v>
      </c>
      <c r="BG83">
        <v>9.1991153362449868E-2</v>
      </c>
      <c r="BI83">
        <v>49977.510090533309</v>
      </c>
      <c r="BJ83">
        <v>1.9244257259615618</v>
      </c>
      <c r="BL83">
        <v>49981.238598561475</v>
      </c>
      <c r="BM83">
        <v>1.7443948475680928</v>
      </c>
      <c r="BO83">
        <v>49978.013587228124</v>
      </c>
      <c r="BP83">
        <v>1.9143932721851316</v>
      </c>
      <c r="BR83">
        <v>49978.306625190031</v>
      </c>
      <c r="BS83">
        <v>1.9051795530582811</v>
      </c>
      <c r="BU83">
        <v>49976.885507598527</v>
      </c>
      <c r="BV83">
        <v>1.920112492747009</v>
      </c>
      <c r="BX83">
        <v>49995.26537526484</v>
      </c>
      <c r="BY83">
        <v>6.4253724047195825E-5</v>
      </c>
    </row>
    <row r="84" spans="13:77" x14ac:dyDescent="0.35">
      <c r="M84">
        <v>22129.608503814925</v>
      </c>
      <c r="N84">
        <v>7613.223288800983</v>
      </c>
      <c r="P84">
        <v>22036.325982366579</v>
      </c>
      <c r="Q84">
        <v>7608.8459114153702</v>
      </c>
      <c r="S84">
        <v>22233.071734447713</v>
      </c>
      <c r="T84">
        <v>7567.4213890442188</v>
      </c>
      <c r="V84">
        <v>22022.836772789909</v>
      </c>
      <c r="W84">
        <v>7607.9412623742692</v>
      </c>
      <c r="Y84">
        <v>22003.363386908612</v>
      </c>
      <c r="Z84">
        <v>7614.4190067143227</v>
      </c>
      <c r="AB84">
        <v>22019.180856160801</v>
      </c>
      <c r="AC84">
        <v>7609.1137823827394</v>
      </c>
      <c r="AE84">
        <v>22017.311130582173</v>
      </c>
      <c r="AF84">
        <v>7609.7188399201723</v>
      </c>
      <c r="AH84">
        <v>22028.704767908195</v>
      </c>
      <c r="AI84">
        <v>7606.0825606134367</v>
      </c>
      <c r="AK84">
        <v>20384.985073490196</v>
      </c>
      <c r="AL84">
        <v>7550.9788611733311</v>
      </c>
      <c r="AZ84">
        <v>49993.198640815281</v>
      </c>
      <c r="BA84">
        <v>0.2416933375018846</v>
      </c>
      <c r="BC84">
        <v>49982.058717399254</v>
      </c>
      <c r="BD84">
        <v>1.424716748628361</v>
      </c>
      <c r="BF84">
        <v>49994.659644177751</v>
      </c>
      <c r="BG84">
        <v>8.2343201619948805E-2</v>
      </c>
      <c r="BI84">
        <v>49979.791183479385</v>
      </c>
      <c r="BJ84">
        <v>1.7224965197646602</v>
      </c>
      <c r="BL84">
        <v>49983.119231411802</v>
      </c>
      <c r="BM84">
        <v>1.5613760254618223</v>
      </c>
      <c r="BO84">
        <v>49980.238314806302</v>
      </c>
      <c r="BP84">
        <v>1.7135196968952287</v>
      </c>
      <c r="BR84">
        <v>49980.499088367062</v>
      </c>
      <c r="BS84">
        <v>1.7052744540304798</v>
      </c>
      <c r="BU84">
        <v>49979.239205481448</v>
      </c>
      <c r="BV84">
        <v>1.7186322359278401</v>
      </c>
      <c r="BX84">
        <v>49995.810476724851</v>
      </c>
      <c r="BY84">
        <v>5.7515101536694106E-5</v>
      </c>
    </row>
    <row r="85" spans="13:77" x14ac:dyDescent="0.35">
      <c r="M85">
        <v>22114.878821702627</v>
      </c>
      <c r="N85">
        <v>7623.9708978786166</v>
      </c>
      <c r="P85">
        <v>22037.122770211216</v>
      </c>
      <c r="Q85">
        <v>7612.0772447228792</v>
      </c>
      <c r="S85">
        <v>22213.090218949372</v>
      </c>
      <c r="T85">
        <v>7586.9359264018794</v>
      </c>
      <c r="V85">
        <v>22025.941049926911</v>
      </c>
      <c r="W85">
        <v>7610.0897697397922</v>
      </c>
      <c r="Y85">
        <v>22007.975990925264</v>
      </c>
      <c r="Z85">
        <v>7614.9233304957716</v>
      </c>
      <c r="AB85">
        <v>22022.578326078361</v>
      </c>
      <c r="AC85">
        <v>7610.9542400808014</v>
      </c>
      <c r="AE85">
        <v>22020.85731441178</v>
      </c>
      <c r="AF85">
        <v>7611.4016671734116</v>
      </c>
      <c r="AH85">
        <v>22031.333176205728</v>
      </c>
      <c r="AI85">
        <v>7608.725106421738</v>
      </c>
      <c r="AK85">
        <v>20653.642318463768</v>
      </c>
      <c r="AL85">
        <v>7423.1710517181236</v>
      </c>
      <c r="AZ85">
        <v>49993.942976941013</v>
      </c>
      <c r="BA85">
        <v>0.21634416781438148</v>
      </c>
      <c r="BC85">
        <v>49983.896130859961</v>
      </c>
      <c r="BD85">
        <v>1.2752416541320322</v>
      </c>
      <c r="BF85">
        <v>49995.26130184556</v>
      </c>
      <c r="BG85">
        <v>7.3707288279775629E-2</v>
      </c>
      <c r="BI85">
        <v>49981.841977592136</v>
      </c>
      <c r="BJ85">
        <v>1.5417676770935389</v>
      </c>
      <c r="BL85">
        <v>49984.812648247389</v>
      </c>
      <c r="BM85">
        <v>1.3975682000948921</v>
      </c>
      <c r="BO85">
        <v>49982.239064704816</v>
      </c>
      <c r="BP85">
        <v>1.5337350546952147</v>
      </c>
      <c r="BR85">
        <v>49982.471133874569</v>
      </c>
      <c r="BS85">
        <v>1.5263562660680989</v>
      </c>
      <c r="BU85">
        <v>49981.354172599618</v>
      </c>
      <c r="BV85">
        <v>1.5383059675434676</v>
      </c>
      <c r="BX85">
        <v>49996.292820074406</v>
      </c>
      <c r="BY85">
        <v>5.1483288574850784E-5</v>
      </c>
    </row>
    <row r="86" spans="13:77" x14ac:dyDescent="0.35">
      <c r="M86">
        <v>22099.910494675412</v>
      </c>
      <c r="N86">
        <v>7633.4231588117254</v>
      </c>
      <c r="P86">
        <v>22037.038159929183</v>
      </c>
      <c r="Q86">
        <v>7615.3402790238315</v>
      </c>
      <c r="S86">
        <v>22191.59215612054</v>
      </c>
      <c r="T86">
        <v>7604.6758523481722</v>
      </c>
      <c r="V86">
        <v>22028.059647959588</v>
      </c>
      <c r="W86">
        <v>7612.4675182388291</v>
      </c>
      <c r="Y86">
        <v>22011.753776322683</v>
      </c>
      <c r="Z86">
        <v>7615.795999232063</v>
      </c>
      <c r="AB86">
        <v>22025.016802743503</v>
      </c>
      <c r="AC86">
        <v>7613.0507975364653</v>
      </c>
      <c r="AE86">
        <v>22023.458352545644</v>
      </c>
      <c r="AF86">
        <v>7613.354242313374</v>
      </c>
      <c r="AH86">
        <v>22032.933922673878</v>
      </c>
      <c r="AI86">
        <v>7611.5534187731</v>
      </c>
      <c r="AK86">
        <v>20909.169648724113</v>
      </c>
      <c r="AL86">
        <v>7319.64628125134</v>
      </c>
      <c r="AZ86">
        <v>49994.605676395346</v>
      </c>
      <c r="BA86">
        <v>0.19365414818241763</v>
      </c>
      <c r="BC86">
        <v>49985.545933508765</v>
      </c>
      <c r="BD86">
        <v>1.1414559977689573</v>
      </c>
      <c r="BF86">
        <v>49995.795072410729</v>
      </c>
      <c r="BG86">
        <v>6.5977218915804881E-2</v>
      </c>
      <c r="BI86">
        <v>49983.685596088064</v>
      </c>
      <c r="BJ86">
        <v>1.3800110453538208</v>
      </c>
      <c r="BL86">
        <v>49986.337329433998</v>
      </c>
      <c r="BM86">
        <v>1.250953101267978</v>
      </c>
      <c r="BO86">
        <v>49984.038250060359</v>
      </c>
      <c r="BP86">
        <v>1.3728230274877129</v>
      </c>
      <c r="BR86">
        <v>49984.244781221088</v>
      </c>
      <c r="BS86">
        <v>1.3662194632485882</v>
      </c>
      <c r="BU86">
        <v>49983.254510554951</v>
      </c>
      <c r="BV86">
        <v>1.3769102503832535</v>
      </c>
      <c r="BX86">
        <v>49996.719630732543</v>
      </c>
      <c r="BY86">
        <v>4.6084128608623745E-5</v>
      </c>
    </row>
    <row r="87" spans="13:77" x14ac:dyDescent="0.35">
      <c r="M87">
        <v>22085.04880777725</v>
      </c>
      <c r="N87">
        <v>7641.5697857703653</v>
      </c>
      <c r="P87">
        <v>22036.201684462598</v>
      </c>
      <c r="Q87">
        <v>7618.5632918849815</v>
      </c>
      <c r="S87">
        <v>22169.241759386001</v>
      </c>
      <c r="T87">
        <v>7620.5249163240596</v>
      </c>
      <c r="V87">
        <v>22029.291860676549</v>
      </c>
      <c r="W87">
        <v>7614.9924504249593</v>
      </c>
      <c r="Y87">
        <v>22014.740155041181</v>
      </c>
      <c r="Z87">
        <v>7616.965604200368</v>
      </c>
      <c r="AB87">
        <v>22026.585155129414</v>
      </c>
      <c r="AC87">
        <v>7615.3232688444596</v>
      </c>
      <c r="AE87">
        <v>22025.197774499928</v>
      </c>
      <c r="AF87">
        <v>7615.4973514173944</v>
      </c>
      <c r="AH87">
        <v>22033.623000361644</v>
      </c>
      <c r="AI87">
        <v>7614.4824966483484</v>
      </c>
      <c r="AK87">
        <v>21148.862919795039</v>
      </c>
      <c r="AL87">
        <v>7238.2286824302673</v>
      </c>
      <c r="AZ87">
        <v>49995.19571236091</v>
      </c>
      <c r="BA87">
        <v>0.17334423194727797</v>
      </c>
      <c r="BC87">
        <v>49987.027214645532</v>
      </c>
      <c r="BD87">
        <v>1.0217115549420337</v>
      </c>
      <c r="BF87">
        <v>49996.268626825127</v>
      </c>
      <c r="BG87">
        <v>5.905794940468858E-2</v>
      </c>
      <c r="BI87">
        <v>49985.342855917581</v>
      </c>
      <c r="BJ87">
        <v>1.2352331075059413</v>
      </c>
      <c r="BL87">
        <v>49987.709950259465</v>
      </c>
      <c r="BM87">
        <v>1.1197248318448674</v>
      </c>
      <c r="BO87">
        <v>49985.656057633845</v>
      </c>
      <c r="BP87">
        <v>1.2288006612426827</v>
      </c>
      <c r="BR87">
        <v>49985.839867150142</v>
      </c>
      <c r="BS87">
        <v>1.2228907330739673</v>
      </c>
      <c r="BU87">
        <v>49984.961901249524</v>
      </c>
      <c r="BV87">
        <v>1.2324558193309167</v>
      </c>
      <c r="BX87">
        <v>49997.097302245689</v>
      </c>
      <c r="BY87">
        <v>4.1251249502516807E-5</v>
      </c>
    </row>
    <row r="88" spans="13:77" x14ac:dyDescent="0.35">
      <c r="M88">
        <v>22070.587000283922</v>
      </c>
      <c r="N88">
        <v>7648.4293033268495</v>
      </c>
      <c r="P88">
        <v>22034.739648468654</v>
      </c>
      <c r="Q88">
        <v>7621.68570504947</v>
      </c>
      <c r="S88">
        <v>22146.626573159127</v>
      </c>
      <c r="T88">
        <v>7634.4225125373769</v>
      </c>
      <c r="V88">
        <v>22029.740852438208</v>
      </c>
      <c r="W88">
        <v>7617.5913294369429</v>
      </c>
      <c r="Y88">
        <v>22016.98850457972</v>
      </c>
      <c r="Z88">
        <v>7618.3650064263593</v>
      </c>
      <c r="AB88">
        <v>22027.377286831492</v>
      </c>
      <c r="AC88">
        <v>7617.6994408184419</v>
      </c>
      <c r="AE88">
        <v>22026.164737441271</v>
      </c>
      <c r="AF88">
        <v>7617.7593189189101</v>
      </c>
      <c r="AH88">
        <v>22033.518395179311</v>
      </c>
      <c r="AI88">
        <v>7617.4375175144351</v>
      </c>
      <c r="AK88">
        <v>21370.66087404425</v>
      </c>
      <c r="AL88">
        <v>7176.8082365787413</v>
      </c>
      <c r="AZ88">
        <v>49995.721069581363</v>
      </c>
      <c r="BA88">
        <v>0.15516467533626441</v>
      </c>
      <c r="BC88">
        <v>49988.357129240452</v>
      </c>
      <c r="BD88">
        <v>0.91453352773860019</v>
      </c>
      <c r="BF88">
        <v>49996.688768078428</v>
      </c>
      <c r="BG88">
        <v>5.2864413674770065E-2</v>
      </c>
      <c r="BI88">
        <v>49986.832495902454</v>
      </c>
      <c r="BJ88">
        <v>1.105650184797301</v>
      </c>
      <c r="BL88">
        <v>49988.945554880411</v>
      </c>
      <c r="BM88">
        <v>1.0022674555589275</v>
      </c>
      <c r="BO88">
        <v>49987.110666946821</v>
      </c>
      <c r="BP88">
        <v>1.0998937082788445</v>
      </c>
      <c r="BR88">
        <v>49987.274259935868</v>
      </c>
      <c r="BS88">
        <v>1.0946044432370126</v>
      </c>
      <c r="BU88">
        <v>49986.495848164341</v>
      </c>
      <c r="BV88">
        <v>1.1031628261836883</v>
      </c>
      <c r="BX88">
        <v>49997.431492062446</v>
      </c>
      <c r="BY88">
        <v>3.6925245532172728E-5</v>
      </c>
    </row>
    <row r="89" spans="13:77" x14ac:dyDescent="0.35">
      <c r="M89">
        <v>22056.767514596238</v>
      </c>
      <c r="N89">
        <v>7654.0446136358432</v>
      </c>
      <c r="P89">
        <v>22032.772992452337</v>
      </c>
      <c r="Q89">
        <v>7624.6577323813317</v>
      </c>
      <c r="S89">
        <v>22124.255654966637</v>
      </c>
      <c r="T89">
        <v>7646.3575287853855</v>
      </c>
      <c r="V89">
        <v>22029.510988672842</v>
      </c>
      <c r="W89">
        <v>7620.1999630482323</v>
      </c>
      <c r="Y89">
        <v>22018.559640847776</v>
      </c>
      <c r="Z89">
        <v>7619.9320800652185</v>
      </c>
      <c r="AB89">
        <v>22027.489489599815</v>
      </c>
      <c r="AC89">
        <v>7620.1153952463956</v>
      </c>
      <c r="AE89">
        <v>22026.451391877861</v>
      </c>
      <c r="AF89">
        <v>7620.076380049537</v>
      </c>
      <c r="AH89">
        <v>22032.737380757961</v>
      </c>
      <c r="AI89">
        <v>7620.353903760245</v>
      </c>
      <c r="AK89">
        <v>21573.074465272919</v>
      </c>
      <c r="AL89">
        <v>7133.3512482072265</v>
      </c>
      <c r="AZ89">
        <v>49996.188853476924</v>
      </c>
      <c r="BA89">
        <v>0.13889195624100342</v>
      </c>
      <c r="BC89">
        <v>49989.55109297439</v>
      </c>
      <c r="BD89">
        <v>0.81860224297662765</v>
      </c>
      <c r="BF89">
        <v>49997.061529532904</v>
      </c>
      <c r="BG89">
        <v>4.7320475000770683E-2</v>
      </c>
      <c r="BI89">
        <v>49988.171382539877</v>
      </c>
      <c r="BJ89">
        <v>0.98966627743578317</v>
      </c>
      <c r="BL89">
        <v>49990.057713803493</v>
      </c>
      <c r="BM89">
        <v>0.89713496257218084</v>
      </c>
      <c r="BO89">
        <v>49988.418448099896</v>
      </c>
      <c r="BP89">
        <v>0.98451459158394483</v>
      </c>
      <c r="BR89">
        <v>49988.564052898852</v>
      </c>
      <c r="BS89">
        <v>0.9797807165996133</v>
      </c>
      <c r="BU89">
        <v>49987.873893783479</v>
      </c>
      <c r="BV89">
        <v>0.98743871936756888</v>
      </c>
      <c r="BX89">
        <v>49997.727206281641</v>
      </c>
      <c r="BY89">
        <v>3.3052945513730646E-5</v>
      </c>
    </row>
    <row r="90" spans="13:77" x14ac:dyDescent="0.35">
      <c r="M90">
        <v>22043.784176459558</v>
      </c>
      <c r="N90">
        <v>7658.4786311994458</v>
      </c>
      <c r="P90">
        <v>22030.415570373119</v>
      </c>
      <c r="Q90">
        <v>7627.4398592218577</v>
      </c>
      <c r="S90">
        <v>22102.559754123708</v>
      </c>
      <c r="T90">
        <v>7656.36186184691</v>
      </c>
      <c r="V90">
        <v>22028.705520585816</v>
      </c>
      <c r="W90">
        <v>7622.7632165604073</v>
      </c>
      <c r="Y90">
        <v>22019.519501060062</v>
      </c>
      <c r="Z90">
        <v>7621.6102511704939</v>
      </c>
      <c r="AB90">
        <v>22027.018124109443</v>
      </c>
      <c r="AC90">
        <v>7622.5156212019201</v>
      </c>
      <c r="AE90">
        <v>22026.150560797687</v>
      </c>
      <c r="AF90">
        <v>7622.3928439376459</v>
      </c>
      <c r="AH90">
        <v>22031.394210900515</v>
      </c>
      <c r="AI90">
        <v>7623.1771758720206</v>
      </c>
      <c r="AK90">
        <v>21755.125892731197</v>
      </c>
      <c r="AL90">
        <v>7105.9039384042526</v>
      </c>
      <c r="AZ90">
        <v>49996.605387188967</v>
      </c>
      <c r="BA90">
        <v>0.1243260178225525</v>
      </c>
      <c r="BC90">
        <v>49990.622957731779</v>
      </c>
      <c r="BD90">
        <v>0.73273679222114818</v>
      </c>
      <c r="BF90">
        <v>49997.392262104149</v>
      </c>
      <c r="BG90">
        <v>4.2357987760788113E-2</v>
      </c>
      <c r="BI90">
        <v>49989.374695629791</v>
      </c>
      <c r="BJ90">
        <v>0.88585325924540148</v>
      </c>
      <c r="BL90">
        <v>49991.058666421675</v>
      </c>
      <c r="BM90">
        <v>0.8030333581235487</v>
      </c>
      <c r="BO90">
        <v>49989.59414031505</v>
      </c>
      <c r="BP90">
        <v>0.8812427091415107</v>
      </c>
      <c r="BR90">
        <v>49989.723739124143</v>
      </c>
      <c r="BS90">
        <v>0.87700583395715537</v>
      </c>
      <c r="BU90">
        <v>49989.111815496195</v>
      </c>
      <c r="BV90">
        <v>0.88385847462131251</v>
      </c>
      <c r="BX90">
        <v>49997.988874643241</v>
      </c>
      <c r="BY90">
        <v>2.9586757962025173E-5</v>
      </c>
    </row>
    <row r="91" spans="13:77" x14ac:dyDescent="0.35">
      <c r="M91">
        <v>22031.785124419148</v>
      </c>
      <c r="N91">
        <v>7661.8100796868666</v>
      </c>
      <c r="P91">
        <v>22027.772818693062</v>
      </c>
      <c r="Q91">
        <v>7630.0021859083554</v>
      </c>
      <c r="S91">
        <v>22081.893219386191</v>
      </c>
      <c r="T91">
        <v>7664.503797210521</v>
      </c>
      <c r="V91">
        <v>22027.424621727085</v>
      </c>
      <c r="W91">
        <v>7625.2348424703696</v>
      </c>
      <c r="Y91">
        <v>22019.937053407662</v>
      </c>
      <c r="Z91">
        <v>7623.3488496585078</v>
      </c>
      <c r="AB91">
        <v>22026.057629224983</v>
      </c>
      <c r="AC91">
        <v>7624.8529434135871</v>
      </c>
      <c r="AE91">
        <v>22025.353735354187</v>
      </c>
      <c r="AF91">
        <v>7624.6610723866297</v>
      </c>
      <c r="AH91">
        <v>22029.598201461165</v>
      </c>
      <c r="AI91">
        <v>7625.8626234140593</v>
      </c>
      <c r="AK91">
        <v>21916.294740122747</v>
      </c>
      <c r="AL91">
        <v>7092.592484643742</v>
      </c>
      <c r="AZ91">
        <v>49996.976297891786</v>
      </c>
      <c r="BA91">
        <v>0.11128780253030619</v>
      </c>
      <c r="BC91">
        <v>49991.585169490187</v>
      </c>
      <c r="BD91">
        <v>0.65588040566132588</v>
      </c>
      <c r="BF91">
        <v>49997.685711554303</v>
      </c>
      <c r="BG91">
        <v>3.7915957970562582E-2</v>
      </c>
      <c r="BI91">
        <v>49990.456095677575</v>
      </c>
      <c r="BJ91">
        <v>0.79293317355073989</v>
      </c>
      <c r="BL91">
        <v>49991.959449990616</v>
      </c>
      <c r="BM91">
        <v>0.71880464733497262</v>
      </c>
      <c r="BO91">
        <v>49990.651013052375</v>
      </c>
      <c r="BP91">
        <v>0.7888068271825055</v>
      </c>
      <c r="BR91">
        <v>49990.766369178811</v>
      </c>
      <c r="BS91">
        <v>0.7850147149134713</v>
      </c>
      <c r="BU91">
        <v>49990.223802084751</v>
      </c>
      <c r="BV91">
        <v>0.79114692398474795</v>
      </c>
      <c r="BX91">
        <v>49998.220416885386</v>
      </c>
      <c r="BY91">
        <v>2.6484085141194004E-5</v>
      </c>
    </row>
    <row r="92" spans="13:77" x14ac:dyDescent="0.35">
      <c r="M92">
        <v>22020.876313005694</v>
      </c>
      <c r="N92">
        <v>7664.1295291469842</v>
      </c>
      <c r="P92">
        <v>22024.940789701712</v>
      </c>
      <c r="Q92">
        <v>7632.3236668909967</v>
      </c>
      <c r="S92">
        <v>22062.537353391996</v>
      </c>
      <c r="T92">
        <v>7670.8814361453888</v>
      </c>
      <c r="V92">
        <v>22025.763767394128</v>
      </c>
      <c r="W92">
        <v>7627.5771548125267</v>
      </c>
      <c r="Y92">
        <v>22019.882443630147</v>
      </c>
      <c r="Z92">
        <v>7625.103293300348</v>
      </c>
      <c r="AB92">
        <v>22024.698854372062</v>
      </c>
      <c r="AC92">
        <v>7627.0882928561095</v>
      </c>
      <c r="AE92">
        <v>22024.149383565229</v>
      </c>
      <c r="AF92">
        <v>7626.8412996162297</v>
      </c>
      <c r="AH92">
        <v>22027.45218676536</v>
      </c>
      <c r="AI92">
        <v>7628.3748245540974</v>
      </c>
      <c r="AK92">
        <v>22056.469098641057</v>
      </c>
      <c r="AL92">
        <v>7091.6218055378222</v>
      </c>
      <c r="AZ92">
        <v>49997.306593561014</v>
      </c>
      <c r="BA92">
        <v>9.9617045801814186E-2</v>
      </c>
      <c r="BC92">
        <v>49992.448910359366</v>
      </c>
      <c r="BD92">
        <v>0.58708737443785042</v>
      </c>
      <c r="BF92">
        <v>49997.946087020529</v>
      </c>
      <c r="BG92">
        <v>3.3939792156281359E-2</v>
      </c>
      <c r="BI92">
        <v>49991.427874838875</v>
      </c>
      <c r="BJ92">
        <v>0.70976240519225042</v>
      </c>
      <c r="BL92">
        <v>49992.770016306255</v>
      </c>
      <c r="BM92">
        <v>0.64341251387038645</v>
      </c>
      <c r="BO92">
        <v>49991.601011377723</v>
      </c>
      <c r="BP92">
        <v>0.70606933871823274</v>
      </c>
      <c r="BR92">
        <v>49991.703693458127</v>
      </c>
      <c r="BS92">
        <v>0.70267525445614354</v>
      </c>
      <c r="BU92">
        <v>49991.22261270231</v>
      </c>
      <c r="BV92">
        <v>0.70816295812086194</v>
      </c>
      <c r="BX92">
        <v>49998.425301461655</v>
      </c>
      <c r="BY92">
        <v>2.3706798736752692E-5</v>
      </c>
    </row>
    <row r="93" spans="13:77" x14ac:dyDescent="0.35">
      <c r="M93">
        <v>22011.125425057115</v>
      </c>
      <c r="N93">
        <v>7665.5357350886779</v>
      </c>
      <c r="P93">
        <v>22022.005518018392</v>
      </c>
      <c r="Q93">
        <v>7634.3912750818554</v>
      </c>
      <c r="S93">
        <v>22044.704929018011</v>
      </c>
      <c r="T93">
        <v>7675.6163316657257</v>
      </c>
      <c r="V93">
        <v>22023.812442142567</v>
      </c>
      <c r="W93">
        <v>7629.7605755811664</v>
      </c>
      <c r="Y93">
        <v>22019.425382622936</v>
      </c>
      <c r="Z93">
        <v>7626.8351232054783</v>
      </c>
      <c r="AB93">
        <v>22023.027703876327</v>
      </c>
      <c r="AC93">
        <v>7629.1903454423327</v>
      </c>
      <c r="AE93">
        <v>22022.621562713372</v>
      </c>
      <c r="AF93">
        <v>7628.901318073712</v>
      </c>
      <c r="AH93">
        <v>22025.051330042672</v>
      </c>
      <c r="AI93">
        <v>7630.6870440380235</v>
      </c>
      <c r="AK93">
        <v>22175.899988006753</v>
      </c>
      <c r="AL93">
        <v>7101.2746055546422</v>
      </c>
      <c r="AZ93">
        <v>49997.600731256047</v>
      </c>
      <c r="BA93">
        <v>8.9170301990260131E-2</v>
      </c>
      <c r="BC93">
        <v>49993.224226349761</v>
      </c>
      <c r="BD93">
        <v>0.5255113561575363</v>
      </c>
      <c r="BF93">
        <v>49998.177121773631</v>
      </c>
      <c r="BG93">
        <v>3.0380625238480525E-2</v>
      </c>
      <c r="BI93">
        <v>49992.301093004899</v>
      </c>
      <c r="BJ93">
        <v>0.63531752810583797</v>
      </c>
      <c r="BL93">
        <v>49993.499337231275</v>
      </c>
      <c r="BM93">
        <v>0.57592951202658837</v>
      </c>
      <c r="BO93">
        <v>49992.454887099659</v>
      </c>
      <c r="BP93">
        <v>0.63201218805615089</v>
      </c>
      <c r="BR93">
        <v>49992.546290636739</v>
      </c>
      <c r="BS93">
        <v>0.6289743170178046</v>
      </c>
      <c r="BU93">
        <v>49992.11972006104</v>
      </c>
      <c r="BV93">
        <v>0.6338854015567531</v>
      </c>
      <c r="BX93">
        <v>49998.606597498117</v>
      </c>
      <c r="BY93">
        <v>2.1220770650372097E-5</v>
      </c>
    </row>
    <row r="94" spans="13:77" x14ac:dyDescent="0.35">
      <c r="M94">
        <v>22002.566042744987</v>
      </c>
      <c r="N94">
        <v>7666.1323241929267</v>
      </c>
      <c r="P94">
        <v>22019.042686399567</v>
      </c>
      <c r="Q94">
        <v>7636.1991188508182</v>
      </c>
      <c r="S94">
        <v>22028.545590455611</v>
      </c>
      <c r="T94">
        <v>7678.8474689993782</v>
      </c>
      <c r="V94">
        <v>22021.653155959109</v>
      </c>
      <c r="W94">
        <v>7631.7630796985841</v>
      </c>
      <c r="Y94">
        <v>22018.633773883637</v>
      </c>
      <c r="Z94">
        <v>7628.511910513399</v>
      </c>
      <c r="AB94">
        <v>22021.124077298166</v>
      </c>
      <c r="AC94">
        <v>7631.1350539840814</v>
      </c>
      <c r="AE94">
        <v>22020.84882124369</v>
      </c>
      <c r="AF94">
        <v>7630.8160548267606</v>
      </c>
      <c r="AH94">
        <v>22022.482262807043</v>
      </c>
      <c r="AI94">
        <v>7632.7805382073057</v>
      </c>
      <c r="AK94">
        <v>22275.15779006005</v>
      </c>
      <c r="AL94">
        <v>7119.9115916746205</v>
      </c>
      <c r="AZ94">
        <v>49997.862677856494</v>
      </c>
      <c r="BA94">
        <v>7.9819177990478996E-2</v>
      </c>
      <c r="BC94">
        <v>49993.920142294242</v>
      </c>
      <c r="BD94">
        <v>0.47039491622842888</v>
      </c>
      <c r="BF94">
        <v>49998.382127088873</v>
      </c>
      <c r="BG94">
        <v>2.7194719090920867E-2</v>
      </c>
      <c r="BI94">
        <v>49993.085700473843</v>
      </c>
      <c r="BJ94">
        <v>0.56868264967863935</v>
      </c>
      <c r="BL94">
        <v>49994.155500114139</v>
      </c>
      <c r="BM94">
        <v>0.51552561129523511</v>
      </c>
      <c r="BO94">
        <v>49993.222317050371</v>
      </c>
      <c r="BP94">
        <v>0.56572428361908023</v>
      </c>
      <c r="BR94">
        <v>49993.303683562168</v>
      </c>
      <c r="BS94">
        <v>0.5630052112981877</v>
      </c>
      <c r="BU94">
        <v>49992.925439383675</v>
      </c>
      <c r="BV94">
        <v>0.56740038222089995</v>
      </c>
      <c r="BX94">
        <v>49998.767020768479</v>
      </c>
      <c r="BY94">
        <v>1.899545310777347E-5</v>
      </c>
    </row>
    <row r="95" spans="13:77" x14ac:dyDescent="0.35">
      <c r="M95">
        <v>21995.201943239903</v>
      </c>
      <c r="N95">
        <v>7666.0248555862499</v>
      </c>
      <c r="P95">
        <v>22016.117555302237</v>
      </c>
      <c r="Q95">
        <v>7637.7475365286018</v>
      </c>
      <c r="S95">
        <v>22014.151877907665</v>
      </c>
      <c r="T95">
        <v>7680.7256978948481</v>
      </c>
      <c r="V95">
        <v>22019.360745920538</v>
      </c>
      <c r="W95">
        <v>7633.5695636514174</v>
      </c>
      <c r="Y95">
        <v>22017.572574959358</v>
      </c>
      <c r="Z95">
        <v>7630.1070539010252</v>
      </c>
      <c r="AB95">
        <v>22019.061085884725</v>
      </c>
      <c r="AC95">
        <v>7632.9050974867578</v>
      </c>
      <c r="AE95">
        <v>22018.90337195943</v>
      </c>
      <c r="AF95">
        <v>7632.5670620680539</v>
      </c>
      <c r="AH95">
        <v>22019.822524670824</v>
      </c>
      <c r="AI95">
        <v>7634.6437939159396</v>
      </c>
      <c r="AK95">
        <v>22355.089784196989</v>
      </c>
      <c r="AL95">
        <v>7145.9733053020263</v>
      </c>
      <c r="AZ95">
        <v>49998.095964088323</v>
      </c>
      <c r="BA95">
        <v>7.1448752642655461E-2</v>
      </c>
      <c r="BC95">
        <v>49994.544765206258</v>
      </c>
      <c r="BD95">
        <v>0.42106017355742481</v>
      </c>
      <c r="BF95">
        <v>49998.564040010671</v>
      </c>
      <c r="BG95">
        <v>2.4342924322951928E-2</v>
      </c>
      <c r="BI95">
        <v>49993.790648515707</v>
      </c>
      <c r="BJ95">
        <v>0.5090380924422836</v>
      </c>
      <c r="BL95">
        <v>49994.745794049704</v>
      </c>
      <c r="BM95">
        <v>0.46145794975044996</v>
      </c>
      <c r="BO95">
        <v>49993.912009754829</v>
      </c>
      <c r="BP95">
        <v>0.50639024060020355</v>
      </c>
      <c r="BR95">
        <v>49993.98444380171</v>
      </c>
      <c r="BS95">
        <v>0.50395648822074079</v>
      </c>
      <c r="BU95">
        <v>49993.649044520986</v>
      </c>
      <c r="BV95">
        <v>0.5078900360097085</v>
      </c>
      <c r="BX95">
        <v>49998.908974376063</v>
      </c>
      <c r="BY95">
        <v>1.7003502885463082E-5</v>
      </c>
    </row>
    <row r="96" spans="13:77" x14ac:dyDescent="0.35">
      <c r="M96">
        <v>21989.011402560605</v>
      </c>
      <c r="N96">
        <v>7665.3182721921385</v>
      </c>
      <c r="P96">
        <v>22013.285119983724</v>
      </c>
      <c r="Q96">
        <v>7639.0421904785862</v>
      </c>
      <c r="S96">
        <v>22001.565637244068</v>
      </c>
      <c r="T96">
        <v>7681.408695409561</v>
      </c>
      <c r="V96">
        <v>22017.001937393041</v>
      </c>
      <c r="W96">
        <v>7635.1711612244744</v>
      </c>
      <c r="Y96">
        <v>22016.302883118977</v>
      </c>
      <c r="Z96">
        <v>7631.5994870687837</v>
      </c>
      <c r="AB96">
        <v>22016.904522263547</v>
      </c>
      <c r="AC96">
        <v>7634.4892703939522</v>
      </c>
      <c r="AE96">
        <v>22016.850515202954</v>
      </c>
      <c r="AF96">
        <v>7634.1419439360598</v>
      </c>
      <c r="AH96">
        <v>22017.140272680077</v>
      </c>
      <c r="AI96">
        <v>7636.2717261080388</v>
      </c>
      <c r="AK96">
        <v>22416.778224952697</v>
      </c>
      <c r="AL96">
        <v>7177.9836480400618</v>
      </c>
      <c r="AZ96">
        <v>49998.303732582586</v>
      </c>
      <c r="BA96">
        <v>6.3956162320251878E-2</v>
      </c>
      <c r="BC96">
        <v>49995.105377230328</v>
      </c>
      <c r="BD96">
        <v>0.37690043330361944</v>
      </c>
      <c r="BF96">
        <v>49998.725465704141</v>
      </c>
      <c r="BG96">
        <v>2.1790198623584951E-2</v>
      </c>
      <c r="BI96">
        <v>49994.423989012197</v>
      </c>
      <c r="BJ96">
        <v>0.45565027086820403</v>
      </c>
      <c r="BL96">
        <v>49995.276787843752</v>
      </c>
      <c r="BM96">
        <v>0.41306166803188615</v>
      </c>
      <c r="BO96">
        <v>49994.531801614059</v>
      </c>
      <c r="BP96">
        <v>0.45328031207083508</v>
      </c>
      <c r="BR96">
        <v>49994.596285939093</v>
      </c>
      <c r="BS96">
        <v>0.45110192138375771</v>
      </c>
      <c r="BU96">
        <v>49994.298872501146</v>
      </c>
      <c r="BV96">
        <v>0.454622404320148</v>
      </c>
      <c r="BX96">
        <v>49999.034584751964</v>
      </c>
      <c r="BY96">
        <v>1.5220445011542868E-5</v>
      </c>
    </row>
    <row r="97" spans="13:77" x14ac:dyDescent="0.35">
      <c r="M97">
        <v>21983.951409173696</v>
      </c>
      <c r="N97">
        <v>7664.1147440516306</v>
      </c>
      <c r="P97">
        <v>22010.590459144365</v>
      </c>
      <c r="Q97">
        <v>7640.0931798500424</v>
      </c>
      <c r="S97">
        <v>21990.784602665241</v>
      </c>
      <c r="T97">
        <v>7681.056510300903</v>
      </c>
      <c r="V97">
        <v>22014.635136970352</v>
      </c>
      <c r="W97">
        <v>7636.5645277817875</v>
      </c>
      <c r="Y97">
        <v>22014.881232240277</v>
      </c>
      <c r="Z97">
        <v>7632.9733146202407</v>
      </c>
      <c r="AB97">
        <v>22014.712558376825</v>
      </c>
      <c r="AC97">
        <v>7635.8818326604496</v>
      </c>
      <c r="AE97">
        <v>22014.748288447929</v>
      </c>
      <c r="AF97">
        <v>7635.5337402403584</v>
      </c>
      <c r="AH97">
        <v>22014.494227843246</v>
      </c>
      <c r="AI97">
        <v>7637.664856439028</v>
      </c>
      <c r="AK97">
        <v>22461.498725729514</v>
      </c>
      <c r="AL97">
        <v>7214.5549006614092</v>
      </c>
      <c r="AZ97">
        <v>49998.488780627304</v>
      </c>
      <c r="BA97">
        <v>5.724933518621058E-2</v>
      </c>
      <c r="BC97">
        <v>49995.608519226356</v>
      </c>
      <c r="BD97">
        <v>0.33737270197607777</v>
      </c>
      <c r="BF97">
        <v>49998.868715007615</v>
      </c>
      <c r="BG97">
        <v>1.950517571067362E-2</v>
      </c>
      <c r="BI97">
        <v>49994.992964239784</v>
      </c>
      <c r="BJ97">
        <v>0.40786263633457764</v>
      </c>
      <c r="BL97">
        <v>49995.754400464662</v>
      </c>
      <c r="BM97">
        <v>0.36974170942395679</v>
      </c>
      <c r="BO97">
        <v>49995.088743621061</v>
      </c>
      <c r="BP97">
        <v>0.4057413823601303</v>
      </c>
      <c r="BR97">
        <v>49995.146152613233</v>
      </c>
      <c r="BS97">
        <v>0.40379154448212723</v>
      </c>
      <c r="BU97">
        <v>49994.882417653404</v>
      </c>
      <c r="BV97">
        <v>0.40694239778688962</v>
      </c>
      <c r="BX97">
        <v>49999.145733508711</v>
      </c>
      <c r="BY97">
        <v>1.3624371786719155E-5</v>
      </c>
    </row>
    <row r="98" spans="13:77" x14ac:dyDescent="0.35">
      <c r="M98">
        <v>21979.961706656522</v>
      </c>
      <c r="N98">
        <v>7662.5118948675345</v>
      </c>
      <c r="P98">
        <v>22008.069240120418</v>
      </c>
      <c r="Q98">
        <v>7640.9141881162677</v>
      </c>
      <c r="S98">
        <v>21981.768969528614</v>
      </c>
      <c r="T98">
        <v>7679.827714988679</v>
      </c>
      <c r="V98">
        <v>22012.310428340243</v>
      </c>
      <c r="W98">
        <v>7637.7511123485092</v>
      </c>
      <c r="Y98">
        <v>22013.35908535718</v>
      </c>
      <c r="Z98">
        <v>7634.2173937369107</v>
      </c>
      <c r="AB98">
        <v>22012.535645345957</v>
      </c>
      <c r="AC98">
        <v>7637.0818395678625</v>
      </c>
      <c r="AE98">
        <v>22012.647317267649</v>
      </c>
      <c r="AF98">
        <v>7636.7402858324476</v>
      </c>
      <c r="AH98">
        <v>22011.933826007462</v>
      </c>
      <c r="AI98">
        <v>7638.8284927448221</v>
      </c>
      <c r="AK98">
        <v>22490.679001199485</v>
      </c>
      <c r="AL98">
        <v>7254.3938304809362</v>
      </c>
      <c r="AZ98">
        <v>49998.653598199708</v>
      </c>
      <c r="BA98">
        <v>5.1245858456461103E-2</v>
      </c>
      <c r="BC98">
        <v>49996.060065925718</v>
      </c>
      <c r="BD98">
        <v>0.30199099138169938</v>
      </c>
      <c r="BF98">
        <v>49998.995837730661</v>
      </c>
      <c r="BG98">
        <v>1.7459779558469099E-2</v>
      </c>
      <c r="BI98">
        <v>49995.504087761001</v>
      </c>
      <c r="BJ98">
        <v>0.36508757695860877</v>
      </c>
      <c r="BL98">
        <v>49996.183964693468</v>
      </c>
      <c r="BM98">
        <v>0.33096548376806023</v>
      </c>
      <c r="BO98">
        <v>49995.589179530551</v>
      </c>
      <c r="BP98">
        <v>0.36318891006076437</v>
      </c>
      <c r="BR98">
        <v>49995.640291196949</v>
      </c>
      <c r="BS98">
        <v>0.36144363363528059</v>
      </c>
      <c r="BU98">
        <v>49995.406416337129</v>
      </c>
      <c r="BV98">
        <v>0.36426371308037842</v>
      </c>
      <c r="BX98">
        <v>49999.244085626568</v>
      </c>
      <c r="BY98">
        <v>1.2195673410245643E-5</v>
      </c>
    </row>
    <row r="99" spans="13:77" x14ac:dyDescent="0.35">
      <c r="M99">
        <v>21976.968601669265</v>
      </c>
      <c r="N99">
        <v>7660.6013944387987</v>
      </c>
      <c r="P99">
        <v>22005.748347281115</v>
      </c>
      <c r="Q99">
        <v>7641.5216785162011</v>
      </c>
      <c r="S99">
        <v>21974.447804366762</v>
      </c>
      <c r="T99">
        <v>7677.8761690794263</v>
      </c>
      <c r="V99">
        <v>22010.069742024334</v>
      </c>
      <c r="W99">
        <v>7638.7364344068428</v>
      </c>
      <c r="Y99">
        <v>22011.782505428178</v>
      </c>
      <c r="Z99">
        <v>7635.3248778152802</v>
      </c>
      <c r="AB99">
        <v>22010.416588391785</v>
      </c>
      <c r="AC99">
        <v>7638.0924680727112</v>
      </c>
      <c r="AE99">
        <v>22010.590841918376</v>
      </c>
      <c r="AF99">
        <v>7637.7635623474462</v>
      </c>
      <c r="AH99">
        <v>22009.499540515309</v>
      </c>
      <c r="AI99">
        <v>7639.7719264672951</v>
      </c>
      <c r="AK99">
        <v>22505.85826421922</v>
      </c>
      <c r="AL99">
        <v>7296.3083478685676</v>
      </c>
      <c r="AZ99">
        <v>49998.800401800989</v>
      </c>
      <c r="BA99">
        <v>4.5871964666519688E-2</v>
      </c>
      <c r="BC99">
        <v>49996.465293503941</v>
      </c>
      <c r="BD99">
        <v>0.27032032792317123</v>
      </c>
      <c r="BF99">
        <v>49999.108652180104</v>
      </c>
      <c r="BG99">
        <v>1.5628879139552212E-2</v>
      </c>
      <c r="BI99">
        <v>49995.963217295852</v>
      </c>
      <c r="BJ99">
        <v>0.32679917112218626</v>
      </c>
      <c r="BL99">
        <v>49996.570284617796</v>
      </c>
      <c r="BM99">
        <v>0.29625630385332352</v>
      </c>
      <c r="BO99">
        <v>49996.038816315311</v>
      </c>
      <c r="BP99">
        <v>0.3250997200711801</v>
      </c>
      <c r="BR99">
        <v>49996.084322927745</v>
      </c>
      <c r="BS99">
        <v>0.32353753454732759</v>
      </c>
      <c r="BU99">
        <v>49995.876923206211</v>
      </c>
      <c r="BV99">
        <v>0.32606160174866938</v>
      </c>
      <c r="BX99">
        <v>49999.331114394699</v>
      </c>
      <c r="BY99">
        <v>1.0916796887526002E-5</v>
      </c>
    </row>
    <row r="100" spans="13:77" x14ac:dyDescent="0.35">
      <c r="M100">
        <v>21974.888489211869</v>
      </c>
      <c r="N100">
        <v>7658.4678930590417</v>
      </c>
      <c r="P100">
        <v>22003.646602446443</v>
      </c>
      <c r="Q100">
        <v>7641.9341476312429</v>
      </c>
      <c r="S100">
        <v>21968.725168448371</v>
      </c>
      <c r="T100">
        <v>7675.3483800838449</v>
      </c>
      <c r="V100">
        <v>22007.947170362899</v>
      </c>
      <c r="W100">
        <v>7639.5293799054343</v>
      </c>
      <c r="Y100">
        <v>22010.191985623256</v>
      </c>
      <c r="Z100">
        <v>7636.2927368237251</v>
      </c>
      <c r="AB100">
        <v>22008.390770033948</v>
      </c>
      <c r="AC100">
        <v>7638.9203542580926</v>
      </c>
      <c r="AE100">
        <v>22008.614893708516</v>
      </c>
      <c r="AF100">
        <v>7638.6090569219286</v>
      </c>
      <c r="AH100">
        <v>22007.223345038401</v>
      </c>
      <c r="AI100">
        <v>7640.5076624103094</v>
      </c>
      <c r="AK100">
        <v>22508.647761157674</v>
      </c>
      <c r="AL100">
        <v>7339.2141041213417</v>
      </c>
      <c r="AZ100">
        <v>49998.931164557791</v>
      </c>
      <c r="BA100">
        <v>4.1061624417039928E-2</v>
      </c>
      <c r="BC100">
        <v>49996.828940330779</v>
      </c>
      <c r="BD100">
        <v>0.24197139265598458</v>
      </c>
      <c r="BF100">
        <v>49999.208771341939</v>
      </c>
      <c r="BG100">
        <v>1.3989979420012956E-2</v>
      </c>
      <c r="BI100">
        <v>49996.375620360755</v>
      </c>
      <c r="BJ100">
        <v>0.29252670433156602</v>
      </c>
      <c r="BL100">
        <v>49996.917687555317</v>
      </c>
      <c r="BM100">
        <v>0.26518751266038953</v>
      </c>
      <c r="BO100">
        <v>49996.442787662127</v>
      </c>
      <c r="BP100">
        <v>0.29100555482977458</v>
      </c>
      <c r="BR100">
        <v>49996.483305225251</v>
      </c>
      <c r="BS100">
        <v>0.28960724511196401</v>
      </c>
      <c r="BU100">
        <v>49996.299379847776</v>
      </c>
      <c r="BV100">
        <v>0.29186640088947291</v>
      </c>
      <c r="BX100">
        <v>49999.408123480818</v>
      </c>
      <c r="BY100">
        <v>9.7720302464866836E-6</v>
      </c>
    </row>
    <row r="101" spans="13:77" x14ac:dyDescent="0.35">
      <c r="M101">
        <v>21973.631061407097</v>
      </c>
      <c r="N101">
        <v>7656.1882692191675</v>
      </c>
      <c r="P101">
        <v>22001.775548694106</v>
      </c>
      <c r="Q101">
        <v>7642.171444602317</v>
      </c>
      <c r="S101">
        <v>21964.485859002158</v>
      </c>
      <c r="T101">
        <v>7672.3814323544857</v>
      </c>
      <c r="V101">
        <v>22005.969400114518</v>
      </c>
      <c r="W101">
        <v>7640.1415285613375</v>
      </c>
      <c r="Y101">
        <v>22008.622419731579</v>
      </c>
      <c r="Z101">
        <v>7637.1212676008909</v>
      </c>
      <c r="AB101">
        <v>22006.486495463469</v>
      </c>
      <c r="AC101">
        <v>7639.5749542101275</v>
      </c>
      <c r="AE101">
        <v>22006.748595829049</v>
      </c>
      <c r="AF101">
        <v>7639.2851403293898</v>
      </c>
      <c r="AH101">
        <v>22005.129286516483</v>
      </c>
      <c r="AI101">
        <v>7641.0506925015243</v>
      </c>
      <c r="AK101">
        <v>22500.693054516505</v>
      </c>
      <c r="AL101">
        <v>7382.1404160587472</v>
      </c>
      <c r="AZ101">
        <v>49999.04764300328</v>
      </c>
      <c r="BA101">
        <v>3.6755734396687924E-2</v>
      </c>
      <c r="BC101">
        <v>49997.155261582579</v>
      </c>
      <c r="BD101">
        <v>0.2165957254582544</v>
      </c>
      <c r="BF101">
        <v>49999.297626098283</v>
      </c>
      <c r="BG101">
        <v>1.2522944796201547E-2</v>
      </c>
      <c r="BI101">
        <v>49996.746033386167</v>
      </c>
      <c r="BJ101">
        <v>0.26184886869084428</v>
      </c>
      <c r="BL101">
        <v>49997.230070937949</v>
      </c>
      <c r="BM101">
        <v>0.23737722851269455</v>
      </c>
      <c r="BO101">
        <v>49996.805711187691</v>
      </c>
      <c r="BP101">
        <v>0.26048730447615309</v>
      </c>
      <c r="BR101">
        <v>49996.841787859317</v>
      </c>
      <c r="BS101">
        <v>0.25923567360325017</v>
      </c>
      <c r="BU101">
        <v>49996.678676551972</v>
      </c>
      <c r="BV101">
        <v>0.26125774506839067</v>
      </c>
      <c r="BX101">
        <v>49999.476266459918</v>
      </c>
      <c r="BY101">
        <v>8.7473094030779664E-6</v>
      </c>
    </row>
    <row r="102" spans="13:77" x14ac:dyDescent="0.35">
      <c r="M102">
        <v>21973.102178704503</v>
      </c>
      <c r="N102">
        <v>7653.8311588853921</v>
      </c>
      <c r="P102">
        <v>22000.140271746815</v>
      </c>
      <c r="Q102">
        <v>7642.2541609746786</v>
      </c>
      <c r="S102">
        <v>21961.60069773647</v>
      </c>
      <c r="T102">
        <v>7669.1014443144559</v>
      </c>
      <c r="V102">
        <v>22004.156236508086</v>
      </c>
      <c r="W102">
        <v>7640.5865221666727</v>
      </c>
      <c r="Y102">
        <v>22007.103193107734</v>
      </c>
      <c r="Z102">
        <v>7637.81360570165</v>
      </c>
      <c r="AB102">
        <v>22004.725435132164</v>
      </c>
      <c r="AC102">
        <v>7640.0679384167715</v>
      </c>
      <c r="AE102">
        <v>22005.014564308978</v>
      </c>
      <c r="AF102">
        <v>7639.8024748240132</v>
      </c>
      <c r="AH102">
        <v>22003.234140115972</v>
      </c>
      <c r="AI102">
        <v>7641.4178226348076</v>
      </c>
      <c r="AK102">
        <v>22483.638719695125</v>
      </c>
      <c r="AL102">
        <v>7424.234951072588</v>
      </c>
      <c r="AZ102">
        <v>49999.151400904819</v>
      </c>
      <c r="BA102">
        <v>3.2901390662674411E-2</v>
      </c>
      <c r="BC102">
        <v>49997.448078333691</v>
      </c>
      <c r="BD102">
        <v>0.1938814337546147</v>
      </c>
      <c r="BF102">
        <v>49999.376485815606</v>
      </c>
      <c r="BG102">
        <v>1.1209751563157323E-2</v>
      </c>
      <c r="BI102">
        <v>49997.0787149549</v>
      </c>
      <c r="BJ102">
        <v>0.23438857286537879</v>
      </c>
      <c r="BL102">
        <v>49997.510944638372</v>
      </c>
      <c r="BM102">
        <v>0.21248364293610364</v>
      </c>
      <c r="BO102">
        <v>49997.131739989301</v>
      </c>
      <c r="BP102">
        <v>0.23316984421893364</v>
      </c>
      <c r="BR102">
        <v>49997.163863569127</v>
      </c>
      <c r="BS102">
        <v>0.23204950109251446</v>
      </c>
      <c r="BU102">
        <v>49997.01920789494</v>
      </c>
      <c r="BV102">
        <v>0.23385938748594015</v>
      </c>
      <c r="BX102">
        <v>49999.536564094647</v>
      </c>
      <c r="BY102">
        <v>7.8300452963478574E-6</v>
      </c>
    </row>
    <row r="103" spans="13:77" x14ac:dyDescent="0.35">
      <c r="M103">
        <v>21973.206393385655</v>
      </c>
      <c r="N103">
        <v>7651.4567329962838</v>
      </c>
      <c r="P103">
        <v>21998.740236115544</v>
      </c>
      <c r="Q103">
        <v>7642.2030938853495</v>
      </c>
      <c r="S103">
        <v>21959.931319106978</v>
      </c>
      <c r="T103">
        <v>7665.6225064559821</v>
      </c>
      <c r="V103">
        <v>22002.52119442078</v>
      </c>
      <c r="W103">
        <v>7640.8794813500836</v>
      </c>
      <c r="Y103">
        <v>22005.658374836032</v>
      </c>
      <c r="Z103">
        <v>7638.3752487472102</v>
      </c>
      <c r="AB103">
        <v>22003.123141137436</v>
      </c>
      <c r="AC103">
        <v>7640.4126276398547</v>
      </c>
      <c r="AE103">
        <v>22003.429386141255</v>
      </c>
      <c r="AF103">
        <v>7640.1734598954781</v>
      </c>
      <c r="AH103">
        <v>22001.548120446896</v>
      </c>
      <c r="AI103">
        <v>7641.6270592194751</v>
      </c>
      <c r="AK103">
        <v>22459.096114759523</v>
      </c>
      <c r="AL103">
        <v>7464.7667006470065</v>
      </c>
      <c r="AZ103">
        <v>49999.243830464628</v>
      </c>
      <c r="BA103">
        <v>2.9451238215800223E-2</v>
      </c>
      <c r="BC103">
        <v>49997.710821682049</v>
      </c>
      <c r="BD103">
        <v>0.17354935256038936</v>
      </c>
      <c r="BF103">
        <v>49999.446476602177</v>
      </c>
      <c r="BG103">
        <v>1.0034266364042815E-2</v>
      </c>
      <c r="BI103">
        <v>49997.377493740663</v>
      </c>
      <c r="BJ103">
        <v>0.20980829808054446</v>
      </c>
      <c r="BL103">
        <v>49997.763469175392</v>
      </c>
      <c r="BM103">
        <v>0.19020081294307509</v>
      </c>
      <c r="BO103">
        <v>49997.42460908577</v>
      </c>
      <c r="BP103">
        <v>0.2087174148131139</v>
      </c>
      <c r="BR103">
        <v>49997.453213675763</v>
      </c>
      <c r="BS103">
        <v>0.20771458431523282</v>
      </c>
      <c r="BU103">
        <v>49997.324922750311</v>
      </c>
      <c r="BV103">
        <v>0.20933456605549994</v>
      </c>
      <c r="BX103">
        <v>49999.58991962616</v>
      </c>
      <c r="BY103">
        <v>7.008969164001493E-6</v>
      </c>
    </row>
    <row r="104" spans="13:77" x14ac:dyDescent="0.35">
      <c r="M104">
        <v>21973.849124583747</v>
      </c>
      <c r="N104">
        <v>7649.116689399697</v>
      </c>
      <c r="P104">
        <v>21997.570116224662</v>
      </c>
      <c r="Q104">
        <v>7642.0387833034665</v>
      </c>
      <c r="S104">
        <v>21959.334430697327</v>
      </c>
      <c r="T104">
        <v>7662.0460479642725</v>
      </c>
      <c r="V104">
        <v>22001.072134463971</v>
      </c>
      <c r="W104">
        <v>7641.0364761280744</v>
      </c>
      <c r="Y104">
        <v>22004.306992433787</v>
      </c>
      <c r="Z104">
        <v>7638.8135995937164</v>
      </c>
      <c r="AB104">
        <v>22001.689615810064</v>
      </c>
      <c r="AC104">
        <v>7640.6234761836758</v>
      </c>
      <c r="AE104">
        <v>22002.004153311795</v>
      </c>
      <c r="AF104">
        <v>7640.411722154784</v>
      </c>
      <c r="AH104">
        <v>22000.075625837337</v>
      </c>
      <c r="AI104">
        <v>7641.6970598071885</v>
      </c>
      <c r="AK104">
        <v>22428.614814350371</v>
      </c>
      <c r="AL104">
        <v>7503.1268985355182</v>
      </c>
      <c r="AZ104">
        <v>49999.326171183704</v>
      </c>
      <c r="BA104">
        <v>2.6362888851417379E-2</v>
      </c>
      <c r="BC104">
        <v>49997.946572408604</v>
      </c>
      <c r="BD104">
        <v>0.15534960825832633</v>
      </c>
      <c r="BF104">
        <v>49999.508597499</v>
      </c>
      <c r="BG104">
        <v>8.9820478911216296E-3</v>
      </c>
      <c r="BI104">
        <v>49997.645811669936</v>
      </c>
      <c r="BJ104">
        <v>0.18780594254551658</v>
      </c>
      <c r="BL104">
        <v>49997.990490193697</v>
      </c>
      <c r="BM104">
        <v>0.17025489563250243</v>
      </c>
      <c r="BO104">
        <v>49997.687677250164</v>
      </c>
      <c r="BP104">
        <v>0.18682948885410183</v>
      </c>
      <c r="BR104">
        <v>49997.713149178438</v>
      </c>
      <c r="BS104">
        <v>0.18593184198050552</v>
      </c>
      <c r="BU104">
        <v>49997.59936928362</v>
      </c>
      <c r="BV104">
        <v>0.18738185688918724</v>
      </c>
      <c r="BX104">
        <v>49999.637132304517</v>
      </c>
      <c r="BY104">
        <v>6.2739940533657902E-6</v>
      </c>
    </row>
    <row r="105" spans="13:77" x14ac:dyDescent="0.35">
      <c r="M105">
        <v>21974.93849177903</v>
      </c>
      <c r="N105">
        <v>7646.8544260008912</v>
      </c>
      <c r="P105">
        <v>21996.620605778051</v>
      </c>
      <c r="Q105">
        <v>7641.7811223087783</v>
      </c>
      <c r="S105">
        <v>21959.665535044285</v>
      </c>
      <c r="T105">
        <v>7658.4605777130209</v>
      </c>
      <c r="V105">
        <v>21999.8119240499</v>
      </c>
      <c r="W105">
        <v>7641.0740536455451</v>
      </c>
      <c r="Y105">
        <v>22003.063371368105</v>
      </c>
      <c r="Z105">
        <v>7639.1375360355732</v>
      </c>
      <c r="AB105">
        <v>22000.429912950993</v>
      </c>
      <c r="AC105">
        <v>7640.7156066085054</v>
      </c>
      <c r="AE105">
        <v>22000.745033373503</v>
      </c>
      <c r="AF105">
        <v>7640.5316537275276</v>
      </c>
      <c r="AH105">
        <v>21998.815995163106</v>
      </c>
      <c r="AI105">
        <v>7641.6466501352934</v>
      </c>
      <c r="AK105">
        <v>22393.658182257048</v>
      </c>
      <c r="AL105">
        <v>7538.8276879226414</v>
      </c>
      <c r="AZ105">
        <v>49999.399526647132</v>
      </c>
      <c r="BA105">
        <v>2.3598400112260238E-2</v>
      </c>
      <c r="BC105">
        <v>49998.158096620384</v>
      </c>
      <c r="BD105">
        <v>0.1390585435616748</v>
      </c>
      <c r="BF105">
        <v>49999.563734838353</v>
      </c>
      <c r="BG105">
        <v>8.0401693960767302E-3</v>
      </c>
      <c r="BI105">
        <v>49997.886762779097</v>
      </c>
      <c r="BJ105">
        <v>0.16811110280169583</v>
      </c>
      <c r="BL105">
        <v>49998.194569576306</v>
      </c>
      <c r="BM105">
        <v>0.15240077851159378</v>
      </c>
      <c r="BO105">
        <v>49997.923964687419</v>
      </c>
      <c r="BP105">
        <v>0.16723707166998844</v>
      </c>
      <c r="BR105">
        <v>49997.946647777222</v>
      </c>
      <c r="BS105">
        <v>0.166433573558952</v>
      </c>
      <c r="BU105">
        <v>49997.845735429561</v>
      </c>
      <c r="BV105">
        <v>0.16773146378957049</v>
      </c>
      <c r="BX105">
        <v>49999.678909361297</v>
      </c>
      <c r="BY105">
        <v>5.6160908630408142E-6</v>
      </c>
    </row>
    <row r="106" spans="13:77" x14ac:dyDescent="0.35">
      <c r="M106">
        <v>21976.386819999061</v>
      </c>
      <c r="N106">
        <v>7644.705363199786</v>
      </c>
      <c r="P106">
        <v>21995.879191572185</v>
      </c>
      <c r="Q106">
        <v>7641.4490379494164</v>
      </c>
      <c r="S106">
        <v>21960.7821163513</v>
      </c>
      <c r="T106">
        <v>7654.9417453143042</v>
      </c>
      <c r="V106">
        <v>21998.739105904624</v>
      </c>
      <c r="W106">
        <v>7641.0088247709591</v>
      </c>
      <c r="Y106">
        <v>22001.93752286068</v>
      </c>
      <c r="Z106">
        <v>7639.3570122369065</v>
      </c>
      <c r="AB106">
        <v>21999.344754331585</v>
      </c>
      <c r="AC106">
        <v>7640.7043982395771</v>
      </c>
      <c r="AE106">
        <v>21999.653859261543</v>
      </c>
      <c r="AF106">
        <v>7640.5480018522221</v>
      </c>
      <c r="AH106">
        <v>21997.764259482967</v>
      </c>
      <c r="AI106">
        <v>7641.4944081356261</v>
      </c>
      <c r="AK106">
        <v>22355.583405886762</v>
      </c>
      <c r="AL106">
        <v>7571.4984955005375</v>
      </c>
      <c r="AZ106">
        <v>49999.464879460262</v>
      </c>
      <c r="BA106">
        <v>2.1123808924337871E-2</v>
      </c>
      <c r="BC106">
        <v>49998.347877781853</v>
      </c>
      <c r="BD106">
        <v>0.12447596562013803</v>
      </c>
      <c r="BF106">
        <v>49999.612674977659</v>
      </c>
      <c r="BG106">
        <v>7.1970598243863704E-3</v>
      </c>
      <c r="BI106">
        <v>49998.103128192699</v>
      </c>
      <c r="BJ106">
        <v>0.15048174595118516</v>
      </c>
      <c r="BL106">
        <v>49998.378013514135</v>
      </c>
      <c r="BM106">
        <v>0.1364190638731467</v>
      </c>
      <c r="BO106">
        <v>49998.136186965785</v>
      </c>
      <c r="BP106">
        <v>0.14969939101814883</v>
      </c>
      <c r="BR106">
        <v>49998.156387222101</v>
      </c>
      <c r="BS106">
        <v>0.14898016498162439</v>
      </c>
      <c r="BU106">
        <v>49998.066885302527</v>
      </c>
      <c r="BV106">
        <v>0.15014189779236539</v>
      </c>
      <c r="BX106">
        <v>49999.715876603805</v>
      </c>
      <c r="BY106">
        <v>5.0271773897475218E-6</v>
      </c>
    </row>
    <row r="107" spans="13:77" x14ac:dyDescent="0.35">
      <c r="M107">
        <v>21978.111834866151</v>
      </c>
      <c r="N107">
        <v>7642.6973855634433</v>
      </c>
      <c r="P107">
        <v>21995.330880767458</v>
      </c>
      <c r="Q107">
        <v>7641.0602390498943</v>
      </c>
      <c r="S107">
        <v>21962.546306974193</v>
      </c>
      <c r="T107">
        <v>7651.5526694365562</v>
      </c>
      <c r="V107">
        <v>21997.84855891571</v>
      </c>
      <c r="W107">
        <v>7640.8571096930327</v>
      </c>
      <c r="Y107">
        <v>22000.935564839048</v>
      </c>
      <c r="Z107">
        <v>7639.482695662341</v>
      </c>
      <c r="AB107">
        <v>21998.431146301584</v>
      </c>
      <c r="AC107">
        <v>7640.6051303176737</v>
      </c>
      <c r="AE107">
        <v>21998.728723176431</v>
      </c>
      <c r="AF107">
        <v>7640.475510884522</v>
      </c>
      <c r="AH107">
        <v>21996.911873463076</v>
      </c>
      <c r="AI107">
        <v>7641.2583139194912</v>
      </c>
      <c r="AK107">
        <v>22315.626145748942</v>
      </c>
      <c r="AL107">
        <v>7600.8802158193084</v>
      </c>
      <c r="AZ107">
        <v>49999.523104539941</v>
      </c>
      <c r="BA107">
        <v>1.8908714172519065E-2</v>
      </c>
      <c r="BC107">
        <v>49998.518145498769</v>
      </c>
      <c r="BD107">
        <v>0.11142268324771805</v>
      </c>
      <c r="BF107">
        <v>49999.656115592668</v>
      </c>
      <c r="BG107">
        <v>6.4423616182838787E-3</v>
      </c>
      <c r="BI107">
        <v>49998.297407607068</v>
      </c>
      <c r="BJ107">
        <v>0.13470123159360925</v>
      </c>
      <c r="BL107">
        <v>49998.542897826454</v>
      </c>
      <c r="BM107">
        <v>0.12211336996395235</v>
      </c>
      <c r="BO107">
        <v>49998.326785571306</v>
      </c>
      <c r="BP107">
        <v>0.13400093463748275</v>
      </c>
      <c r="BR107">
        <v>49998.344775349629</v>
      </c>
      <c r="BS107">
        <v>0.13335714050316119</v>
      </c>
      <c r="BU107">
        <v>49998.265391946341</v>
      </c>
      <c r="BV107">
        <v>0.13439700567012206</v>
      </c>
      <c r="BX107">
        <v>49999.748587789545</v>
      </c>
      <c r="BY107">
        <v>4.5000190152180358E-6</v>
      </c>
    </row>
    <row r="108" spans="13:77" x14ac:dyDescent="0.35">
      <c r="M108">
        <v>21980.037569331205</v>
      </c>
      <c r="N108">
        <v>7640.8513749402828</v>
      </c>
      <c r="P108">
        <v>21994.95887324966</v>
      </c>
      <c r="Q108">
        <v>7640.6310264302392</v>
      </c>
      <c r="S108">
        <v>21964.827057566581</v>
      </c>
      <c r="T108">
        <v>7648.3444833183903</v>
      </c>
      <c r="V108">
        <v>21997.132138595927</v>
      </c>
      <c r="W108">
        <v>7640.6346413681122</v>
      </c>
      <c r="Y108">
        <v>22000.060162402275</v>
      </c>
      <c r="Z108">
        <v>7639.525641975988</v>
      </c>
      <c r="AB108">
        <v>21997.68298357831</v>
      </c>
      <c r="AC108">
        <v>7640.4326793345163</v>
      </c>
      <c r="AE108">
        <v>21997.96456150731</v>
      </c>
      <c r="AF108">
        <v>7640.3286166033267</v>
      </c>
      <c r="AH108">
        <v>21996.247414227357</v>
      </c>
      <c r="AI108">
        <v>7640.9554634629994</v>
      </c>
      <c r="AK108">
        <v>22274.889779925124</v>
      </c>
      <c r="AL108">
        <v>7626.8174350913032</v>
      </c>
      <c r="AZ108">
        <v>49999.574980942372</v>
      </c>
      <c r="BA108">
        <v>1.6925903076575311E-2</v>
      </c>
      <c r="BC108">
        <v>49998.670901382247</v>
      </c>
      <c r="BD108">
        <v>9.97383028456333E-2</v>
      </c>
      <c r="BF108">
        <v>49999.69467569323</v>
      </c>
      <c r="BG108">
        <v>5.7668034384029043E-3</v>
      </c>
      <c r="BI108">
        <v>49998.471847625631</v>
      </c>
      <c r="BJ108">
        <v>0.12057564665276739</v>
      </c>
      <c r="BL108">
        <v>49998.691090798122</v>
      </c>
      <c r="BM108">
        <v>0.10930791561437188</v>
      </c>
      <c r="BO108">
        <v>49998.497955418556</v>
      </c>
      <c r="BP108">
        <v>0.11994879903632875</v>
      </c>
      <c r="BR108">
        <v>49998.513977133145</v>
      </c>
      <c r="BS108">
        <v>0.11937252428927174</v>
      </c>
      <c r="BU108">
        <v>49998.443566788897</v>
      </c>
      <c r="BV108">
        <v>0.12030331065263798</v>
      </c>
      <c r="BX108">
        <v>49999.777532921391</v>
      </c>
      <c r="BY108">
        <v>4.0281398114206197E-6</v>
      </c>
    </row>
    <row r="109" spans="13:77" x14ac:dyDescent="0.35">
      <c r="M109">
        <v>21982.095006554046</v>
      </c>
      <c r="N109">
        <v>7639.1818097328533</v>
      </c>
      <c r="P109">
        <v>21994.745173118707</v>
      </c>
      <c r="Q109">
        <v>7640.1761603284331</v>
      </c>
      <c r="S109">
        <v>21967.501841605841</v>
      </c>
      <c r="T109">
        <v>7645.3570509442452</v>
      </c>
      <c r="V109">
        <v>21996.579286756096</v>
      </c>
      <c r="W109">
        <v>7640.3563245887954</v>
      </c>
      <c r="Y109">
        <v>21999.310975751767</v>
      </c>
      <c r="Z109">
        <v>7639.4970092085878</v>
      </c>
      <c r="AB109">
        <v>21997.091629469345</v>
      </c>
      <c r="AC109">
        <v>7640.2012689964013</v>
      </c>
      <c r="AE109">
        <v>21997.353719877563</v>
      </c>
      <c r="AF109">
        <v>7640.121191604745</v>
      </c>
      <c r="AH109">
        <v>21995.757237794613</v>
      </c>
      <c r="AI109">
        <v>7640.6018426753799</v>
      </c>
      <c r="AK109">
        <v>22234.339061361545</v>
      </c>
      <c r="AL109">
        <v>7649.2490215962252</v>
      </c>
      <c r="AZ109">
        <v>49999.621202388989</v>
      </c>
      <c r="BA109">
        <v>1.5151016768849234E-2</v>
      </c>
      <c r="BC109">
        <v>49998.807942287844</v>
      </c>
      <c r="BD109">
        <v>8.9279255805529784E-2</v>
      </c>
      <c r="BF109">
        <v>49999.728904506315</v>
      </c>
      <c r="BG109">
        <v>5.1620862381206696E-3</v>
      </c>
      <c r="BI109">
        <v>49998.628467258473</v>
      </c>
      <c r="BJ109">
        <v>0.1079314201643206</v>
      </c>
      <c r="BL109">
        <v>49998.824273774138</v>
      </c>
      <c r="BM109">
        <v>9.784535851569498E-2</v>
      </c>
      <c r="BO109">
        <v>49998.651669618303</v>
      </c>
      <c r="BP109">
        <v>0.10737031676410837</v>
      </c>
      <c r="BR109">
        <v>49998.665939040889</v>
      </c>
      <c r="BS109">
        <v>0.10685447913724115</v>
      </c>
      <c r="BU109">
        <v>49998.603486131215</v>
      </c>
      <c r="BV109">
        <v>0.10768763250262289</v>
      </c>
      <c r="BX109">
        <v>49999.803145587728</v>
      </c>
      <c r="BY109">
        <v>3.6057429707543903E-6</v>
      </c>
    </row>
    <row r="110" spans="13:77" x14ac:dyDescent="0.35">
      <c r="M110">
        <v>21984.222485073657</v>
      </c>
      <c r="N110">
        <v>7637.6974076896549</v>
      </c>
      <c r="P110">
        <v>21994.671135510896</v>
      </c>
      <c r="Q110">
        <v>7639.7087793686769</v>
      </c>
      <c r="S110">
        <v>21970.457929955133</v>
      </c>
      <c r="T110">
        <v>7642.6198114088556</v>
      </c>
      <c r="V110">
        <v>21996.177602171087</v>
      </c>
      <c r="W110">
        <v>7640.0360475774896</v>
      </c>
      <c r="Y110">
        <v>21998.685105147248</v>
      </c>
      <c r="Z110">
        <v>7639.4078114653457</v>
      </c>
      <c r="AB110">
        <v>21996.646463866451</v>
      </c>
      <c r="AC110">
        <v>7639.9242703585378</v>
      </c>
      <c r="AE110">
        <v>21996.886489426244</v>
      </c>
      <c r="AF110">
        <v>7639.8663396520597</v>
      </c>
      <c r="AH110">
        <v>21995.426085620231</v>
      </c>
      <c r="AI110">
        <v>7640.2121577236248</v>
      </c>
      <c r="AK110">
        <v>22194.797865842938</v>
      </c>
      <c r="AL110">
        <v>7668.197475368549</v>
      </c>
      <c r="AZ110">
        <v>49999.662386634096</v>
      </c>
      <c r="BA110">
        <v>1.356225095814676E-2</v>
      </c>
      <c r="BC110">
        <v>49998.930881194792</v>
      </c>
      <c r="BD110">
        <v>7.9917033049215866E-2</v>
      </c>
      <c r="BF110">
        <v>49999.75928935453</v>
      </c>
      <c r="BG110">
        <v>4.6207812891521571E-3</v>
      </c>
      <c r="BI110">
        <v>49998.769080867853</v>
      </c>
      <c r="BJ110">
        <v>9.6613188571904068E-2</v>
      </c>
      <c r="BL110">
        <v>49998.943959729186</v>
      </c>
      <c r="BM110">
        <v>8.7584860475525134E-2</v>
      </c>
      <c r="BO110">
        <v>49998.789701773407</v>
      </c>
      <c r="BP110">
        <v>9.6110932871710089E-2</v>
      </c>
      <c r="BR110">
        <v>49998.802410967714</v>
      </c>
      <c r="BS110">
        <v>9.5649193177820488E-2</v>
      </c>
      <c r="BU110">
        <v>49998.747014967637</v>
      </c>
      <c r="BV110">
        <v>9.6394957554956195E-2</v>
      </c>
      <c r="BX110">
        <v>49999.825809457529</v>
      </c>
      <c r="BY110">
        <v>3.2276395826849511E-6</v>
      </c>
    </row>
    <row r="111" spans="13:77" x14ac:dyDescent="0.35">
      <c r="M111">
        <v>21986.36589328857</v>
      </c>
      <c r="N111">
        <v>7636.4017922608582</v>
      </c>
      <c r="P111">
        <v>21994.717946882723</v>
      </c>
      <c r="Q111">
        <v>7639.2403651629229</v>
      </c>
      <c r="S111">
        <v>21973.593274418632</v>
      </c>
      <c r="T111">
        <v>7640.1527133376876</v>
      </c>
      <c r="V111">
        <v>21995.913366061868</v>
      </c>
      <c r="W111">
        <v>7639.6865423414702</v>
      </c>
      <c r="Y111">
        <v>21998.1775240438</v>
      </c>
      <c r="Z111">
        <v>7639.268711564242</v>
      </c>
      <c r="AB111">
        <v>21996.33539230856</v>
      </c>
      <c r="AC111">
        <v>7639.6140489613854</v>
      </c>
      <c r="AE111">
        <v>21996.551607357869</v>
      </c>
      <c r="AF111">
        <v>7639.5762361166862</v>
      </c>
      <c r="AH111">
        <v>21995.23763592316</v>
      </c>
      <c r="AI111">
        <v>7639.7997168929633</v>
      </c>
      <c r="AK111">
        <v>22156.950598213938</v>
      </c>
      <c r="AL111">
        <v>7683.7574620234464</v>
      </c>
      <c r="AZ111">
        <v>49999.699083801868</v>
      </c>
      <c r="BA111">
        <v>1.214008799694693E-2</v>
      </c>
      <c r="BC111">
        <v>49999.041165964059</v>
      </c>
      <c r="BD111">
        <v>7.153660492771953E-2</v>
      </c>
      <c r="BF111">
        <v>49999.786262643909</v>
      </c>
      <c r="BG111">
        <v>4.1362389041668494E-3</v>
      </c>
      <c r="BI111">
        <v>49998.895318813666</v>
      </c>
      <c r="BJ111">
        <v>8.6481885186189031E-2</v>
      </c>
      <c r="BL111">
        <v>49999.05151000894</v>
      </c>
      <c r="BM111">
        <v>7.8400355792054621E-2</v>
      </c>
      <c r="BO111">
        <v>49998.91364604768</v>
      </c>
      <c r="BP111">
        <v>8.6032304355676742E-2</v>
      </c>
      <c r="BR111">
        <v>49998.924965980019</v>
      </c>
      <c r="BS111">
        <v>8.5618988481542452E-2</v>
      </c>
      <c r="BU111">
        <v>49998.875828404533</v>
      </c>
      <c r="BV111">
        <v>8.6286532429160012E-2</v>
      </c>
      <c r="BX111">
        <v>49999.845864027608</v>
      </c>
      <c r="BY111">
        <v>2.8891848810480021E-6</v>
      </c>
    </row>
    <row r="112" spans="13:77" x14ac:dyDescent="0.35">
      <c r="M112">
        <v>21988.47868046055</v>
      </c>
      <c r="N112">
        <v>7635.2941652161226</v>
      </c>
      <c r="P112">
        <v>21994.867038555236</v>
      </c>
      <c r="Q112">
        <v>7638.7807465473961</v>
      </c>
      <c r="S112">
        <v>21976.817041164035</v>
      </c>
      <c r="T112">
        <v>7637.9672056598556</v>
      </c>
      <c r="V112">
        <v>21995.772018081374</v>
      </c>
      <c r="W112">
        <v>7639.319289543283</v>
      </c>
      <c r="Y112">
        <v>21997.78149311489</v>
      </c>
      <c r="Z112">
        <v>7639.0898512555441</v>
      </c>
      <c r="AB112">
        <v>21996.145311221484</v>
      </c>
      <c r="AC112">
        <v>7639.2818552663866</v>
      </c>
      <c r="AE112">
        <v>21996.336716574177</v>
      </c>
      <c r="AF112">
        <v>7639.2620110854787</v>
      </c>
      <c r="AH112">
        <v>21995.174996429228</v>
      </c>
      <c r="AI112">
        <v>7639.3763588642614</v>
      </c>
      <c r="AK112">
        <v>22121.34674758387</v>
      </c>
      <c r="AL112">
        <v>7696.0839566460299</v>
      </c>
      <c r="AZ112">
        <v>49999.731783806441</v>
      </c>
      <c r="BA112">
        <v>1.0867057055973808E-2</v>
      </c>
      <c r="BC112">
        <v>49999.140096189687</v>
      </c>
      <c r="BD112">
        <v>6.4035006997181065E-2</v>
      </c>
      <c r="BF112">
        <v>49999.810208061805</v>
      </c>
      <c r="BG112">
        <v>3.70250673392695E-3</v>
      </c>
      <c r="BI112">
        <v>49999.008646027818</v>
      </c>
      <c r="BJ112">
        <v>7.7413030239078653E-2</v>
      </c>
      <c r="BL112">
        <v>49999.14814942122</v>
      </c>
      <c r="BM112">
        <v>7.0179001401267677E-2</v>
      </c>
      <c r="BO112">
        <v>49999.024935228459</v>
      </c>
      <c r="BP112">
        <v>7.7010599143745209E-2</v>
      </c>
      <c r="BR112">
        <v>49999.035018090224</v>
      </c>
      <c r="BS112">
        <v>7.6640628241292127E-2</v>
      </c>
      <c r="BU112">
        <v>49998.991430918191</v>
      </c>
      <c r="BV112">
        <v>7.7238157897021084E-2</v>
      </c>
      <c r="BX112">
        <v>49999.863609708234</v>
      </c>
      <c r="BY112">
        <v>2.5862211781983233E-6</v>
      </c>
    </row>
    <row r="113" spans="13:77" x14ac:dyDescent="0.35">
      <c r="M113">
        <v>21990.521711075813</v>
      </c>
      <c r="N113">
        <v>7634.3699707912692</v>
      </c>
      <c r="P113">
        <v>21995.100434740565</v>
      </c>
      <c r="Q113">
        <v>7638.3381375140916</v>
      </c>
      <c r="S113">
        <v>21980.049835645128</v>
      </c>
      <c r="T113">
        <v>7636.0672554063103</v>
      </c>
      <c r="V113">
        <v>21995.738580168425</v>
      </c>
      <c r="W113">
        <v>7638.9444633243274</v>
      </c>
      <c r="Y113">
        <v>21997.488949340986</v>
      </c>
      <c r="Z113">
        <v>7638.8807170733653</v>
      </c>
      <c r="AB113">
        <v>21996.062526084748</v>
      </c>
      <c r="AC113">
        <v>7638.9377543166929</v>
      </c>
      <c r="AE113">
        <v>21996.228780826499</v>
      </c>
      <c r="AF113">
        <v>7638.9336713097846</v>
      </c>
      <c r="AH113">
        <v>21995.221136889741</v>
      </c>
      <c r="AI113">
        <v>7638.9524220648082</v>
      </c>
      <c r="AK113">
        <v>22088.408039212078</v>
      </c>
      <c r="AL113">
        <v>7705.3803982949621</v>
      </c>
      <c r="AZ113">
        <v>49999.760922956135</v>
      </c>
      <c r="BA113">
        <v>9.7275194563956439E-3</v>
      </c>
      <c r="BC113">
        <v>49999.228838336487</v>
      </c>
      <c r="BD113">
        <v>5.7320074240995937E-2</v>
      </c>
      <c r="BF113">
        <v>49999.831466074276</v>
      </c>
      <c r="BG113">
        <v>3.3142566343175007E-3</v>
      </c>
      <c r="BI113">
        <v>49999.110378723846</v>
      </c>
      <c r="BJ113">
        <v>6.9295200448674835E-2</v>
      </c>
      <c r="BL113">
        <v>49999.234979837835</v>
      </c>
      <c r="BM113">
        <v>6.2819789698560127E-2</v>
      </c>
      <c r="BO113">
        <v>49999.124856981914</v>
      </c>
      <c r="BP113">
        <v>6.8934973649243933E-2</v>
      </c>
      <c r="BR113">
        <v>49999.133838255868</v>
      </c>
      <c r="BS113">
        <v>6.8603801660714073E-2</v>
      </c>
      <c r="BU113">
        <v>49999.09517366864</v>
      </c>
      <c r="BV113">
        <v>6.9138661865867215E-2</v>
      </c>
      <c r="BX113">
        <v>49999.879312323195</v>
      </c>
      <c r="BY113">
        <v>2.3150267844657453E-6</v>
      </c>
    </row>
    <row r="114" spans="13:77" x14ac:dyDescent="0.35">
      <c r="M114">
        <v>21992.462988549083</v>
      </c>
      <c r="N114">
        <v>7633.6215390753032</v>
      </c>
      <c r="P114">
        <v>21995.401037455063</v>
      </c>
      <c r="Q114">
        <v>7637.9192030750201</v>
      </c>
      <c r="S114">
        <v>21983.223660459993</v>
      </c>
      <c r="T114">
        <v>7634.4503674272719</v>
      </c>
      <c r="V114">
        <v>21995.798027114422</v>
      </c>
      <c r="W114">
        <v>7638.5709113512212</v>
      </c>
      <c r="Y114">
        <v>21997.290865722858</v>
      </c>
      <c r="Z114">
        <v>7638.6500394020886</v>
      </c>
      <c r="AB114">
        <v>21996.073120741359</v>
      </c>
      <c r="AC114">
        <v>7638.5905903220073</v>
      </c>
      <c r="AE114">
        <v>21996.214453284392</v>
      </c>
      <c r="AF114">
        <v>7638.6000569156822</v>
      </c>
      <c r="AH114">
        <v>21995.359261236521</v>
      </c>
      <c r="AI114">
        <v>7638.5367496755352</v>
      </c>
      <c r="AK114">
        <v>22058.437619046566</v>
      </c>
      <c r="AL114">
        <v>7711.8872100122126</v>
      </c>
      <c r="AZ114">
        <v>49999.786889831674</v>
      </c>
      <c r="BA114">
        <v>8.7074765197096195E-3</v>
      </c>
      <c r="BC114">
        <v>49999.308439337561</v>
      </c>
      <c r="BD114">
        <v>5.130930814260172E-2</v>
      </c>
      <c r="BF114">
        <v>49999.850338802273</v>
      </c>
      <c r="BG114">
        <v>2.9667192041162157E-3</v>
      </c>
      <c r="BI114">
        <v>49999.201699427809</v>
      </c>
      <c r="BJ114">
        <v>6.2028659231319644E-2</v>
      </c>
      <c r="BL114">
        <v>49999.312992452527</v>
      </c>
      <c r="BM114">
        <v>5.623230694627733E-2</v>
      </c>
      <c r="BO114">
        <v>49999.214568480653</v>
      </c>
      <c r="BP114">
        <v>6.1706210130512022E-2</v>
      </c>
      <c r="BR114">
        <v>49999.222568779318</v>
      </c>
      <c r="BS114">
        <v>6.1409767875816208E-2</v>
      </c>
      <c r="BU114">
        <v>49999.188270064624</v>
      </c>
      <c r="BV114">
        <v>6.1888532654232845E-2</v>
      </c>
      <c r="BX114">
        <v>49999.893207091758</v>
      </c>
      <c r="BY114">
        <v>2.0722702850164326E-6</v>
      </c>
    </row>
    <row r="115" spans="13:77" x14ac:dyDescent="0.35">
      <c r="M115">
        <v>21994.277273028358</v>
      </c>
      <c r="N115">
        <v>7633.0386986430576</v>
      </c>
      <c r="P115">
        <v>21995.752851678117</v>
      </c>
      <c r="Q115">
        <v>7637.5291475710401</v>
      </c>
      <c r="S115">
        <v>21986.281646604872</v>
      </c>
      <c r="T115">
        <v>7633.1085849198143</v>
      </c>
      <c r="V115">
        <v>21995.935603970167</v>
      </c>
      <c r="W115">
        <v>7638.2061653145465</v>
      </c>
      <c r="Y115">
        <v>21997.177578446859</v>
      </c>
      <c r="Z115">
        <v>7638.4057219947917</v>
      </c>
      <c r="AB115">
        <v>21996.163277349769</v>
      </c>
      <c r="AC115">
        <v>7638.2479817678668</v>
      </c>
      <c r="AE115">
        <v>21996.280397699738</v>
      </c>
      <c r="AF115">
        <v>7638.2688286661332</v>
      </c>
      <c r="AH115">
        <v>21995.573120513556</v>
      </c>
      <c r="AI115">
        <v>7638.1367249330633</v>
      </c>
      <c r="AK115">
        <v>22031.630722008285</v>
      </c>
      <c r="AL115">
        <v>7715.8709800272372</v>
      </c>
      <c r="AZ115">
        <v>49999.810030518442</v>
      </c>
      <c r="BA115">
        <v>7.7943975725806849E-3</v>
      </c>
      <c r="BC115">
        <v>49999.37983880777</v>
      </c>
      <c r="BD115">
        <v>4.592886265445191E-2</v>
      </c>
      <c r="BF115">
        <v>49999.867094346897</v>
      </c>
      <c r="BG115">
        <v>2.6556251887408168E-3</v>
      </c>
      <c r="BI115">
        <v>49999.283670497964</v>
      </c>
      <c r="BJ115">
        <v>5.552413068291711E-2</v>
      </c>
      <c r="BL115">
        <v>49999.383078826511</v>
      </c>
      <c r="BM115">
        <v>5.0335621976489928E-2</v>
      </c>
      <c r="BO115">
        <v>49999.295109565421</v>
      </c>
      <c r="BP115">
        <v>5.5235497066712547E-2</v>
      </c>
      <c r="BR115">
        <v>49999.302236266754</v>
      </c>
      <c r="BS115">
        <v>5.4970142202635103E-2</v>
      </c>
      <c r="BU115">
        <v>49999.271809755373</v>
      </c>
      <c r="BV115">
        <v>5.5398695718520859E-2</v>
      </c>
      <c r="BX115">
        <v>49999.905502152229</v>
      </c>
      <c r="BY115">
        <v>1.8549696121177737E-6</v>
      </c>
    </row>
    <row r="116" spans="13:77" x14ac:dyDescent="0.35">
      <c r="M116">
        <v>21995.945616534329</v>
      </c>
      <c r="N116">
        <v>7632.6093505636891</v>
      </c>
      <c r="P116">
        <v>21996.141154857403</v>
      </c>
      <c r="Q116">
        <v>7637.1718202860602</v>
      </c>
      <c r="S116">
        <v>21989.177596984835</v>
      </c>
      <c r="T116">
        <v>7632.0294533856022</v>
      </c>
      <c r="V116">
        <v>21996.137091507841</v>
      </c>
      <c r="W116">
        <v>7637.8564771784058</v>
      </c>
      <c r="Y116">
        <v>21997.139079476226</v>
      </c>
      <c r="Z116">
        <v>7638.1547989466044</v>
      </c>
      <c r="AB116">
        <v>21996.319547579216</v>
      </c>
      <c r="AC116">
        <v>7637.9163426606792</v>
      </c>
      <c r="AE116">
        <v>21996.413562454116</v>
      </c>
      <c r="AF116">
        <v>7637.9464815473684</v>
      </c>
      <c r="AH116">
        <v>21995.847268788479</v>
      </c>
      <c r="AI116">
        <v>7637.7583315272741</v>
      </c>
      <c r="AK116">
        <v>22008.086311458756</v>
      </c>
      <c r="AL116">
        <v>7717.6145336398913</v>
      </c>
      <c r="AZ116">
        <v>49999.830653263882</v>
      </c>
      <c r="BA116">
        <v>6.9770659919668561E-3</v>
      </c>
      <c r="BC116">
        <v>49999.443880013423</v>
      </c>
      <c r="BD116">
        <v>4.1112636576640632E-2</v>
      </c>
      <c r="BF116">
        <v>49999.881970626062</v>
      </c>
      <c r="BG116">
        <v>2.3771530296823979E-3</v>
      </c>
      <c r="BI116">
        <v>49999.357246284235</v>
      </c>
      <c r="BJ116">
        <v>4.9701702227865907E-2</v>
      </c>
      <c r="BL116">
        <v>49999.446040840274</v>
      </c>
      <c r="BM116">
        <v>4.5057291506476138E-2</v>
      </c>
      <c r="BO116">
        <v>49999.367414586763</v>
      </c>
      <c r="BP116">
        <v>4.9443337528010674E-2</v>
      </c>
      <c r="BR116">
        <v>49999.373763289528</v>
      </c>
      <c r="BS116">
        <v>4.9205809761768471E-2</v>
      </c>
      <c r="BU116">
        <v>49999.346771207398</v>
      </c>
      <c r="BV116">
        <v>4.9589418761741985E-2</v>
      </c>
      <c r="BX116">
        <v>49999.916381679795</v>
      </c>
      <c r="BY116">
        <v>1.6604554097828204E-6</v>
      </c>
    </row>
    <row r="117" spans="13:77" x14ac:dyDescent="0.35">
      <c r="M117">
        <v>21997.454836920773</v>
      </c>
      <c r="N117">
        <v>7632.319997860679</v>
      </c>
      <c r="P117">
        <v>21996.552615407378</v>
      </c>
      <c r="Q117">
        <v>7636.8498336316552</v>
      </c>
      <c r="S117">
        <v>21991.875378954144</v>
      </c>
      <c r="T117">
        <v>7631.1969340758233</v>
      </c>
      <c r="V117">
        <v>21996.38902185281</v>
      </c>
      <c r="W117">
        <v>7637.5268766381851</v>
      </c>
      <c r="Y117">
        <v>21997.165273561026</v>
      </c>
      <c r="Z117">
        <v>7637.9034159911944</v>
      </c>
      <c r="AB117">
        <v>21996.529076574181</v>
      </c>
      <c r="AC117">
        <v>7637.6009256231264</v>
      </c>
      <c r="AE117">
        <v>21996.60140871441</v>
      </c>
      <c r="AF117">
        <v>7637.6383805266851</v>
      </c>
      <c r="AH117">
        <v>21996.167265104807</v>
      </c>
      <c r="AI117">
        <v>7637.4062341437166</v>
      </c>
      <c r="AK117">
        <v>21987.819228858203</v>
      </c>
      <c r="AL117">
        <v>7717.4080578245648</v>
      </c>
      <c r="AZ117">
        <v>49999.849032623315</v>
      </c>
      <c r="BA117">
        <v>6.2454413978529711E-3</v>
      </c>
      <c r="BC117">
        <v>49999.501319724368</v>
      </c>
      <c r="BD117">
        <v>3.6801461171722984E-2</v>
      </c>
      <c r="BF117">
        <v>49999.89517877785</v>
      </c>
      <c r="BG117">
        <v>2.1278819149293804E-3</v>
      </c>
      <c r="BI117">
        <v>49999.42328406348</v>
      </c>
      <c r="BJ117">
        <v>4.4489842422579556E-2</v>
      </c>
      <c r="BL117">
        <v>49999.502599658947</v>
      </c>
      <c r="BM117">
        <v>4.0332469822971791E-2</v>
      </c>
      <c r="BO117">
        <v>49999.432323058194</v>
      </c>
      <c r="BP117">
        <v>4.4258572098241772E-2</v>
      </c>
      <c r="BR117">
        <v>49999.437978876922</v>
      </c>
      <c r="BS117">
        <v>4.4045953103007261E-2</v>
      </c>
      <c r="BU117">
        <v>49999.414033008608</v>
      </c>
      <c r="BV117">
        <v>4.4389331740756183E-2</v>
      </c>
      <c r="BX117">
        <v>49999.926008645409</v>
      </c>
      <c r="BY117">
        <v>1.4863382405539219E-6</v>
      </c>
    </row>
    <row r="118" spans="13:77" x14ac:dyDescent="0.35">
      <c r="M118">
        <v>21998.796950235996</v>
      </c>
      <c r="N118">
        <v>7632.1562262595835</v>
      </c>
      <c r="P118">
        <v>21996.975365216462</v>
      </c>
      <c r="Q118">
        <v>7636.5646896092931</v>
      </c>
      <c r="S118">
        <v>21994.348200197299</v>
      </c>
      <c r="T118">
        <v>7630.592256114971</v>
      </c>
      <c r="V118">
        <v>21996.678847121093</v>
      </c>
      <c r="W118">
        <v>7637.2212454752671</v>
      </c>
      <c r="Y118">
        <v>21997.246199547855</v>
      </c>
      <c r="Z118">
        <v>7637.656832941062</v>
      </c>
      <c r="AB118">
        <v>21996.779781968682</v>
      </c>
      <c r="AC118">
        <v>7637.3058827333671</v>
      </c>
      <c r="AE118">
        <v>21996.832094693382</v>
      </c>
      <c r="AF118">
        <v>7637.3488144808298</v>
      </c>
      <c r="AH118">
        <v>21996.51982520182</v>
      </c>
      <c r="AI118">
        <v>7637.0838745159044</v>
      </c>
      <c r="AK118">
        <v>21970.772453644022</v>
      </c>
      <c r="AL118">
        <v>7715.5413765393132</v>
      </c>
      <c r="AZ118">
        <v>49999.865413150568</v>
      </c>
      <c r="BA118">
        <v>5.5905362995770135E-3</v>
      </c>
      <c r="BC118">
        <v>49999.552837061899</v>
      </c>
      <c r="BD118">
        <v>3.2942373016932744E-2</v>
      </c>
      <c r="BF118">
        <v>49999.906906179531</v>
      </c>
      <c r="BG118">
        <v>1.9047497533420939E-3</v>
      </c>
      <c r="BI118">
        <v>49999.482553873073</v>
      </c>
      <c r="BJ118">
        <v>3.9824521821637371E-2</v>
      </c>
      <c r="BL118">
        <v>49999.553403808051</v>
      </c>
      <c r="BM118">
        <v>3.6103111878244332E-2</v>
      </c>
      <c r="BO118">
        <v>49999.490589239285</v>
      </c>
      <c r="BP118">
        <v>3.9617504321688465E-2</v>
      </c>
      <c r="BR118">
        <v>49999.495627956596</v>
      </c>
      <c r="BS118">
        <v>3.9427181859894959E-2</v>
      </c>
      <c r="BU118">
        <v>49999.474384027933</v>
      </c>
      <c r="BV118">
        <v>3.9734549706522987E-2</v>
      </c>
      <c r="BX118">
        <v>49999.934527257072</v>
      </c>
      <c r="BY118">
        <v>1.3304792314264455E-6</v>
      </c>
    </row>
    <row r="119" spans="13:77" x14ac:dyDescent="0.35">
      <c r="M119">
        <v>21999.968579057753</v>
      </c>
      <c r="N119">
        <v>7632.1031336342039</v>
      </c>
      <c r="P119">
        <v>21997.399031389265</v>
      </c>
      <c r="Q119">
        <v>7636.3169107221402</v>
      </c>
      <c r="S119">
        <v>21996.577799526505</v>
      </c>
      <c r="T119">
        <v>7630.1946993264828</v>
      </c>
      <c r="V119">
        <v>21996.995064453353</v>
      </c>
      <c r="W119">
        <v>7636.942404784817</v>
      </c>
      <c r="Y119">
        <v>21997.372216629214</v>
      </c>
      <c r="Z119">
        <v>7637.4194441195277</v>
      </c>
      <c r="AB119">
        <v>21997.060490826141</v>
      </c>
      <c r="AC119">
        <v>7637.0343402400922</v>
      </c>
      <c r="AE119">
        <v>21997.094618627314</v>
      </c>
      <c r="AF119">
        <v>7637.0810645078136</v>
      </c>
      <c r="AH119">
        <v>21996.892927218472</v>
      </c>
      <c r="AI119">
        <v>7636.7935787180386</v>
      </c>
      <c r="AK119">
        <v>21956.82913872437</v>
      </c>
      <c r="AL119">
        <v>7712.2974173779476</v>
      </c>
      <c r="AZ119">
        <v>49999.88001268341</v>
      </c>
      <c r="BA119">
        <v>5.004305679523955E-3</v>
      </c>
      <c r="BC119">
        <v>49999.599041444504</v>
      </c>
      <c r="BD119">
        <v>2.9487963145890864E-2</v>
      </c>
      <c r="BF119">
        <v>49999.917319125736</v>
      </c>
      <c r="BG119">
        <v>1.7050155564883413E-3</v>
      </c>
      <c r="BI119">
        <v>49999.535747353126</v>
      </c>
      <c r="BJ119">
        <v>3.5648426085863633E-2</v>
      </c>
      <c r="BL119">
        <v>49999.599036447114</v>
      </c>
      <c r="BM119">
        <v>3.2317259992486302E-2</v>
      </c>
      <c r="BO119">
        <v>49999.542890755576</v>
      </c>
      <c r="BP119">
        <v>3.5463117910083865E-2</v>
      </c>
      <c r="BR119">
        <v>49999.547379847536</v>
      </c>
      <c r="BS119">
        <v>3.5292753722378882E-2</v>
      </c>
      <c r="BU119">
        <v>49999.528532545744</v>
      </c>
      <c r="BV119">
        <v>3.5567887680428796E-2</v>
      </c>
      <c r="BX119">
        <v>49999.942065120027</v>
      </c>
      <c r="BY119">
        <v>1.1909637981949898E-6</v>
      </c>
    </row>
    <row r="120" spans="13:77" x14ac:dyDescent="0.35">
      <c r="M120">
        <v>22000.970352315744</v>
      </c>
      <c r="N120">
        <v>7632.1457069518838</v>
      </c>
      <c r="P120">
        <v>21997.814732522533</v>
      </c>
      <c r="Q120">
        <v>7636.1061719824847</v>
      </c>
      <c r="S120">
        <v>21998.553581249445</v>
      </c>
      <c r="T120">
        <v>7629.9823023167237</v>
      </c>
      <c r="V120">
        <v>21997.327301238711</v>
      </c>
      <c r="W120">
        <v>7636.6922113811952</v>
      </c>
      <c r="Y120">
        <v>21997.534156805628</v>
      </c>
      <c r="Z120">
        <v>7637.1948137221971</v>
      </c>
      <c r="AB120">
        <v>21997.36103782781</v>
      </c>
      <c r="AC120">
        <v>7636.7884835694686</v>
      </c>
      <c r="AE120">
        <v>21997.378923552762</v>
      </c>
      <c r="AF120">
        <v>7636.8374830961575</v>
      </c>
      <c r="AH120">
        <v>21997.275875927469</v>
      </c>
      <c r="AI120">
        <v>7636.536671828273</v>
      </c>
      <c r="AK120">
        <v>21945.824152489131</v>
      </c>
      <c r="AL120">
        <v>7707.9468616307349</v>
      </c>
      <c r="AZ120">
        <v>49999.893025268437</v>
      </c>
      <c r="BA120">
        <v>4.4795481570781863E-3</v>
      </c>
      <c r="BC120">
        <v>49999.640479722977</v>
      </c>
      <c r="BD120">
        <v>2.6395794472119129E-2</v>
      </c>
      <c r="BF120">
        <v>49999.92656520431</v>
      </c>
      <c r="BG120">
        <v>1.5262257656427549E-3</v>
      </c>
      <c r="BI120">
        <v>49999.583485696727</v>
      </c>
      <c r="BJ120">
        <v>3.191025164893934E-2</v>
      </c>
      <c r="BL120">
        <v>49999.640021920146</v>
      </c>
      <c r="BM120">
        <v>2.8928405387238329E-2</v>
      </c>
      <c r="BO120">
        <v>49999.589836351362</v>
      </c>
      <c r="BP120">
        <v>3.1744376077235986E-2</v>
      </c>
      <c r="BR120">
        <v>49999.593835899963</v>
      </c>
      <c r="BS120">
        <v>3.1591877141492579E-2</v>
      </c>
      <c r="BU120">
        <v>49999.577114458785</v>
      </c>
      <c r="BV120">
        <v>3.1838157904638301E-2</v>
      </c>
      <c r="BX120">
        <v>49999.948735148231</v>
      </c>
      <c r="BY120">
        <v>1.0660781253476369E-6</v>
      </c>
    </row>
    <row r="121" spans="13:77" x14ac:dyDescent="0.35">
      <c r="M121">
        <v>22001.806310050939</v>
      </c>
      <c r="N121">
        <v>7632.2691467282366</v>
      </c>
      <c r="P121">
        <v>21998.215044766806</v>
      </c>
      <c r="Q121">
        <v>7635.9314311330008</v>
      </c>
      <c r="S121">
        <v>22000.271718728392</v>
      </c>
      <c r="T121">
        <v>7629.93249261859</v>
      </c>
      <c r="V121">
        <v>21997.666364586166</v>
      </c>
      <c r="W121">
        <v>7636.4716600417269</v>
      </c>
      <c r="Y121">
        <v>21997.723445346284</v>
      </c>
      <c r="Z121">
        <v>7636.9857231866208</v>
      </c>
      <c r="AB121">
        <v>21997.672328344961</v>
      </c>
      <c r="AC121">
        <v>7636.5696493562018</v>
      </c>
      <c r="AE121">
        <v>21997.675967300987</v>
      </c>
      <c r="AF121">
        <v>7636.6195809213168</v>
      </c>
      <c r="AH121">
        <v>21997.659330233084</v>
      </c>
      <c r="AI121">
        <v>7636.3135965125302</v>
      </c>
      <c r="AK121">
        <v>21937.554920695304</v>
      </c>
      <c r="AL121">
        <v>7702.7439309564015</v>
      </c>
      <c r="AZ121">
        <v>49999.90462376504</v>
      </c>
      <c r="BA121">
        <v>4.0098175181316215E-3</v>
      </c>
      <c r="BC121">
        <v>49999.677642587456</v>
      </c>
      <c r="BD121">
        <v>2.3627880327921198E-2</v>
      </c>
      <c r="BF121">
        <v>49999.934775404043</v>
      </c>
      <c r="BG121">
        <v>1.3661841101557535E-3</v>
      </c>
      <c r="BI121">
        <v>49999.626326797683</v>
      </c>
      <c r="BJ121">
        <v>2.8564075276682463E-2</v>
      </c>
      <c r="BL121">
        <v>49999.676831654193</v>
      </c>
      <c r="BM121">
        <v>2.5894916696347338E-2</v>
      </c>
      <c r="BO121">
        <v>49999.631972862189</v>
      </c>
      <c r="BP121">
        <v>2.8415594380817186E-2</v>
      </c>
      <c r="BR121">
        <v>49999.635536367365</v>
      </c>
      <c r="BS121">
        <v>2.827908718724001E-2</v>
      </c>
      <c r="BU121">
        <v>49999.620700653089</v>
      </c>
      <c r="BV121">
        <v>2.8499540819761637E-2</v>
      </c>
      <c r="BX121">
        <v>49999.954637255803</v>
      </c>
      <c r="BY121">
        <v>9.5428811250490595E-7</v>
      </c>
    </row>
    <row r="122" spans="13:77" x14ac:dyDescent="0.35">
      <c r="M122">
        <v>22002.48332452813</v>
      </c>
      <c r="N122">
        <v>7632.459140036578</v>
      </c>
      <c r="P122">
        <v>21998.59394277844</v>
      </c>
      <c r="Q122">
        <v>7635.7910546609492</v>
      </c>
      <c r="S122">
        <v>22001.734249673787</v>
      </c>
      <c r="T122">
        <v>7630.0226376633645</v>
      </c>
      <c r="V122">
        <v>21998.004259243404</v>
      </c>
      <c r="W122">
        <v>7636.2809886216619</v>
      </c>
      <c r="Y122">
        <v>21997.932191433945</v>
      </c>
      <c r="Z122">
        <v>7636.7942278300325</v>
      </c>
      <c r="AB122">
        <v>21997.986370221341</v>
      </c>
      <c r="AC122">
        <v>7636.3784215678061</v>
      </c>
      <c r="AE122">
        <v>21997.977761344944</v>
      </c>
      <c r="AF122">
        <v>7636.4281183577095</v>
      </c>
      <c r="AH122">
        <v>21998.035298728711</v>
      </c>
      <c r="AI122">
        <v>7636.124032507244</v>
      </c>
      <c r="AK122">
        <v>21931.791418770834</v>
      </c>
      <c r="AL122">
        <v>7696.9232347403022</v>
      </c>
      <c r="AZ122">
        <v>49999.914962163748</v>
      </c>
      <c r="BA122">
        <v>3.5893435228978197E-3</v>
      </c>
      <c r="BC122">
        <v>49999.710970320273</v>
      </c>
      <c r="BD122">
        <v>2.1150217704921499E-2</v>
      </c>
      <c r="BF122">
        <v>49999.942065984513</v>
      </c>
      <c r="BG122">
        <v>1.2229246268094902E-3</v>
      </c>
      <c r="BI122">
        <v>49999.664771676296</v>
      </c>
      <c r="BJ122">
        <v>2.5568789763549041E-2</v>
      </c>
      <c r="BL122">
        <v>49999.709889470352</v>
      </c>
      <c r="BM122">
        <v>2.3179528425787098E-2</v>
      </c>
      <c r="BO122">
        <v>49999.669791485023</v>
      </c>
      <c r="BP122">
        <v>2.5435879356472367E-2</v>
      </c>
      <c r="BR122">
        <v>49999.672966587292</v>
      </c>
      <c r="BS122">
        <v>2.531368688206798E-2</v>
      </c>
      <c r="BU122">
        <v>49999.659803628711</v>
      </c>
      <c r="BV122">
        <v>2.5511022031577311E-2</v>
      </c>
      <c r="BX122">
        <v>49999.959859853683</v>
      </c>
      <c r="BY122">
        <v>8.5422052871649314E-7</v>
      </c>
    </row>
    <row r="123" spans="13:77" x14ac:dyDescent="0.35">
      <c r="M123">
        <v>22003.010547150046</v>
      </c>
      <c r="N123">
        <v>7632.7020839848819</v>
      </c>
      <c r="P123">
        <v>21998.946720436888</v>
      </c>
      <c r="Q123">
        <v>7635.6829376263286</v>
      </c>
      <c r="S123">
        <v>22002.94818264999</v>
      </c>
      <c r="T123">
        <v>7630.2305170518093</v>
      </c>
      <c r="V123">
        <v>21998.334178197594</v>
      </c>
      <c r="W123">
        <v>7636.1197834510322</v>
      </c>
      <c r="Y123">
        <v>21998.153251475629</v>
      </c>
      <c r="Z123">
        <v>7636.6217202264088</v>
      </c>
      <c r="AB123">
        <v>21998.296278176658</v>
      </c>
      <c r="AC123">
        <v>7636.2147291383872</v>
      </c>
      <c r="AE123">
        <v>21998.277382243337</v>
      </c>
      <c r="AF123">
        <v>7636.2631991262679</v>
      </c>
      <c r="AH123">
        <v>21998.39710806523</v>
      </c>
      <c r="AI123">
        <v>7635.9670144059965</v>
      </c>
      <c r="AK123">
        <v>21928.285215658914</v>
      </c>
      <c r="AL123">
        <v>7690.6975821780497</v>
      </c>
      <c r="AZ123">
        <v>49999.924177650333</v>
      </c>
      <c r="BA123">
        <v>3.2129610188549335E-3</v>
      </c>
      <c r="BC123">
        <v>49999.740857961275</v>
      </c>
      <c r="BD123">
        <v>1.8932369456103042E-2</v>
      </c>
      <c r="BF123">
        <v>49999.948540135018</v>
      </c>
      <c r="BG123">
        <v>1.0946875086332935E-3</v>
      </c>
      <c r="BI123">
        <v>49999.69927025574</v>
      </c>
      <c r="BJ123">
        <v>2.2887598825522874E-2</v>
      </c>
      <c r="BL123">
        <v>49999.739576365231</v>
      </c>
      <c r="BM123">
        <v>2.0748883071745425E-2</v>
      </c>
      <c r="BO123">
        <v>49999.703733416449</v>
      </c>
      <c r="BP123">
        <v>2.2768626039721428E-2</v>
      </c>
      <c r="BR123">
        <v>49999.706562540036</v>
      </c>
      <c r="BS123">
        <v>2.2659247138707483E-2</v>
      </c>
      <c r="BU123">
        <v>49999.694883452015</v>
      </c>
      <c r="BV123">
        <v>2.2835888341395535E-2</v>
      </c>
      <c r="BX123">
        <v>49999.964481174007</v>
      </c>
      <c r="BY123">
        <v>7.646461430639379E-7</v>
      </c>
    </row>
    <row r="124" spans="13:77" x14ac:dyDescent="0.35">
      <c r="M124">
        <v>22003.398888745676</v>
      </c>
      <c r="N124">
        <v>7632.9852622815752</v>
      </c>
      <c r="P124">
        <v>21999.269895906436</v>
      </c>
      <c r="Q124">
        <v>7635.6046157419123</v>
      </c>
      <c r="S124">
        <v>22003.924631267993</v>
      </c>
      <c r="T124">
        <v>7630.5347180457784</v>
      </c>
      <c r="V124">
        <v>21998.650470135588</v>
      </c>
      <c r="W124">
        <v>7635.9870827990871</v>
      </c>
      <c r="Y124">
        <v>21998.380267761415</v>
      </c>
      <c r="Z124">
        <v>7636.4689980266294</v>
      </c>
      <c r="AB124">
        <v>21998.596254733591</v>
      </c>
      <c r="AC124">
        <v>7636.0779428771157</v>
      </c>
      <c r="AE124">
        <v>21998.568959442884</v>
      </c>
      <c r="AF124">
        <v>7636.1243638328533</v>
      </c>
      <c r="AH124">
        <v>21998.739348745734</v>
      </c>
      <c r="AI124">
        <v>7635.8410455714311</v>
      </c>
      <c r="AK124">
        <v>21926.777513677669</v>
      </c>
      <c r="AL124">
        <v>7684.2566511027262</v>
      </c>
      <c r="AZ124">
        <v>49999.932392443632</v>
      </c>
      <c r="BA124">
        <v>2.876046487738372E-3</v>
      </c>
      <c r="BC124">
        <v>49999.767659945377</v>
      </c>
      <c r="BD124">
        <v>1.6947090321909587E-2</v>
      </c>
      <c r="BF124">
        <v>49999.954289446359</v>
      </c>
      <c r="BG124">
        <v>9.7989748642846671E-4</v>
      </c>
      <c r="BI124">
        <v>49999.730226554297</v>
      </c>
      <c r="BJ124">
        <v>2.0487564977486487E-2</v>
      </c>
      <c r="BL124">
        <v>49999.766234815303</v>
      </c>
      <c r="BM124">
        <v>1.8573121266860414E-2</v>
      </c>
      <c r="BO124">
        <v>49999.734194922232</v>
      </c>
      <c r="BP124">
        <v>2.0381068196220726E-2</v>
      </c>
      <c r="BR124">
        <v>49999.736715847466</v>
      </c>
      <c r="BS124">
        <v>2.0283159152742845E-2</v>
      </c>
      <c r="BU124">
        <v>49999.726353103331</v>
      </c>
      <c r="BV124">
        <v>2.0441276641980435E-2</v>
      </c>
      <c r="BX124">
        <v>49999.968570442012</v>
      </c>
      <c r="BY124">
        <v>6.8446462430515799E-7</v>
      </c>
    </row>
    <row r="125" spans="13:77" x14ac:dyDescent="0.35">
      <c r="M125">
        <v>22003.660539044668</v>
      </c>
      <c r="N125">
        <v>7633.2969780703952</v>
      </c>
      <c r="P125">
        <v>21999.561105275723</v>
      </c>
      <c r="Q125">
        <v>7635.553368530349</v>
      </c>
      <c r="S125">
        <v>22004.677989642638</v>
      </c>
      <c r="T125">
        <v>7630.9149574131925</v>
      </c>
      <c r="V125">
        <v>21998.948587806724</v>
      </c>
      <c r="W125">
        <v>7635.8814765567704</v>
      </c>
      <c r="Y125">
        <v>21998.607685269817</v>
      </c>
      <c r="Z125">
        <v>7636.3363341711074</v>
      </c>
      <c r="AB125">
        <v>21998.881551483661</v>
      </c>
      <c r="AC125">
        <v>7635.9669697596537</v>
      </c>
      <c r="AE125">
        <v>21998.847643136836</v>
      </c>
      <c r="AF125">
        <v>7636.0106814847604</v>
      </c>
      <c r="AH125">
        <v>21999.057802752082</v>
      </c>
      <c r="AI125">
        <v>7635.7442063930794</v>
      </c>
      <c r="AK125">
        <v>21927.006164940394</v>
      </c>
      <c r="AL125">
        <v>7677.7664002587944</v>
      </c>
      <c r="AZ125">
        <v>49999.939715431952</v>
      </c>
      <c r="BA125">
        <v>2.5744612468859064E-3</v>
      </c>
      <c r="BC125">
        <v>49999.791694266074</v>
      </c>
      <c r="BD125">
        <v>1.5169992182340939E-2</v>
      </c>
      <c r="BF125">
        <v>49999.95939521664</v>
      </c>
      <c r="BG125">
        <v>8.7714447738018004E-4</v>
      </c>
      <c r="BI125">
        <v>49999.758003352239</v>
      </c>
      <c r="BJ125">
        <v>1.8339204835439406E-2</v>
      </c>
      <c r="BL125">
        <v>49999.79017265133</v>
      </c>
      <c r="BM125">
        <v>1.6625514915543978E-2</v>
      </c>
      <c r="BO125">
        <v>49999.761531895259</v>
      </c>
      <c r="BP125">
        <v>1.824387572979352E-2</v>
      </c>
      <c r="BR125">
        <v>49999.76377826801</v>
      </c>
      <c r="BS125">
        <v>1.8156233745973666E-2</v>
      </c>
      <c r="BU125">
        <v>49999.754583281232</v>
      </c>
      <c r="BV125">
        <v>1.829777013179279E-2</v>
      </c>
      <c r="BX125">
        <v>49999.972188912994</v>
      </c>
      <c r="BY125">
        <v>6.1269102403628395E-7</v>
      </c>
    </row>
    <row r="126" spans="13:77" x14ac:dyDescent="0.35">
      <c r="M126">
        <v>22003.808529521721</v>
      </c>
      <c r="N126">
        <v>7633.6266466341485</v>
      </c>
      <c r="P126">
        <v>21999.818988626652</v>
      </c>
      <c r="Q126">
        <v>7635.5263127378003</v>
      </c>
      <c r="S126">
        <v>22005.225159936865</v>
      </c>
      <c r="T126">
        <v>7631.3523337456318</v>
      </c>
      <c r="V126">
        <v>21999.225021134047</v>
      </c>
      <c r="W126">
        <v>7635.8012006364661</v>
      </c>
      <c r="Y126">
        <v>21998.830749459601</v>
      </c>
      <c r="Z126">
        <v>7636.2235476958776</v>
      </c>
      <c r="AB126">
        <v>21999.148414354848</v>
      </c>
      <c r="AC126">
        <v>7635.8803430419202</v>
      </c>
      <c r="AE126">
        <v>21999.109555748317</v>
      </c>
      <c r="AF126">
        <v>7635.9208373945667</v>
      </c>
      <c r="AH126">
        <v>21999.349357139574</v>
      </c>
      <c r="AI126">
        <v>7635.6742554883804</v>
      </c>
      <c r="AK126">
        <v>21928.711674011403</v>
      </c>
      <c r="AL126">
        <v>7671.3691117420303</v>
      </c>
      <c r="AZ126">
        <v>49999.946243630155</v>
      </c>
      <c r="BA126">
        <v>2.3045006070293843E-3</v>
      </c>
      <c r="BC126">
        <v>49999.813246213256</v>
      </c>
      <c r="BD126">
        <v>1.3579244419648102E-2</v>
      </c>
      <c r="BF126">
        <v>49999.96392960981</v>
      </c>
      <c r="BG126">
        <v>7.8516626299583411E-4</v>
      </c>
      <c r="BI126">
        <v>49999.782926386237</v>
      </c>
      <c r="BJ126">
        <v>1.6416126867630984E-2</v>
      </c>
      <c r="BL126">
        <v>49999.811666545487</v>
      </c>
      <c r="BM126">
        <v>1.4882138808276093E-2</v>
      </c>
      <c r="BO126">
        <v>49999.786063953215</v>
      </c>
      <c r="BP126">
        <v>1.6330794318277001E-2</v>
      </c>
      <c r="BR126">
        <v>49999.788065738343</v>
      </c>
      <c r="BS126">
        <v>1.6252342734465297E-2</v>
      </c>
      <c r="BU126">
        <v>49999.779906718344</v>
      </c>
      <c r="BV126">
        <v>1.637903688273222E-2</v>
      </c>
      <c r="BX126">
        <v>49999.975390789899</v>
      </c>
      <c r="BY126">
        <v>5.4844367730492525E-7</v>
      </c>
    </row>
    <row r="127" spans="13:77" x14ac:dyDescent="0.35">
      <c r="M127">
        <v>22003.856342312672</v>
      </c>
      <c r="N127">
        <v>7633.96485185864</v>
      </c>
      <c r="P127">
        <v>22000.043071979446</v>
      </c>
      <c r="Q127">
        <v>7635.5204855026632</v>
      </c>
      <c r="S127">
        <v>22005.584840233289</v>
      </c>
      <c r="T127">
        <v>7631.8295151431557</v>
      </c>
      <c r="V127">
        <v>21999.477218672611</v>
      </c>
      <c r="W127">
        <v>7635.7442249162841</v>
      </c>
      <c r="Y127">
        <v>21999.045487864973</v>
      </c>
      <c r="Z127">
        <v>7636.1300735846371</v>
      </c>
      <c r="AB127">
        <v>21999.394016338614</v>
      </c>
      <c r="AC127">
        <v>7635.816306949866</v>
      </c>
      <c r="AE127">
        <v>21999.351730423336</v>
      </c>
      <c r="AF127">
        <v>7635.8532161877592</v>
      </c>
      <c r="AH127">
        <v>21999.611907421538</v>
      </c>
      <c r="AI127">
        <v>7635.6287227939429</v>
      </c>
      <c r="AK127">
        <v>21931.64221926167</v>
      </c>
      <c r="AL127">
        <v>7665.183954350231</v>
      </c>
      <c r="AZ127">
        <v>49999.95206347714</v>
      </c>
      <c r="BA127">
        <v>2.0628483618354895E-3</v>
      </c>
      <c r="BC127">
        <v>49999.832571728679</v>
      </c>
      <c r="BD127">
        <v>1.2155305708196522E-2</v>
      </c>
      <c r="BF127">
        <v>49999.967956683649</v>
      </c>
      <c r="BG127">
        <v>7.0283298354762065E-4</v>
      </c>
      <c r="BI127">
        <v>49999.805288118871</v>
      </c>
      <c r="BJ127">
        <v>1.4694707141029207E-2</v>
      </c>
      <c r="BL127">
        <v>49999.830965149638</v>
      </c>
      <c r="BM127">
        <v>1.332157667812635E-2</v>
      </c>
      <c r="BO127">
        <v>49999.808078122216</v>
      </c>
      <c r="BP127">
        <v>1.4618322846848776E-2</v>
      </c>
      <c r="BR127">
        <v>49999.809862007147</v>
      </c>
      <c r="BS127">
        <v>1.4548097912288529E-2</v>
      </c>
      <c r="BU127">
        <v>49999.802622058203</v>
      </c>
      <c r="BV127">
        <v>1.4661506317759048E-2</v>
      </c>
      <c r="BX127">
        <v>49999.978224035272</v>
      </c>
      <c r="BY127">
        <v>4.9093337202632321E-7</v>
      </c>
    </row>
    <row r="128" spans="13:77" x14ac:dyDescent="0.35">
      <c r="M128">
        <v>22003.81756657673</v>
      </c>
      <c r="N128">
        <v>7634.3033705229891</v>
      </c>
      <c r="P128">
        <v>22000.233648144404</v>
      </c>
      <c r="Q128">
        <v>7635.5329170606365</v>
      </c>
      <c r="S128">
        <v>22005.776878588022</v>
      </c>
      <c r="T128">
        <v>7632.3308677398463</v>
      </c>
      <c r="V128">
        <v>21999.703500728909</v>
      </c>
      <c r="W128">
        <v>7635.7083338599159</v>
      </c>
      <c r="Y128">
        <v>21999.24867823346</v>
      </c>
      <c r="Z128">
        <v>7636.0550303654791</v>
      </c>
      <c r="AB128">
        <v>21999.61638088807</v>
      </c>
      <c r="AC128">
        <v>7635.7728949924549</v>
      </c>
      <c r="AE128">
        <v>21999.57203969219</v>
      </c>
      <c r="AF128">
        <v>7635.8059789187646</v>
      </c>
      <c r="AH128">
        <v>21999.844254219101</v>
      </c>
      <c r="AI128">
        <v>7635.604993814005</v>
      </c>
      <c r="AK128">
        <v>21935.557742577806</v>
      </c>
      <c r="AL128">
        <v>7659.3079654338308</v>
      </c>
      <c r="AZ128">
        <v>49999.957251991247</v>
      </c>
      <c r="BA128">
        <v>1.8465360500244542E-3</v>
      </c>
      <c r="BC128">
        <v>49999.849900418063</v>
      </c>
      <c r="BD128">
        <v>1.0880683934649126E-2</v>
      </c>
      <c r="BF128">
        <v>49999.97153330181</v>
      </c>
      <c r="BG128">
        <v>6.2913325851894381E-4</v>
      </c>
      <c r="BI128">
        <v>49999.825351126128</v>
      </c>
      <c r="BJ128">
        <v>1.3153799077013962E-2</v>
      </c>
      <c r="BL128">
        <v>49999.848291919378</v>
      </c>
      <c r="BM128">
        <v>1.1924658086408779E-2</v>
      </c>
      <c r="BO128">
        <v>49999.827832148025</v>
      </c>
      <c r="BP128">
        <v>1.3085424673514071E-2</v>
      </c>
      <c r="BR128">
        <v>49999.82942190201</v>
      </c>
      <c r="BS128">
        <v>1.3022563704722621E-2</v>
      </c>
      <c r="BU128">
        <v>49999.822997337564</v>
      </c>
      <c r="BV128">
        <v>1.3124079621208665E-2</v>
      </c>
      <c r="BX128">
        <v>49999.980731089694</v>
      </c>
      <c r="BY128">
        <v>4.3945365414404367E-7</v>
      </c>
    </row>
    <row r="129" spans="13:77" x14ac:dyDescent="0.35">
      <c r="M129">
        <v>22003.705602511727</v>
      </c>
      <c r="N129">
        <v>7634.6351685531836</v>
      </c>
      <c r="P129">
        <v>22000.391659093013</v>
      </c>
      <c r="Q129">
        <v>7635.560693013389</v>
      </c>
      <c r="S129">
        <v>22005.821696951785</v>
      </c>
      <c r="T129">
        <v>7632.8425309412032</v>
      </c>
      <c r="V129">
        <v>21999.90296714451</v>
      </c>
      <c r="W129">
        <v>7635.6911992201112</v>
      </c>
      <c r="Y129">
        <v>21999.437805823589</v>
      </c>
      <c r="Z129">
        <v>7635.9972843878304</v>
      </c>
      <c r="AB129">
        <v>21999.814298923215</v>
      </c>
      <c r="AC129">
        <v>7635.7480012150072</v>
      </c>
      <c r="AE129">
        <v>21999.769117200187</v>
      </c>
      <c r="AF129">
        <v>7635.7771335663192</v>
      </c>
      <c r="AH129">
        <v>22000.045996284196</v>
      </c>
      <c r="AI129">
        <v>7635.6003845810765</v>
      </c>
      <c r="AK129">
        <v>21940.23316946024</v>
      </c>
      <c r="AL129">
        <v>7653.8173574838202</v>
      </c>
      <c r="AZ129">
        <v>49999.961877799135</v>
      </c>
      <c r="BA129">
        <v>1.6529064895468674E-3</v>
      </c>
      <c r="BC129">
        <v>49999.865438254899</v>
      </c>
      <c r="BD129">
        <v>9.7397212976007008E-3</v>
      </c>
      <c r="BF129">
        <v>49999.974709943141</v>
      </c>
      <c r="BG129">
        <v>5.6316176253453905E-4</v>
      </c>
      <c r="BI129">
        <v>49999.843351141382</v>
      </c>
      <c r="BJ129">
        <v>1.1774473648541004E-2</v>
      </c>
      <c r="BL129">
        <v>49999.86384765507</v>
      </c>
      <c r="BM129">
        <v>1.0674222903532008E-2</v>
      </c>
      <c r="BO129">
        <v>49999.845557472276</v>
      </c>
      <c r="BP129">
        <v>1.1713269177603134E-2</v>
      </c>
      <c r="BR129">
        <v>49999.846974266191</v>
      </c>
      <c r="BS129">
        <v>1.1656999958855758E-2</v>
      </c>
      <c r="BU129">
        <v>49999.841273114173</v>
      </c>
      <c r="BV129">
        <v>1.1747870522040869E-2</v>
      </c>
      <c r="BX129">
        <v>49999.982949507561</v>
      </c>
      <c r="BY129">
        <v>3.9337214943167811E-7</v>
      </c>
    </row>
    <row r="130" spans="13:77" x14ac:dyDescent="0.35">
      <c r="M130">
        <v>22003.533412222841</v>
      </c>
      <c r="N130">
        <v>7634.9543733545643</v>
      </c>
      <c r="P130">
        <v>22000.518582050612</v>
      </c>
      <c r="Q130">
        <v>7635.6010063978092</v>
      </c>
      <c r="S130">
        <v>22005.739786701448</v>
      </c>
      <c r="T130">
        <v>7633.3524454768867</v>
      </c>
      <c r="V130">
        <v>22000.075402419858</v>
      </c>
      <c r="W130">
        <v>7635.6904444824058</v>
      </c>
      <c r="Y130">
        <v>21999.611012321075</v>
      </c>
      <c r="Z130">
        <v>7635.9555099389054</v>
      </c>
      <c r="AB130">
        <v>21999.987242083393</v>
      </c>
      <c r="AC130">
        <v>7635.7394439544614</v>
      </c>
      <c r="AE130">
        <v>21999.942275128888</v>
      </c>
      <c r="AF130">
        <v>7635.7645984213141</v>
      </c>
      <c r="AH130">
        <v>22000.217422626614</v>
      </c>
      <c r="AI130">
        <v>7635.6122071388036</v>
      </c>
      <c r="AK130">
        <v>21945.460829901567</v>
      </c>
      <c r="AL130">
        <v>7648.7690653226045</v>
      </c>
      <c r="AZ130">
        <v>49999.966002052061</v>
      </c>
      <c r="BA130">
        <v>1.4795811357964641E-3</v>
      </c>
      <c r="BC130">
        <v>49999.879370007366</v>
      </c>
      <c r="BD130">
        <v>8.7184019454423084E-3</v>
      </c>
      <c r="BF130">
        <v>49999.977531419769</v>
      </c>
      <c r="BG130">
        <v>5.0410810413830623E-4</v>
      </c>
      <c r="BI130">
        <v>49999.859499790509</v>
      </c>
      <c r="BJ130">
        <v>1.0539786825438498E-2</v>
      </c>
      <c r="BL130">
        <v>49999.877812788101</v>
      </c>
      <c r="BM130">
        <v>9.5549104904489018E-3</v>
      </c>
      <c r="BO130">
        <v>49999.861461907487</v>
      </c>
      <c r="BP130">
        <v>1.0485000414585846E-2</v>
      </c>
      <c r="BR130">
        <v>49999.862724598461</v>
      </c>
      <c r="BS130">
        <v>1.0434631710178253E-2</v>
      </c>
      <c r="BU130">
        <v>49999.857665276017</v>
      </c>
      <c r="BV130">
        <v>1.0515973263849912E-2</v>
      </c>
      <c r="BX130">
        <v>49999.984912519612</v>
      </c>
      <c r="BY130">
        <v>3.5212279532306565E-7</v>
      </c>
    </row>
    <row r="131" spans="13:77" x14ac:dyDescent="0.35">
      <c r="M131">
        <v>22003.313315797688</v>
      </c>
      <c r="N131">
        <v>7635.2562262385582</v>
      </c>
      <c r="P131">
        <v>22000.616321116529</v>
      </c>
      <c r="Q131">
        <v>7635.6511999673276</v>
      </c>
      <c r="S131">
        <v>22005.551275818521</v>
      </c>
      <c r="T131">
        <v>7633.8503404559242</v>
      </c>
      <c r="V131">
        <v>22000.221180519853</v>
      </c>
      <c r="W131">
        <v>7635.7037009250635</v>
      </c>
      <c r="Y131">
        <v>21999.76703864682</v>
      </c>
      <c r="Z131">
        <v>7635.9282445672507</v>
      </c>
      <c r="AB131">
        <v>22000.13527456038</v>
      </c>
      <c r="AC131">
        <v>7635.7450218757922</v>
      </c>
      <c r="AE131">
        <v>22000.091419636556</v>
      </c>
      <c r="AF131">
        <v>7635.7662580970227</v>
      </c>
      <c r="AH131">
        <v>22000.359406097516</v>
      </c>
      <c r="AI131">
        <v>7635.6378255788832</v>
      </c>
      <c r="AK131">
        <v>21951.05215548952</v>
      </c>
      <c r="AL131">
        <v>7644.2024597352074</v>
      </c>
      <c r="AZ131">
        <v>49999.96967924192</v>
      </c>
      <c r="BA131">
        <v>1.3244308628269908E-3</v>
      </c>
      <c r="BC131">
        <v>49999.89186141664</v>
      </c>
      <c r="BD131">
        <v>7.8041797883690095E-3</v>
      </c>
      <c r="BF131">
        <v>49999.980037514331</v>
      </c>
      <c r="BG131">
        <v>4.5124687079102786E-4</v>
      </c>
      <c r="BI131">
        <v>49999.87398704941</v>
      </c>
      <c r="BJ131">
        <v>9.4345714095936447E-3</v>
      </c>
      <c r="BL131">
        <v>49999.890349437686</v>
      </c>
      <c r="BM131">
        <v>8.552970989823501E-3</v>
      </c>
      <c r="BO131">
        <v>49999.875732041117</v>
      </c>
      <c r="BP131">
        <v>9.3855300338549393E-3</v>
      </c>
      <c r="BR131">
        <v>49999.876857425974</v>
      </c>
      <c r="BS131">
        <v>9.340443095501208E-3</v>
      </c>
      <c r="BU131">
        <v>49999.87236756424</v>
      </c>
      <c r="BV131">
        <v>9.4132549098102317E-3</v>
      </c>
      <c r="BX131">
        <v>49999.986649530721</v>
      </c>
      <c r="BY131">
        <v>3.1519888733940806E-7</v>
      </c>
    </row>
    <row r="132" spans="13:77" x14ac:dyDescent="0.35">
      <c r="M132">
        <v>22003.056830247504</v>
      </c>
      <c r="N132">
        <v>7635.5370187919061</v>
      </c>
      <c r="P132">
        <v>22000.687105841935</v>
      </c>
      <c r="Q132">
        <v>7635.7087992377001</v>
      </c>
      <c r="S132">
        <v>22005.275566282035</v>
      </c>
      <c r="T132">
        <v>7634.3276855635177</v>
      </c>
      <c r="V132">
        <v>22000.341171369124</v>
      </c>
      <c r="W132">
        <v>7635.7286553611839</v>
      </c>
      <c r="Y132">
        <v>21999.905163724765</v>
      </c>
      <c r="Z132">
        <v>7635.9139391717072</v>
      </c>
      <c r="AB132">
        <v>22000.258965535504</v>
      </c>
      <c r="AC132">
        <v>7635.7625622593077</v>
      </c>
      <c r="AE132">
        <v>22000.216966348591</v>
      </c>
      <c r="AF132">
        <v>7635.7800120823322</v>
      </c>
      <c r="AH132">
        <v>22000.473300410264</v>
      </c>
      <c r="AI132">
        <v>7635.6747028528125</v>
      </c>
      <c r="AK132">
        <v>21956.838730577299</v>
      </c>
      <c r="AL132">
        <v>7640.1411632277614</v>
      </c>
      <c r="AZ132">
        <v>49999.972957927952</v>
      </c>
      <c r="BA132">
        <v>1.1855498086019314E-3</v>
      </c>
      <c r="BC132">
        <v>49999.903061152057</v>
      </c>
      <c r="BD132">
        <v>6.9858243684839515E-3</v>
      </c>
      <c r="BF132">
        <v>49999.982263545411</v>
      </c>
      <c r="BG132">
        <v>4.0392871778913137E-4</v>
      </c>
      <c r="BI132">
        <v>49999.886983451906</v>
      </c>
      <c r="BJ132">
        <v>8.4452507016972034E-3</v>
      </c>
      <c r="BL132">
        <v>49999.901603261074</v>
      </c>
      <c r="BM132">
        <v>7.6560964078632235E-3</v>
      </c>
      <c r="BO132">
        <v>49999.888535396036</v>
      </c>
      <c r="BP132">
        <v>8.4013519144730073E-3</v>
      </c>
      <c r="BR132">
        <v>49999.889538436873</v>
      </c>
      <c r="BS132">
        <v>8.3609928794393801E-3</v>
      </c>
      <c r="BU132">
        <v>49999.885553838925</v>
      </c>
      <c r="BV132">
        <v>8.4261694299739912E-3</v>
      </c>
      <c r="BX132">
        <v>49999.988186560375</v>
      </c>
      <c r="BY132">
        <v>2.8214685468978657E-7</v>
      </c>
    </row>
    <row r="133" spans="13:77" x14ac:dyDescent="0.35">
      <c r="M133">
        <v>22002.774548427711</v>
      </c>
      <c r="N133">
        <v>7635.7940168151054</v>
      </c>
      <c r="P133">
        <v>22000.733397844884</v>
      </c>
      <c r="Q133">
        <v>7635.771536958905</v>
      </c>
      <c r="S133">
        <v>22004.931039008556</v>
      </c>
      <c r="T133">
        <v>7634.7776143764859</v>
      </c>
      <c r="V133">
        <v>22000.436650718479</v>
      </c>
      <c r="W133">
        <v>7635.7630897899289</v>
      </c>
      <c r="Y133">
        <v>22000.025141059883</v>
      </c>
      <c r="Z133">
        <v>7635.9110025860518</v>
      </c>
      <c r="AB133">
        <v>22000.359303937748</v>
      </c>
      <c r="AC133">
        <v>7635.789961671956</v>
      </c>
      <c r="AE133">
        <v>22000.319757632606</v>
      </c>
      <c r="AF133">
        <v>7635.8038159231901</v>
      </c>
      <c r="AH133">
        <v>22000.560842221108</v>
      </c>
      <c r="AI133">
        <v>7635.7204387362917</v>
      </c>
      <c r="AK133">
        <v>21962.672775664563</v>
      </c>
      <c r="AL133">
        <v>7636.5949130082508</v>
      </c>
      <c r="AZ133">
        <v>49999.975881384045</v>
      </c>
      <c r="BA133">
        <v>1.0612319629544054E-3</v>
      </c>
      <c r="BC133">
        <v>49999.913102565799</v>
      </c>
      <c r="BD133">
        <v>6.253282893954543E-3</v>
      </c>
      <c r="BF133">
        <v>49999.984240869315</v>
      </c>
      <c r="BG133">
        <v>3.615723916316659E-4</v>
      </c>
      <c r="BI133">
        <v>49999.89864207332</v>
      </c>
      <c r="BJ133">
        <v>7.5596717096372522E-3</v>
      </c>
      <c r="BL133">
        <v>49999.911705117818</v>
      </c>
      <c r="BM133">
        <v>6.8532694110610528E-3</v>
      </c>
      <c r="BO133">
        <v>49999.900022371963</v>
      </c>
      <c r="BP133">
        <v>7.5203762409008935E-3</v>
      </c>
      <c r="BR133">
        <v>49999.900916397004</v>
      </c>
      <c r="BS133">
        <v>7.4842493274330704E-3</v>
      </c>
      <c r="BU133">
        <v>49999.897380113769</v>
      </c>
      <c r="BV133">
        <v>7.542591286160351E-3</v>
      </c>
      <c r="BX133">
        <v>49999.989546632416</v>
      </c>
      <c r="BY133">
        <v>2.5256068858003735E-7</v>
      </c>
    </row>
    <row r="134" spans="13:77" x14ac:dyDescent="0.35">
      <c r="M134">
        <v>22002.476054642364</v>
      </c>
      <c r="N134">
        <v>7636.0253751926139</v>
      </c>
      <c r="P134">
        <v>22000.757806219997</v>
      </c>
      <c r="Q134">
        <v>7635.8373697548186</v>
      </c>
      <c r="S134">
        <v>22004.534822665708</v>
      </c>
      <c r="T134">
        <v>7635.1948245156427</v>
      </c>
      <c r="V134">
        <v>22000.509214750378</v>
      </c>
      <c r="W134">
        <v>7635.8049133169006</v>
      </c>
      <c r="Y134">
        <v>22000.127134752656</v>
      </c>
      <c r="Z134">
        <v>7635.9178405419725</v>
      </c>
      <c r="AB134">
        <v>22000.437616942625</v>
      </c>
      <c r="AC134">
        <v>7635.8252192927548</v>
      </c>
      <c r="AE134">
        <v>22000.400983104049</v>
      </c>
      <c r="AF134">
        <v>7635.8357152564113</v>
      </c>
      <c r="AH134">
        <v>22000.624059552611</v>
      </c>
      <c r="AI134">
        <v>7635.7727994507286</v>
      </c>
      <c r="AK134">
        <v>21968.427139802599</v>
      </c>
      <c r="AL134">
        <v>7633.5614250514536</v>
      </c>
      <c r="AZ134">
        <v>49999.978488175206</v>
      </c>
      <c r="BA134">
        <v>9.4995021063390167E-4</v>
      </c>
      <c r="BC134">
        <v>49999.922105267695</v>
      </c>
      <c r="BD134">
        <v>5.5975567418775646E-3</v>
      </c>
      <c r="BF134">
        <v>49999.985997325341</v>
      </c>
      <c r="BG134">
        <v>3.2365758984338896E-4</v>
      </c>
      <c r="BI134">
        <v>49999.909100312376</v>
      </c>
      <c r="BJ134">
        <v>6.7669558488797433E-3</v>
      </c>
      <c r="BL134">
        <v>49999.920772566686</v>
      </c>
      <c r="BM134">
        <v>6.1346279798537191E-3</v>
      </c>
      <c r="BO134">
        <v>49999.910327989943</v>
      </c>
      <c r="BP134">
        <v>6.731780979717575E-3</v>
      </c>
      <c r="BR134">
        <v>49999.911124872335</v>
      </c>
      <c r="BS134">
        <v>6.6994423961254561E-3</v>
      </c>
      <c r="BU134">
        <v>49999.907986383172</v>
      </c>
      <c r="BV134">
        <v>6.7516664693850195E-3</v>
      </c>
      <c r="BX134">
        <v>49999.99075011997</v>
      </c>
      <c r="BY134">
        <v>2.2607695478381812E-7</v>
      </c>
    </row>
    <row r="135" spans="13:77" x14ac:dyDescent="0.35">
      <c r="M135">
        <v>22002.169873354782</v>
      </c>
      <c r="N135">
        <v>7636.2300467616196</v>
      </c>
      <c r="P135">
        <v>22000.76301220911</v>
      </c>
      <c r="Q135">
        <v>7635.9044877256665</v>
      </c>
      <c r="S135">
        <v>22004.102621896112</v>
      </c>
      <c r="T135">
        <v>7635.5754600155515</v>
      </c>
      <c r="V135">
        <v>22000.560700495207</v>
      </c>
      <c r="W135">
        <v>7635.8521868101143</v>
      </c>
      <c r="Y135">
        <v>22000.21165635141</v>
      </c>
      <c r="Z135">
        <v>7635.9328890256738</v>
      </c>
      <c r="AB135">
        <v>22000.495493348328</v>
      </c>
      <c r="AC135">
        <v>7635.8664632740438</v>
      </c>
      <c r="AE135">
        <v>22000.462104531693</v>
      </c>
      <c r="AF135">
        <v>7635.873873034222</v>
      </c>
      <c r="AH135">
        <v>22000.66518752597</v>
      </c>
      <c r="AI135">
        <v>7635.8297395443087</v>
      </c>
      <c r="AK135">
        <v>21973.994876260942</v>
      </c>
      <c r="AL135">
        <v>7631.0282211292279</v>
      </c>
      <c r="AZ135">
        <v>49999.980812671049</v>
      </c>
      <c r="BA135">
        <v>8.5033757198107541E-4</v>
      </c>
      <c r="BC135">
        <v>49999.93017653851</v>
      </c>
      <c r="BD135">
        <v>5.0105909123575139E-3</v>
      </c>
      <c r="BF135">
        <v>49999.98755763095</v>
      </c>
      <c r="BG135">
        <v>2.8971856953843573E-4</v>
      </c>
      <c r="BI135">
        <v>49999.918481491892</v>
      </c>
      <c r="BJ135">
        <v>6.0573653002026061E-3</v>
      </c>
      <c r="BL135">
        <v>49999.928911211864</v>
      </c>
      <c r="BM135">
        <v>5.4913442561097597E-3</v>
      </c>
      <c r="BO135">
        <v>49999.919573459811</v>
      </c>
      <c r="BP135">
        <v>6.0258789322494826E-3</v>
      </c>
      <c r="BR135">
        <v>49999.920283776824</v>
      </c>
      <c r="BS135">
        <v>5.9969314247896961E-3</v>
      </c>
      <c r="BU135">
        <v>49999.917498262832</v>
      </c>
      <c r="BV135">
        <v>6.0436791593262871E-3</v>
      </c>
      <c r="BX135">
        <v>49999.991815050584</v>
      </c>
      <c r="BY135">
        <v>2.0237032920756702E-7</v>
      </c>
    </row>
    <row r="136" spans="13:77" x14ac:dyDescent="0.35">
      <c r="M136">
        <v>22001.863447259148</v>
      </c>
      <c r="N136">
        <v>7636.4076879292825</v>
      </c>
      <c r="P136">
        <v>22000.751703340797</v>
      </c>
      <c r="Q136">
        <v>7635.9713178376142</v>
      </c>
      <c r="S136">
        <v>22003.648599903296</v>
      </c>
      <c r="T136">
        <v>7635.9169808919505</v>
      </c>
      <c r="V136">
        <v>22000.593112854709</v>
      </c>
      <c r="W136">
        <v>7635.9031408395304</v>
      </c>
      <c r="Y136">
        <v>22000.279503722941</v>
      </c>
      <c r="Z136">
        <v>7635.954642156411</v>
      </c>
      <c r="AB136">
        <v>22000.534712700242</v>
      </c>
      <c r="AC136">
        <v>7635.9119706079109</v>
      </c>
      <c r="AE136">
        <v>22000.504786051875</v>
      </c>
      <c r="AF136">
        <v>7635.9165903686517</v>
      </c>
      <c r="AH136">
        <v>22000.686592077585</v>
      </c>
      <c r="AI136">
        <v>7635.8894167066392</v>
      </c>
      <c r="AK136">
        <v>21979.288472179163</v>
      </c>
      <c r="AL136">
        <v>7628.9743879202588</v>
      </c>
      <c r="AZ136">
        <v>49999.982885503159</v>
      </c>
      <c r="BA136">
        <v>7.6117041077247303E-4</v>
      </c>
      <c r="BC136">
        <v>49999.937412598214</v>
      </c>
      <c r="BD136">
        <v>4.485175075486467E-3</v>
      </c>
      <c r="BF136">
        <v>49999.988943732424</v>
      </c>
      <c r="BG136">
        <v>2.5933842620779672E-4</v>
      </c>
      <c r="BI136">
        <v>49999.926896296573</v>
      </c>
      <c r="BJ136">
        <v>5.422183382611738E-3</v>
      </c>
      <c r="BL136">
        <v>49999.936215913629</v>
      </c>
      <c r="BM136">
        <v>4.9155160958159246E-3</v>
      </c>
      <c r="BO136">
        <v>49999.927867588449</v>
      </c>
      <c r="BP136">
        <v>5.3939987294852514E-3</v>
      </c>
      <c r="BR136">
        <v>49999.928500763213</v>
      </c>
      <c r="BS136">
        <v>5.3680867020366712E-3</v>
      </c>
      <c r="BU136">
        <v>49999.92602846284</v>
      </c>
      <c r="BV136">
        <v>5.4099323673536936E-3</v>
      </c>
      <c r="BX136">
        <v>49999.992757376291</v>
      </c>
      <c r="BY136">
        <v>1.8114960160613023E-7</v>
      </c>
    </row>
    <row r="137" spans="13:77" x14ac:dyDescent="0.35">
      <c r="M137">
        <v>22001.563140902206</v>
      </c>
      <c r="N137">
        <v>7636.5585634597137</v>
      </c>
      <c r="P137">
        <v>22000.726517021256</v>
      </c>
      <c r="Q137">
        <v>7636.0365219321384</v>
      </c>
      <c r="S137">
        <v>22003.185309953231</v>
      </c>
      <c r="T137">
        <v>7636.2180244409883</v>
      </c>
      <c r="V137">
        <v>22000.608558777316</v>
      </c>
      <c r="W137">
        <v>7635.9561875066065</v>
      </c>
      <c r="Y137">
        <v>22000.331702908737</v>
      </c>
      <c r="Z137">
        <v>7635.9816748092517</v>
      </c>
      <c r="AB137">
        <v>22000.557180789903</v>
      </c>
      <c r="AC137">
        <v>7635.9601810324939</v>
      </c>
      <c r="AE137">
        <v>22000.530830359046</v>
      </c>
      <c r="AF137">
        <v>7635.9623214937319</v>
      </c>
      <c r="AH137">
        <v>22000.690702072759</v>
      </c>
      <c r="AI137">
        <v>7635.9502002384415</v>
      </c>
      <c r="AK137">
        <v>21984.23879872352</v>
      </c>
      <c r="AL137">
        <v>7627.3722437686838</v>
      </c>
      <c r="AZ137">
        <v>49999.984733972502</v>
      </c>
      <c r="BA137">
        <v>6.8135340294571834E-4</v>
      </c>
      <c r="BC137">
        <v>49999.943899744103</v>
      </c>
      <c r="BD137">
        <v>4.0148549953940614E-3</v>
      </c>
      <c r="BF137">
        <v>49999.990175116123</v>
      </c>
      <c r="BG137">
        <v>2.3214397244782244E-4</v>
      </c>
      <c r="BI137">
        <v>49999.934444064464</v>
      </c>
      <c r="BJ137">
        <v>4.8536074715312223E-3</v>
      </c>
      <c r="BL137">
        <v>49999.942771876973</v>
      </c>
      <c r="BM137">
        <v>4.4000699944794315E-3</v>
      </c>
      <c r="BO137">
        <v>49999.935308045016</v>
      </c>
      <c r="BP137">
        <v>4.828378307018163E-3</v>
      </c>
      <c r="BR137">
        <v>49999.935872472735</v>
      </c>
      <c r="BS137">
        <v>4.8051834525757973E-3</v>
      </c>
      <c r="BU137">
        <v>49999.933678110268</v>
      </c>
      <c r="BV137">
        <v>4.8426410965229658E-3</v>
      </c>
      <c r="BX137">
        <v>49999.993591212573</v>
      </c>
      <c r="BY137">
        <v>1.6215409835708481E-7</v>
      </c>
    </row>
    <row r="138" spans="13:77" x14ac:dyDescent="0.35">
      <c r="M138">
        <v>22001.274266067132</v>
      </c>
      <c r="N138">
        <v>7636.6834525200256</v>
      </c>
      <c r="P138">
        <v>22000.689993366679</v>
      </c>
      <c r="Q138">
        <v>7636.0989901778348</v>
      </c>
      <c r="S138">
        <v>22002.723670117241</v>
      </c>
      <c r="T138">
        <v>7636.4782623274086</v>
      </c>
      <c r="V138">
        <v>22000.609188903549</v>
      </c>
      <c r="W138">
        <v>7636.009926807993</v>
      </c>
      <c r="Y138">
        <v>22000.369453731968</v>
      </c>
      <c r="Z138">
        <v>7636.0126602801574</v>
      </c>
      <c r="AB138">
        <v>22000.564871932238</v>
      </c>
      <c r="AC138">
        <v>7636.009705557809</v>
      </c>
      <c r="AE138">
        <v>22000.542121319981</v>
      </c>
      <c r="AF138">
        <v>7636.009683392127</v>
      </c>
      <c r="AH138">
        <v>22000.679949996422</v>
      </c>
      <c r="AI138">
        <v>7636.0106739235798</v>
      </c>
      <c r="AK138">
        <v>21988.793843568961</v>
      </c>
      <c r="AL138">
        <v>7626.1888943768818</v>
      </c>
      <c r="AZ138">
        <v>49999.986382412324</v>
      </c>
      <c r="BA138">
        <v>6.0990608154947714E-4</v>
      </c>
      <c r="BC138">
        <v>49999.949715372051</v>
      </c>
      <c r="BD138">
        <v>3.593853243066786E-3</v>
      </c>
      <c r="BF138">
        <v>49999.991269084683</v>
      </c>
      <c r="BG138">
        <v>2.0780115371740897E-4</v>
      </c>
      <c r="BI138">
        <v>49999.94121394684</v>
      </c>
      <c r="BJ138">
        <v>4.344653146547783E-3</v>
      </c>
      <c r="BL138">
        <v>49999.948655630476</v>
      </c>
      <c r="BM138">
        <v>3.9386741925289091E-3</v>
      </c>
      <c r="BO138">
        <v>49999.941982497548</v>
      </c>
      <c r="BP138">
        <v>4.3220695511427759E-3</v>
      </c>
      <c r="BR138">
        <v>49999.942485657863</v>
      </c>
      <c r="BS138">
        <v>4.3013069414475887E-3</v>
      </c>
      <c r="BU138">
        <v>49999.940537936614</v>
      </c>
      <c r="BV138">
        <v>4.3348367057821678E-3</v>
      </c>
      <c r="BX138">
        <v>49999.99432904979</v>
      </c>
      <c r="BY138">
        <v>1.4515048034987807E-7</v>
      </c>
    </row>
    <row r="139" spans="13:77" x14ac:dyDescent="0.35">
      <c r="M139">
        <v>22001.001125230221</v>
      </c>
      <c r="N139">
        <v>7636.7835577469332</v>
      </c>
      <c r="P139">
        <v>22000.644536907061</v>
      </c>
      <c r="Q139">
        <v>7636.1578307618856</v>
      </c>
      <c r="S139">
        <v>22002.272975504831</v>
      </c>
      <c r="T139">
        <v>7636.6982570249829</v>
      </c>
      <c r="V139">
        <v>22000.597146799464</v>
      </c>
      <c r="W139">
        <v>7636.0631481964801</v>
      </c>
      <c r="Y139">
        <v>22000.394079731905</v>
      </c>
      <c r="Z139">
        <v>7636.0463833501608</v>
      </c>
      <c r="AB139">
        <v>22000.559778226547</v>
      </c>
      <c r="AC139">
        <v>7636.0593302173484</v>
      </c>
      <c r="AE139">
        <v>22000.540573261689</v>
      </c>
      <c r="AF139">
        <v>7636.0574606632626</v>
      </c>
      <c r="AH139">
        <v>22000.656721197727</v>
      </c>
      <c r="AI139">
        <v>7636.0696340575278</v>
      </c>
      <c r="AK139">
        <v>21992.917282488284</v>
      </c>
      <c r="AL139">
        <v>7625.3876637483463</v>
      </c>
      <c r="AZ139">
        <v>49999.987852511418</v>
      </c>
      <c r="BA139">
        <v>5.4595079262734106E-4</v>
      </c>
      <c r="BC139">
        <v>49999.954928892919</v>
      </c>
      <c r="BD139">
        <v>3.2169982237859637E-3</v>
      </c>
      <c r="BF139">
        <v>49999.992241002161</v>
      </c>
      <c r="BG139">
        <v>1.8601094480897551E-4</v>
      </c>
      <c r="BI139">
        <v>49999.947285949944</v>
      </c>
      <c r="BJ139">
        <v>3.8890683909986426E-3</v>
      </c>
      <c r="BL139">
        <v>49999.953935906378</v>
      </c>
      <c r="BM139">
        <v>3.5256608930984441E-3</v>
      </c>
      <c r="BO139">
        <v>49999.947969633991</v>
      </c>
      <c r="BP139">
        <v>3.8688529445225612E-3</v>
      </c>
      <c r="BR139">
        <v>49999.948418191052</v>
      </c>
      <c r="BS139">
        <v>3.8502675297765339E-3</v>
      </c>
      <c r="BU139">
        <v>49999.946689343888</v>
      </c>
      <c r="BV139">
        <v>3.8802813033330251E-3</v>
      </c>
      <c r="BX139">
        <v>49999.99498194029</v>
      </c>
      <c r="BY139">
        <v>1.2992987665411209E-7</v>
      </c>
    </row>
    <row r="140" spans="13:77" x14ac:dyDescent="0.35">
      <c r="M140">
        <v>22000.74706956208</v>
      </c>
      <c r="N140">
        <v>7636.8604187779356</v>
      </c>
      <c r="P140">
        <v>22000.592386662021</v>
      </c>
      <c r="Q140">
        <v>7636.2123565802785</v>
      </c>
      <c r="S140">
        <v>22001.840942288934</v>
      </c>
      <c r="T140">
        <v>7636.879320674373</v>
      </c>
      <c r="V140">
        <v>22000.574525722546</v>
      </c>
      <c r="W140">
        <v>7636.1148280049874</v>
      </c>
      <c r="Y140">
        <v>22000.406982829456</v>
      </c>
      <c r="Z140">
        <v>7636.0817491482912</v>
      </c>
      <c r="AB140">
        <v>22000.54386583278</v>
      </c>
      <c r="AC140">
        <v>7636.1080156619792</v>
      </c>
      <c r="AE140">
        <v>22000.528087009094</v>
      </c>
      <c r="AF140">
        <v>7636.1046062242176</v>
      </c>
      <c r="AH140">
        <v>22000.623311492443</v>
      </c>
      <c r="AI140">
        <v>7636.1260833767064</v>
      </c>
      <c r="AK140">
        <v>21996.586941576734</v>
      </c>
      <c r="AL140">
        <v>7624.929391102416</v>
      </c>
      <c r="AZ140">
        <v>49999.989163602128</v>
      </c>
      <c r="BA140">
        <v>4.8870191407864689E-4</v>
      </c>
      <c r="BC140">
        <v>49999.959602554794</v>
      </c>
      <c r="BD140">
        <v>2.879660647208212E-3</v>
      </c>
      <c r="BF140">
        <v>49999.993104511617</v>
      </c>
      <c r="BG140">
        <v>1.6650567662390158E-4</v>
      </c>
      <c r="BI140">
        <v>49999.952731870493</v>
      </c>
      <c r="BJ140">
        <v>3.4812567892212073E-3</v>
      </c>
      <c r="BL140">
        <v>49999.9586744318</v>
      </c>
      <c r="BM140">
        <v>3.1559566365561699E-3</v>
      </c>
      <c r="BO140">
        <v>49999.953340079352</v>
      </c>
      <c r="BP140">
        <v>3.4631611627312727E-3</v>
      </c>
      <c r="BR140">
        <v>49999.953739970908</v>
      </c>
      <c r="BS140">
        <v>3.4465246383876946E-3</v>
      </c>
      <c r="BU140">
        <v>49999.952205361609</v>
      </c>
      <c r="BV140">
        <v>3.4733911173428114E-3</v>
      </c>
      <c r="BX140">
        <v>49999.995559663956</v>
      </c>
      <c r="BY140">
        <v>1.1630531875624337E-7</v>
      </c>
    </row>
    <row r="141" spans="13:77" x14ac:dyDescent="0.35">
      <c r="M141">
        <v>22000.514568156257</v>
      </c>
      <c r="N141">
        <v>7636.9158313892185</v>
      </c>
      <c r="P141">
        <v>22000.535593988981</v>
      </c>
      <c r="Q141">
        <v>7636.2620696376234</v>
      </c>
      <c r="S141">
        <v>22001.433777991264</v>
      </c>
      <c r="T141">
        <v>7637.0233789322765</v>
      </c>
      <c r="V141">
        <v>22000.543332717021</v>
      </c>
      <c r="W141">
        <v>7636.16412338797</v>
      </c>
      <c r="Y141">
        <v>22000.409602971242</v>
      </c>
      <c r="Z141">
        <v>7636.1177882413531</v>
      </c>
      <c r="AB141">
        <v>22000.519038145398</v>
      </c>
      <c r="AC141">
        <v>7636.1548932088381</v>
      </c>
      <c r="AE141">
        <v>22000.506512598236</v>
      </c>
      <c r="AF141">
        <v>7636.1502384346559</v>
      </c>
      <c r="AH141">
        <v>22000.58189278292</v>
      </c>
      <c r="AI141">
        <v>7636.1792216095973</v>
      </c>
      <c r="AK141">
        <v>21999.793196274575</v>
      </c>
      <c r="AL141">
        <v>7624.7735883233809</v>
      </c>
      <c r="AZ141">
        <v>49999.990332916896</v>
      </c>
      <c r="BA141">
        <v>4.3745620505520482E-4</v>
      </c>
      <c r="BC141">
        <v>49999.963792180788</v>
      </c>
      <c r="BD141">
        <v>2.5776966595677173E-3</v>
      </c>
      <c r="BF141">
        <v>49999.993871728249</v>
      </c>
      <c r="BG141">
        <v>1.4904574812932007E-4</v>
      </c>
      <c r="BI141">
        <v>49999.957616135835</v>
      </c>
      <c r="BJ141">
        <v>3.1162087778522762E-3</v>
      </c>
      <c r="BL141">
        <v>49999.96292664003</v>
      </c>
      <c r="BM141">
        <v>2.8250199763687448E-3</v>
      </c>
      <c r="BO141">
        <v>49999.958157219502</v>
      </c>
      <c r="BP141">
        <v>3.1000106829643841E-3</v>
      </c>
      <c r="BR141">
        <v>49999.958513736266</v>
      </c>
      <c r="BS141">
        <v>3.0851186850950471E-3</v>
      </c>
      <c r="BU141">
        <v>49999.957151505972</v>
      </c>
      <c r="BV141">
        <v>3.1091679025226568E-3</v>
      </c>
      <c r="BX141">
        <v>49999.996070874724</v>
      </c>
      <c r="BY141">
        <v>1.0410944384632846E-7</v>
      </c>
    </row>
    <row r="142" spans="13:77" x14ac:dyDescent="0.35">
      <c r="M142">
        <v>22000.305285417933</v>
      </c>
      <c r="N142">
        <v>7636.9517731002707</v>
      </c>
      <c r="P142">
        <v>22000.476007530611</v>
      </c>
      <c r="Q142">
        <v>7636.3066438115229</v>
      </c>
      <c r="S142">
        <v>22001.056272752558</v>
      </c>
      <c r="T142">
        <v>7637.1328419106094</v>
      </c>
      <c r="V142">
        <v>22000.505459713931</v>
      </c>
      <c r="W142">
        <v>7636.2103634114437</v>
      </c>
      <c r="Y142">
        <v>22000.403382861001</v>
      </c>
      <c r="Z142">
        <v>7636.1536583941988</v>
      </c>
      <c r="AB142">
        <v>22000.48710562188</v>
      </c>
      <c r="AC142">
        <v>7636.1992579420312</v>
      </c>
      <c r="AE142">
        <v>22000.47761846385</v>
      </c>
      <c r="AF142">
        <v>7636.1936352249177</v>
      </c>
      <c r="AH142">
        <v>22000.534486239503</v>
      </c>
      <c r="AI142">
        <v>7636.2284333355656</v>
      </c>
      <c r="AK142">
        <v>22002.537347958212</v>
      </c>
      <c r="AL142">
        <v>7624.8794558371364</v>
      </c>
      <c r="AZ142">
        <v>49999.991375816833</v>
      </c>
      <c r="BA142">
        <v>3.915841673416368E-4</v>
      </c>
      <c r="BC142">
        <v>49999.967547830951</v>
      </c>
      <c r="BD142">
        <v>2.3073969393412699E-3</v>
      </c>
      <c r="BF142">
        <v>49999.99455341079</v>
      </c>
      <c r="BG142">
        <v>1.3341668310501643E-4</v>
      </c>
      <c r="BI142">
        <v>49999.961996558355</v>
      </c>
      <c r="BJ142">
        <v>2.7894401065340696E-3</v>
      </c>
      <c r="BL142">
        <v>49999.966742309902</v>
      </c>
      <c r="BM142">
        <v>2.5287856906087212E-3</v>
      </c>
      <c r="BO142">
        <v>49999.962477941095</v>
      </c>
      <c r="BP142">
        <v>2.7749405646713006E-3</v>
      </c>
      <c r="BR142">
        <v>49999.962795797379</v>
      </c>
      <c r="BS142">
        <v>2.7616101594505576E-3</v>
      </c>
      <c r="BU142">
        <v>49999.96158655102</v>
      </c>
      <c r="BV142">
        <v>2.7831375398349469E-3</v>
      </c>
      <c r="BX142">
        <v>49999.996523230191</v>
      </c>
      <c r="BY142">
        <v>9.3192438941595989E-8</v>
      </c>
    </row>
    <row r="143" spans="13:77" x14ac:dyDescent="0.35">
      <c r="M143">
        <v>22000.120163822594</v>
      </c>
      <c r="N143">
        <v>7636.970335845931</v>
      </c>
      <c r="P143">
        <v>22000.415264539737</v>
      </c>
      <c r="Q143">
        <v>7636.3459065751076</v>
      </c>
      <c r="S143">
        <v>22000.711906642802</v>
      </c>
      <c r="T143">
        <v>7637.2104838534387</v>
      </c>
      <c r="V143">
        <v>22000.462661213805</v>
      </c>
      <c r="W143">
        <v>7636.2530378899801</v>
      </c>
      <c r="Y143">
        <v>22000.38973776632</v>
      </c>
      <c r="Z143">
        <v>7636.1886434483094</v>
      </c>
      <c r="AB143">
        <v>22000.449761920845</v>
      </c>
      <c r="AC143">
        <v>7636.2405594360971</v>
      </c>
      <c r="AE143">
        <v>22000.443066795749</v>
      </c>
      <c r="AF143">
        <v>7636.2342257841183</v>
      </c>
      <c r="AH143">
        <v>22000.482942497365</v>
      </c>
      <c r="AI143">
        <v>7636.2732737932993</v>
      </c>
      <c r="AK143">
        <v>22004.830013526658</v>
      </c>
      <c r="AL143">
        <v>7625.2067576770687</v>
      </c>
      <c r="AZ143">
        <v>49999.992305995351</v>
      </c>
      <c r="BA143">
        <v>3.5052231259919775E-4</v>
      </c>
      <c r="BC143">
        <v>49999.970914396174</v>
      </c>
      <c r="BD143">
        <v>2.0654411309914897E-3</v>
      </c>
      <c r="BF143">
        <v>49999.995159113641</v>
      </c>
      <c r="BG143">
        <v>1.1942649552481166E-4</v>
      </c>
      <c r="BI143">
        <v>49999.965925012912</v>
      </c>
      <c r="BJ143">
        <v>2.4969367519716945E-3</v>
      </c>
      <c r="BL143">
        <v>49999.970166140498</v>
      </c>
      <c r="BM143">
        <v>2.2636148437165104E-3</v>
      </c>
      <c r="BO143">
        <v>49999.966353296084</v>
      </c>
      <c r="BP143">
        <v>2.4839576499852988E-3</v>
      </c>
      <c r="BR143">
        <v>49999.966636692756</v>
      </c>
      <c r="BS143">
        <v>2.4720250864454876E-3</v>
      </c>
      <c r="BU143">
        <v>49999.96556322094</v>
      </c>
      <c r="BV143">
        <v>2.4912950749802661E-3</v>
      </c>
      <c r="BX143">
        <v>49999.996923506347</v>
      </c>
      <c r="BY143">
        <v>8.3420200592171784E-8</v>
      </c>
    </row>
    <row r="144" spans="13:77" x14ac:dyDescent="0.35">
      <c r="M144">
        <v>21999.959509549597</v>
      </c>
      <c r="N144">
        <v>7636.973666082331</v>
      </c>
      <c r="P144">
        <v>22000.354787832974</v>
      </c>
      <c r="Q144">
        <v>7636.379820206691</v>
      </c>
      <c r="S144">
        <v>22000.402968452338</v>
      </c>
      <c r="T144">
        <v>7637.2593327786199</v>
      </c>
      <c r="V144">
        <v>22000.416538055219</v>
      </c>
      <c r="W144">
        <v>7636.2917845286547</v>
      </c>
      <c r="Y144">
        <v>22000.370030285736</v>
      </c>
      <c r="Z144">
        <v>7636.2221497608543</v>
      </c>
      <c r="AB144">
        <v>22000.408565924728</v>
      </c>
      <c r="AC144">
        <v>7636.2783906393215</v>
      </c>
      <c r="AE144">
        <v>22000.404394675494</v>
      </c>
      <c r="AF144">
        <v>7636.27158033454</v>
      </c>
      <c r="AH144">
        <v>22000.428928257192</v>
      </c>
      <c r="AI144">
        <v>7636.3134532299164</v>
      </c>
      <c r="AK144">
        <v>22006.689558180264</v>
      </c>
      <c r="AL144">
        <v>7625.7165589479691</v>
      </c>
      <c r="AZ144">
        <v>49999.993135659599</v>
      </c>
      <c r="BA144">
        <v>3.1376624048133888E-4</v>
      </c>
      <c r="BC144">
        <v>49999.97393213099</v>
      </c>
      <c r="BD144">
        <v>1.8488570569920469E-3</v>
      </c>
      <c r="BF144">
        <v>49999.99569732196</v>
      </c>
      <c r="BG144">
        <v>1.0690333120824676E-4</v>
      </c>
      <c r="BI144">
        <v>49999.969448045078</v>
      </c>
      <c r="BJ144">
        <v>2.2351056085812122E-3</v>
      </c>
      <c r="BL144">
        <v>49999.973238267667</v>
      </c>
      <c r="BM144">
        <v>2.0262500850098766E-3</v>
      </c>
      <c r="BO144">
        <v>49999.969829098554</v>
      </c>
      <c r="BP144">
        <v>2.2234875107100425E-3</v>
      </c>
      <c r="BR144">
        <v>49999.970081779051</v>
      </c>
      <c r="BS144">
        <v>2.2128062091580987E-3</v>
      </c>
      <c r="BU144">
        <v>49999.969128811375</v>
      </c>
      <c r="BV144">
        <v>2.230055520430253E-3</v>
      </c>
      <c r="BX144">
        <v>49999.997277699054</v>
      </c>
      <c r="BY144">
        <v>7.4672687562576651E-8</v>
      </c>
    </row>
    <row r="145" spans="13:77" x14ac:dyDescent="0.35">
      <c r="M145">
        <v>21999.823078799633</v>
      </c>
      <c r="N145">
        <v>7636.9639124853556</v>
      </c>
      <c r="P145">
        <v>22000.295787617069</v>
      </c>
      <c r="Q145">
        <v>7636.408462949229</v>
      </c>
      <c r="S145">
        <v>22000.130681829989</v>
      </c>
      <c r="T145">
        <v>7637.282570925272</v>
      </c>
      <c r="V145">
        <v>22000.368526719118</v>
      </c>
      <c r="W145">
        <v>7636.3263748818563</v>
      </c>
      <c r="Y145">
        <v>22000.345549875557</v>
      </c>
      <c r="Z145">
        <v>7636.2537006324737</v>
      </c>
      <c r="AB145">
        <v>22000.364929162104</v>
      </c>
      <c r="AC145">
        <v>7636.3124754139562</v>
      </c>
      <c r="AE145">
        <v>22000.363000542002</v>
      </c>
      <c r="AF145">
        <v>7636.3053984816825</v>
      </c>
      <c r="AH145">
        <v>22000.373918634865</v>
      </c>
      <c r="AI145">
        <v>7636.3488203260667</v>
      </c>
      <c r="AK145">
        <v>22008.140596531397</v>
      </c>
      <c r="AL145">
        <v>7626.3718309562291</v>
      </c>
      <c r="AZ145">
        <v>49999.993875692104</v>
      </c>
      <c r="BA145">
        <v>2.8086444259061734E-4</v>
      </c>
      <c r="BC145">
        <v>49999.976637131585</v>
      </c>
      <c r="BD145">
        <v>1.6549842070474419E-3</v>
      </c>
      <c r="BF145">
        <v>49999.996175571505</v>
      </c>
      <c r="BG145">
        <v>9.5693356772226705E-5</v>
      </c>
      <c r="BI145">
        <v>49999.972607417265</v>
      </c>
      <c r="BJ145">
        <v>2.0007303499444077E-3</v>
      </c>
      <c r="BL145">
        <v>49999.975994728287</v>
      </c>
      <c r="BM145">
        <v>1.8137756347754905E-3</v>
      </c>
      <c r="BO145">
        <v>49999.97294646065</v>
      </c>
      <c r="BP145">
        <v>1.9903305392291299E-3</v>
      </c>
      <c r="BR145">
        <v>49999.97317176091</v>
      </c>
      <c r="BS145">
        <v>1.9807692906101066E-3</v>
      </c>
      <c r="BU145">
        <v>49999.972325747171</v>
      </c>
      <c r="BV145">
        <v>1.9962098165896835E-3</v>
      </c>
      <c r="BX145">
        <v>49999.997591113883</v>
      </c>
      <c r="BY145">
        <v>6.6842446253193726E-8</v>
      </c>
    </row>
    <row r="146" spans="13:77" x14ac:dyDescent="0.35">
      <c r="M146">
        <v>21999.710162910218</v>
      </c>
      <c r="N146">
        <v>7636.9431812193507</v>
      </c>
      <c r="P146">
        <v>22000.239267441062</v>
      </c>
      <c r="Q146">
        <v>7636.4320105160959</v>
      </c>
      <c r="S146">
        <v>21999.895335084078</v>
      </c>
      <c r="T146">
        <v>7637.2834465006481</v>
      </c>
      <c r="V146">
        <v>22000.319893584339</v>
      </c>
      <c r="W146">
        <v>7636.3566995909596</v>
      </c>
      <c r="Y146">
        <v>22000.317496866624</v>
      </c>
      <c r="Z146">
        <v>7636.2829291312928</v>
      </c>
      <c r="AB146">
        <v>22000.320108103882</v>
      </c>
      <c r="AC146">
        <v>7636.3426551859247</v>
      </c>
      <c r="AE146">
        <v>22000.320135490249</v>
      </c>
      <c r="AF146">
        <v>7636.3354965876315</v>
      </c>
      <c r="AH146">
        <v>22000.319194581643</v>
      </c>
      <c r="AI146">
        <v>7636.3793451737029</v>
      </c>
      <c r="AK146">
        <v>22009.212582354983</v>
      </c>
      <c r="AL146">
        <v>7627.1379309745244</v>
      </c>
      <c r="AZ146">
        <v>49999.994535794802</v>
      </c>
      <c r="BA146">
        <v>2.5141275616325979E-4</v>
      </c>
      <c r="BC146">
        <v>49999.979061764621</v>
      </c>
      <c r="BD146">
        <v>1.4814410559708237E-3</v>
      </c>
      <c r="BF146">
        <v>49999.996600555081</v>
      </c>
      <c r="BG146">
        <v>8.5658869950219798E-5</v>
      </c>
      <c r="BI146">
        <v>49999.975440599061</v>
      </c>
      <c r="BJ146">
        <v>1.7909319188183651E-3</v>
      </c>
      <c r="BL146">
        <v>49999.978467877438</v>
      </c>
      <c r="BM146">
        <v>1.6235814663700322E-3</v>
      </c>
      <c r="BO146">
        <v>49999.975742273877</v>
      </c>
      <c r="BP146">
        <v>1.7816226439065909E-3</v>
      </c>
      <c r="BR146">
        <v>49999.975943166784</v>
      </c>
      <c r="BS146">
        <v>1.7730639979918915E-3</v>
      </c>
      <c r="BU146">
        <v>49999.9751920829</v>
      </c>
      <c r="BV146">
        <v>1.7868854110598871E-3</v>
      </c>
      <c r="BX146">
        <v>49999.997868445564</v>
      </c>
      <c r="BY146">
        <v>5.9833290747887222E-8</v>
      </c>
    </row>
    <row r="147" spans="13:77" x14ac:dyDescent="0.35">
      <c r="M147">
        <v>21999.619670683416</v>
      </c>
      <c r="N147">
        <v>7636.9134985997316</v>
      </c>
      <c r="P147">
        <v>22000.186033550865</v>
      </c>
      <c r="Q147">
        <v>7636.4507182748885</v>
      </c>
      <c r="S147">
        <v>21999.696411423341</v>
      </c>
      <c r="T147">
        <v>7637.265196912459</v>
      </c>
      <c r="V147">
        <v>22000.271733532569</v>
      </c>
      <c r="W147">
        <v>7636.3827533106078</v>
      </c>
      <c r="Y147">
        <v>22000.286970647849</v>
      </c>
      <c r="Z147">
        <v>7636.3095696945711</v>
      </c>
      <c r="AB147">
        <v>22000.275200783253</v>
      </c>
      <c r="AC147">
        <v>7636.3688751092222</v>
      </c>
      <c r="AE147">
        <v>22000.276898879576</v>
      </c>
      <c r="AF147">
        <v>7636.3617945705291</v>
      </c>
      <c r="AH147">
        <v>22000.265844690359</v>
      </c>
      <c r="AI147">
        <v>7636.4051022231542</v>
      </c>
      <c r="AK147">
        <v>22009.938502727411</v>
      </c>
      <c r="AL147">
        <v>7627.9829649737057</v>
      </c>
      <c r="AZ147">
        <v>49999.995124617395</v>
      </c>
      <c r="BA147">
        <v>2.2504939934930729E-4</v>
      </c>
      <c r="BC147">
        <v>49999.981235051913</v>
      </c>
      <c r="BD147">
        <v>1.3260958087224321E-3</v>
      </c>
      <c r="BF147">
        <v>49999.996978217001</v>
      </c>
      <c r="BG147">
        <v>7.6676608065967935E-5</v>
      </c>
      <c r="BI147">
        <v>49999.977981207419</v>
      </c>
      <c r="BJ147">
        <v>1.6031331603161831E-3</v>
      </c>
      <c r="BL147">
        <v>49999.980686763294</v>
      </c>
      <c r="BM147">
        <v>1.453331244310673E-3</v>
      </c>
      <c r="BO147">
        <v>49999.978249641266</v>
      </c>
      <c r="BP147">
        <v>1.5948000661186426E-3</v>
      </c>
      <c r="BR147">
        <v>49999.978428776252</v>
      </c>
      <c r="BS147">
        <v>1.5871388887169515E-3</v>
      </c>
      <c r="BU147">
        <v>49999.977761952119</v>
      </c>
      <c r="BV147">
        <v>1.5995109717155816E-3</v>
      </c>
      <c r="BX147">
        <v>49999.998113848327</v>
      </c>
      <c r="BY147">
        <v>5.3559121273418052E-8</v>
      </c>
    </row>
    <row r="148" spans="13:77" x14ac:dyDescent="0.35">
      <c r="M148">
        <v>21999.550206628966</v>
      </c>
      <c r="N148">
        <v>7636.8767808452994</v>
      </c>
      <c r="P148">
        <v>22000.136706957768</v>
      </c>
      <c r="Q148">
        <v>7636.4649043787231</v>
      </c>
      <c r="S148">
        <v>21999.532716875965</v>
      </c>
      <c r="T148">
        <v>7637.2309834061634</v>
      </c>
      <c r="V148">
        <v>22000.224972298583</v>
      </c>
      <c r="W148">
        <v>7636.404619680251</v>
      </c>
      <c r="Y148">
        <v>22000.254961654213</v>
      </c>
      <c r="Z148">
        <v>7636.3334488591727</v>
      </c>
      <c r="AB148">
        <v>22000.231147180028</v>
      </c>
      <c r="AC148">
        <v>7636.3911701013485</v>
      </c>
      <c r="AE148">
        <v>22000.234237715147</v>
      </c>
      <c r="AF148">
        <v>7636.3843024862545</v>
      </c>
      <c r="AH148">
        <v>22000.214770711962</v>
      </c>
      <c r="AI148">
        <v>7636.4262535562557</v>
      </c>
      <c r="AK148">
        <v>22010.353688055704</v>
      </c>
      <c r="AL148">
        <v>7628.8780427051533</v>
      </c>
      <c r="AZ148">
        <v>49999.995649871686</v>
      </c>
      <c r="BA148">
        <v>2.0145052710087528E-4</v>
      </c>
      <c r="BC148">
        <v>49999.983183015524</v>
      </c>
      <c r="BD148">
        <v>1.187040213216774E-3</v>
      </c>
      <c r="BF148">
        <v>49999.997313836924</v>
      </c>
      <c r="BG148">
        <v>6.8636233882855355E-5</v>
      </c>
      <c r="BI148">
        <v>49999.980259401847</v>
      </c>
      <c r="BJ148">
        <v>1.4350271637787171E-3</v>
      </c>
      <c r="BL148">
        <v>49999.982677464031</v>
      </c>
      <c r="BM148">
        <v>1.3009336244801859E-3</v>
      </c>
      <c r="BO148">
        <v>49999.980498265431</v>
      </c>
      <c r="BP148">
        <v>1.4275678866957622E-3</v>
      </c>
      <c r="BR148">
        <v>49999.98065800374</v>
      </c>
      <c r="BS148">
        <v>1.4207100681614582E-3</v>
      </c>
      <c r="BU148">
        <v>49999.980065970522</v>
      </c>
      <c r="BV148">
        <v>1.4317848000959495E-3</v>
      </c>
      <c r="BX148">
        <v>49999.998330998125</v>
      </c>
      <c r="BY148">
        <v>4.7942866556578836E-8</v>
      </c>
    </row>
    <row r="149" spans="13:77" x14ac:dyDescent="0.35">
      <c r="M149">
        <v>21999.500144099857</v>
      </c>
      <c r="N149">
        <v>7636.8348105132291</v>
      </c>
      <c r="P149">
        <v>22000.091737576455</v>
      </c>
      <c r="Q149">
        <v>7636.4749340557173</v>
      </c>
      <c r="S149">
        <v>21999.402503576293</v>
      </c>
      <c r="T149">
        <v>7637.1838368007475</v>
      </c>
      <c r="V149">
        <v>22000.180371972183</v>
      </c>
      <c r="W149">
        <v>7636.4224566447956</v>
      </c>
      <c r="Y149">
        <v>22000.222346771123</v>
      </c>
      <c r="Z149">
        <v>7636.3544754390059</v>
      </c>
      <c r="AB149">
        <v>22000.188732813604</v>
      </c>
      <c r="AC149">
        <v>7636.4096510569907</v>
      </c>
      <c r="AE149">
        <v>22000.192949266264</v>
      </c>
      <c r="AF149">
        <v>7636.4031072011439</v>
      </c>
      <c r="AH149">
        <v>22000.166696128512</v>
      </c>
      <c r="AI149">
        <v>7636.4430327836417</v>
      </c>
      <c r="AK149">
        <v>22010.494745599091</v>
      </c>
      <c r="AL149">
        <v>7629.7974352737865</v>
      </c>
      <c r="AZ149">
        <v>49999.996118433482</v>
      </c>
      <c r="BA149">
        <v>1.8032625307643293E-4</v>
      </c>
      <c r="BC149">
        <v>49999.984928987295</v>
      </c>
      <c r="BD149">
        <v>1.0625661191961228E-3</v>
      </c>
      <c r="BF149">
        <v>49999.997612104344</v>
      </c>
      <c r="BG149">
        <v>6.1438980229013197E-5</v>
      </c>
      <c r="BI149">
        <v>49999.982302239172</v>
      </c>
      <c r="BJ149">
        <v>1.2845489244218457E-3</v>
      </c>
      <c r="BL149">
        <v>49999.98446339048</v>
      </c>
      <c r="BM149">
        <v>1.1645165638776126E-3</v>
      </c>
      <c r="BO149">
        <v>49999.982514796982</v>
      </c>
      <c r="BP149">
        <v>1.2778718348817625E-3</v>
      </c>
      <c r="BR149">
        <v>49999.982657243076</v>
      </c>
      <c r="BS149">
        <v>1.2717331340545478E-3</v>
      </c>
      <c r="BU149">
        <v>49999.982131597761</v>
      </c>
      <c r="BV149">
        <v>1.2816465570726007E-3</v>
      </c>
      <c r="BX149">
        <v>49999.998523147711</v>
      </c>
      <c r="BY149">
        <v>4.2915537086950023E-8</v>
      </c>
    </row>
    <row r="150" spans="13:77" x14ac:dyDescent="0.35">
      <c r="M150">
        <v>21999.467692552349</v>
      </c>
      <c r="N150">
        <v>7636.7892191304063</v>
      </c>
      <c r="P150">
        <v>22000.05141983919</v>
      </c>
      <c r="Q150">
        <v>7636.4812052127454</v>
      </c>
      <c r="S150">
        <v>21999.303586542297</v>
      </c>
      <c r="T150">
        <v>7637.126613830098</v>
      </c>
      <c r="V150">
        <v>22000.138539079391</v>
      </c>
      <c r="W150">
        <v>7636.436482376831</v>
      </c>
      <c r="Y150">
        <v>22000.189887752822</v>
      </c>
      <c r="Z150">
        <v>7636.3726304327274</v>
      </c>
      <c r="AB150">
        <v>22000.148595003309</v>
      </c>
      <c r="AC150">
        <v>7636.4244914987994</v>
      </c>
      <c r="AE150">
        <v>22000.153686396312</v>
      </c>
      <c r="AF150">
        <v>7636.4183594178094</v>
      </c>
      <c r="AH150">
        <v>22000.122177160541</v>
      </c>
      <c r="AI150">
        <v>7636.4557298081045</v>
      </c>
      <c r="AK150">
        <v>22010.398620558557</v>
      </c>
      <c r="AL150">
        <v>7630.7186458258011</v>
      </c>
      <c r="AZ150">
        <v>49999.99653643342</v>
      </c>
      <c r="BA150">
        <v>1.6141708869372022E-4</v>
      </c>
      <c r="BC150">
        <v>49999.986493886528</v>
      </c>
      <c r="BD150">
        <v>9.5114449520460303E-4</v>
      </c>
      <c r="BF150">
        <v>49999.997877184665</v>
      </c>
      <c r="BG150">
        <v>5.4996436748673956E-5</v>
      </c>
      <c r="BI150">
        <v>49999.984133991995</v>
      </c>
      <c r="BJ150">
        <v>1.1498499766295228E-3</v>
      </c>
      <c r="BL150">
        <v>49999.986065558107</v>
      </c>
      <c r="BM150">
        <v>1.0424043243190293E-3</v>
      </c>
      <c r="BO150">
        <v>49999.984323147357</v>
      </c>
      <c r="BP150">
        <v>1.1438730534901846E-3</v>
      </c>
      <c r="BR150">
        <v>49999.984450176897</v>
      </c>
      <c r="BS150">
        <v>1.1383780628636318E-3</v>
      </c>
      <c r="BU150">
        <v>49999.983983462138</v>
      </c>
      <c r="BV150">
        <v>1.1472519534507972E-3</v>
      </c>
      <c r="BX150">
        <v>49999.99869317533</v>
      </c>
      <c r="BY150">
        <v>3.841537765555767E-8</v>
      </c>
    </row>
    <row r="151" spans="13:77" x14ac:dyDescent="0.35">
      <c r="M151">
        <v>21999.450958396166</v>
      </c>
      <c r="N151">
        <v>7636.7414754772381</v>
      </c>
      <c r="P151">
        <v>22000.015909248646</v>
      </c>
      <c r="Q151">
        <v>7636.4841354596729</v>
      </c>
      <c r="S151">
        <v>21999.23345247607</v>
      </c>
      <c r="T151">
        <v>7637.0619634482437</v>
      </c>
      <c r="V151">
        <v>22000.099934700585</v>
      </c>
      <c r="W151">
        <v>7636.4469620037444</v>
      </c>
      <c r="Y151">
        <v>22000.158232248919</v>
      </c>
      <c r="Z151">
        <v>7636.3879569093988</v>
      </c>
      <c r="AB151">
        <v>22000.111231278595</v>
      </c>
      <c r="AC151">
        <v>7636.4359148774474</v>
      </c>
      <c r="AE151">
        <v>22000.116965099594</v>
      </c>
      <c r="AF151">
        <v>7636.430261270697</v>
      </c>
      <c r="AH151">
        <v>22000.081615627103</v>
      </c>
      <c r="AI151">
        <v>7636.4646766427923</v>
      </c>
      <c r="AK151">
        <v>22010.101785675288</v>
      </c>
      <c r="AL151">
        <v>7631.6224042073773</v>
      </c>
      <c r="AZ151">
        <v>49999.996909337882</v>
      </c>
      <c r="BA151">
        <v>1.4449075558830568E-4</v>
      </c>
      <c r="BC151">
        <v>49999.987896469051</v>
      </c>
      <c r="BD151">
        <v>8.5140664589560184E-4</v>
      </c>
      <c r="BF151">
        <v>49999.998112777874</v>
      </c>
      <c r="BG151">
        <v>4.9229463876195403E-5</v>
      </c>
      <c r="BI151">
        <v>49999.985776434543</v>
      </c>
      <c r="BJ151">
        <v>1.0292756872710609E-3</v>
      </c>
      <c r="BL151">
        <v>49999.987502831333</v>
      </c>
      <c r="BM151">
        <v>9.3309688758891525E-4</v>
      </c>
      <c r="BO151">
        <v>49999.985944769651</v>
      </c>
      <c r="BP151">
        <v>1.0239255102566386E-3</v>
      </c>
      <c r="BR151">
        <v>49999.986058054448</v>
      </c>
      <c r="BS151">
        <v>1.0190067296627979E-3</v>
      </c>
      <c r="BU151">
        <v>49999.985643651969</v>
      </c>
      <c r="BV151">
        <v>1.0269500945861072E-3</v>
      </c>
      <c r="BX151">
        <v>49999.998843627873</v>
      </c>
      <c r="BY151">
        <v>3.4387108759228721E-8</v>
      </c>
    </row>
    <row r="152" spans="13:77" x14ac:dyDescent="0.35">
      <c r="M152">
        <v>21999.447999111093</v>
      </c>
      <c r="N152">
        <v>7636.6928789422709</v>
      </c>
      <c r="P152">
        <v>21999.985239390742</v>
      </c>
      <c r="Q152">
        <v>7636.4841506154416</v>
      </c>
      <c r="S152">
        <v>21999.189359499353</v>
      </c>
      <c r="T152">
        <v>7636.9923023432739</v>
      </c>
      <c r="V152">
        <v>22000.064886119999</v>
      </c>
      <c r="W152">
        <v>7636.4541952968184</v>
      </c>
      <c r="Y152">
        <v>22000.127917038197</v>
      </c>
      <c r="Z152">
        <v>7636.4005500842177</v>
      </c>
      <c r="AB152">
        <v>22000.077009452361</v>
      </c>
      <c r="AC152">
        <v>7636.4441826888606</v>
      </c>
      <c r="AE152">
        <v>22000.083173768093</v>
      </c>
      <c r="AF152">
        <v>7636.4390546647428</v>
      </c>
      <c r="AH152">
        <v>22000.045273123065</v>
      </c>
      <c r="AI152">
        <v>7636.4702344237839</v>
      </c>
      <c r="AK152">
        <v>22009.639557546889</v>
      </c>
      <c r="AL152">
        <v>7632.4925964539534</v>
      </c>
      <c r="AZ152">
        <v>49999.997242021098</v>
      </c>
      <c r="BA152">
        <v>1.2933933232180494E-4</v>
      </c>
      <c r="BC152">
        <v>49999.989153550603</v>
      </c>
      <c r="BD152">
        <v>7.6212739893667713E-4</v>
      </c>
      <c r="BF152">
        <v>49999.998322170657</v>
      </c>
      <c r="BG152">
        <v>4.4067220691996507E-5</v>
      </c>
      <c r="BI152">
        <v>49999.987249099264</v>
      </c>
      <c r="BJ152">
        <v>9.2134493010040668E-4</v>
      </c>
      <c r="BL152">
        <v>49999.988792143035</v>
      </c>
      <c r="BM152">
        <v>8.3525152916764987E-4</v>
      </c>
      <c r="BO152">
        <v>49999.987398910787</v>
      </c>
      <c r="BP152">
        <v>9.1655577789510195E-4</v>
      </c>
      <c r="BR152">
        <v>49999.987499940973</v>
      </c>
      <c r="BS152">
        <v>9.1215278532552732E-4</v>
      </c>
      <c r="BU152">
        <v>49999.987131977017</v>
      </c>
      <c r="BV152">
        <v>9.1926320070421716E-4</v>
      </c>
      <c r="BX152">
        <v>49999.998976759001</v>
      </c>
      <c r="BY152">
        <v>3.0781247552072668E-8</v>
      </c>
    </row>
    <row r="153" spans="13:77" x14ac:dyDescent="0.35">
      <c r="M153">
        <v>21999.456870492821</v>
      </c>
      <c r="N153">
        <v>7636.6445573457877</v>
      </c>
      <c r="P153">
        <v>21999.959338989029</v>
      </c>
      <c r="Q153">
        <v>7636.4816747178065</v>
      </c>
      <c r="S153">
        <v>21999.168427082859</v>
      </c>
      <c r="T153">
        <v>7636.9197988236774</v>
      </c>
      <c r="V153">
        <v>22000.033599543003</v>
      </c>
      <c r="W153">
        <v>7636.4585054366762</v>
      </c>
      <c r="Y153">
        <v>22000.099373081637</v>
      </c>
      <c r="Z153">
        <v>7636.4105477616595</v>
      </c>
      <c r="AB153">
        <v>22000.046178907236</v>
      </c>
      <c r="AC153">
        <v>7636.4495835351981</v>
      </c>
      <c r="AE153">
        <v>22000.052583744924</v>
      </c>
      <c r="AF153">
        <v>7636.4450104899088</v>
      </c>
      <c r="AH153">
        <v>22000.013286028992</v>
      </c>
      <c r="AI153">
        <v>7636.4727817115509</v>
      </c>
      <c r="AK153">
        <v>22009.045535543246</v>
      </c>
      <c r="AL153">
        <v>7633.3161397686117</v>
      </c>
      <c r="AZ153">
        <v>49999.997538829441</v>
      </c>
      <c r="BA153">
        <v>1.157767002897798E-4</v>
      </c>
      <c r="BC153">
        <v>49999.990280207203</v>
      </c>
      <c r="BD153">
        <v>6.8221005497266698E-4</v>
      </c>
      <c r="BF153">
        <v>49999.998508282646</v>
      </c>
      <c r="BG153">
        <v>3.9446294718587684E-5</v>
      </c>
      <c r="BI153">
        <v>49999.988569507121</v>
      </c>
      <c r="BJ153">
        <v>8.2473189154723587E-4</v>
      </c>
      <c r="BL153">
        <v>49999.989948691713</v>
      </c>
      <c r="BM153">
        <v>7.4766632417881803E-4</v>
      </c>
      <c r="BO153">
        <v>49999.988702837829</v>
      </c>
      <c r="BP153">
        <v>8.2044493446612691E-4</v>
      </c>
      <c r="BR153">
        <v>49999.988792941665</v>
      </c>
      <c r="BS153">
        <v>8.1650364384307347E-4</v>
      </c>
      <c r="BU153">
        <v>49999.988466203104</v>
      </c>
      <c r="BV153">
        <v>8.2286845379765737E-4</v>
      </c>
      <c r="BX153">
        <v>49999.999094562918</v>
      </c>
      <c r="BY153">
        <v>2.7553500002679879E-8</v>
      </c>
    </row>
    <row r="154" spans="13:77" x14ac:dyDescent="0.35">
      <c r="M154">
        <v>21999.475667052859</v>
      </c>
      <c r="N154">
        <v>7636.5974686258714</v>
      </c>
      <c r="P154">
        <v>21999.938048642223</v>
      </c>
      <c r="Q154">
        <v>7636.4771215242454</v>
      </c>
      <c r="S154">
        <v>21999.16771573955</v>
      </c>
      <c r="T154">
        <v>7636.8463641892167</v>
      </c>
      <c r="V154">
        <v>22000.006173462996</v>
      </c>
      <c r="W154">
        <v>7636.4602289305221</v>
      </c>
      <c r="Y154">
        <v>22000.072932025494</v>
      </c>
      <c r="Z154">
        <v>7636.4181212899739</v>
      </c>
      <c r="AB154">
        <v>22000.018882685068</v>
      </c>
      <c r="AC154">
        <v>7636.4524232182293</v>
      </c>
      <c r="AE154">
        <v>22000.025360759137</v>
      </c>
      <c r="AF154">
        <v>7636.4484188069482</v>
      </c>
      <c r="AH154">
        <v>21999.985680922309</v>
      </c>
      <c r="AI154">
        <v>7636.472704135429</v>
      </c>
      <c r="AK154">
        <v>22008.351157276888</v>
      </c>
      <c r="AL154">
        <v>7634.0828132685947</v>
      </c>
      <c r="AZ154">
        <v>49999.997803638704</v>
      </c>
      <c r="BA154">
        <v>1.0363625745476405E-4</v>
      </c>
      <c r="BC154">
        <v>49999.991289954858</v>
      </c>
      <c r="BD154">
        <v>6.1067291576670795E-4</v>
      </c>
      <c r="BF154">
        <v>49999.99867370748</v>
      </c>
      <c r="BG154">
        <v>3.5309922967119897E-5</v>
      </c>
      <c r="BI154">
        <v>49999.989753374284</v>
      </c>
      <c r="BJ154">
        <v>7.3824978439396901E-4</v>
      </c>
      <c r="BL154">
        <v>49999.990986118624</v>
      </c>
      <c r="BM154">
        <v>6.6926538293713464E-4</v>
      </c>
      <c r="BO154">
        <v>49999.989872041187</v>
      </c>
      <c r="BP154">
        <v>7.3441236171303598E-4</v>
      </c>
      <c r="BR154">
        <v>49999.98995240267</v>
      </c>
      <c r="BS154">
        <v>7.3088435849280619E-4</v>
      </c>
      <c r="BU154">
        <v>49999.989662262582</v>
      </c>
      <c r="BV154">
        <v>7.3658174809836346E-4</v>
      </c>
      <c r="BX154">
        <v>49999.999198804231</v>
      </c>
      <c r="BY154">
        <v>2.4664216790320625E-8</v>
      </c>
    </row>
    <row r="155" spans="13:77" x14ac:dyDescent="0.35">
      <c r="M155">
        <v>21999.502555735347</v>
      </c>
      <c r="N155">
        <v>7636.5524057889897</v>
      </c>
      <c r="P155">
        <v>21999.921136945275</v>
      </c>
      <c r="Q155">
        <v>7636.4708874625767</v>
      </c>
      <c r="S155">
        <v>21999.184296326646</v>
      </c>
      <c r="T155">
        <v>7636.7736506729334</v>
      </c>
      <c r="V155">
        <v>21999.982612307191</v>
      </c>
      <c r="W155">
        <v>7636.4597067218574</v>
      </c>
      <c r="Y155">
        <v>22000.048833808989</v>
      </c>
      <c r="Z155">
        <v>7636.4234671394825</v>
      </c>
      <c r="AB155">
        <v>21999.995170012957</v>
      </c>
      <c r="AC155">
        <v>7636.4530159195238</v>
      </c>
      <c r="AE155">
        <v>22000.001576877345</v>
      </c>
      <c r="AF155">
        <v>7636.4495800658024</v>
      </c>
      <c r="AH155">
        <v>21999.962390012945</v>
      </c>
      <c r="AI155">
        <v>7636.4703853995779</v>
      </c>
      <c r="AK155">
        <v>22007.585363043159</v>
      </c>
      <c r="AL155">
        <v>7634.7850542479837</v>
      </c>
      <c r="AZ155">
        <v>49999.998039905127</v>
      </c>
      <c r="BA155">
        <v>9.2768871819870206E-5</v>
      </c>
      <c r="BC155">
        <v>49999.992194910752</v>
      </c>
      <c r="BD155">
        <v>5.4663722502646555E-4</v>
      </c>
      <c r="BF155">
        <v>49999.998820749286</v>
      </c>
      <c r="BG155">
        <v>3.160729466580571E-5</v>
      </c>
      <c r="BI155">
        <v>49999.990814797653</v>
      </c>
      <c r="BJ155">
        <v>6.6083626927108409E-4</v>
      </c>
      <c r="BL155">
        <v>49999.991916666884</v>
      </c>
      <c r="BM155">
        <v>5.9908563472560298E-4</v>
      </c>
      <c r="BO155">
        <v>49999.990920417011</v>
      </c>
      <c r="BP155">
        <v>6.574012423385848E-4</v>
      </c>
      <c r="BR155">
        <v>49999.990992091582</v>
      </c>
      <c r="BS155">
        <v>6.5424318878519515E-4</v>
      </c>
      <c r="BU155">
        <v>49999.990734443214</v>
      </c>
      <c r="BV155">
        <v>6.5934314451034689E-4</v>
      </c>
      <c r="BX155">
        <v>49999.999291044383</v>
      </c>
      <c r="BY155">
        <v>2.2077906256400093E-8</v>
      </c>
    </row>
    <row r="156" spans="13:77" x14ac:dyDescent="0.35">
      <c r="M156">
        <v>21999.535803227856</v>
      </c>
      <c r="N156">
        <v>7636.510004546908</v>
      </c>
      <c r="P156">
        <v>21999.908315750643</v>
      </c>
      <c r="Q156">
        <v>7636.4633459658471</v>
      </c>
      <c r="S156">
        <v>21999.215309038816</v>
      </c>
      <c r="T156">
        <v>7636.7030550381423</v>
      </c>
      <c r="V156">
        <v>21999.962840038774</v>
      </c>
      <c r="W156">
        <v>7636.4572765027606</v>
      </c>
      <c r="Y156">
        <v>22000.027235058682</v>
      </c>
      <c r="Z156">
        <v>7636.4267991878532</v>
      </c>
      <c r="AB156">
        <v>21999.975008943489</v>
      </c>
      <c r="AC156">
        <v>7636.4516764914615</v>
      </c>
      <c r="AE156">
        <v>21999.981222650054</v>
      </c>
      <c r="AF156">
        <v>7636.4487973877431</v>
      </c>
      <c r="AH156">
        <v>21999.943266280996</v>
      </c>
      <c r="AI156">
        <v>7636.4661996380473</v>
      </c>
      <c r="AK156">
        <v>22006.774360474632</v>
      </c>
      <c r="AL156">
        <v>7635.4177290496791</v>
      </c>
      <c r="AZ156">
        <v>49999.998250710938</v>
      </c>
      <c r="BA156">
        <v>8.304104950343589E-5</v>
      </c>
      <c r="BC156">
        <v>49999.993005937809</v>
      </c>
      <c r="BD156">
        <v>4.893163737773017E-4</v>
      </c>
      <c r="BF156">
        <v>49999.998951455054</v>
      </c>
      <c r="BG156">
        <v>2.8292927104949932E-5</v>
      </c>
      <c r="BI156">
        <v>49999.99176642135</v>
      </c>
      <c r="BJ156">
        <v>5.9154040488336478E-4</v>
      </c>
      <c r="BL156">
        <v>49999.992751324338</v>
      </c>
      <c r="BM156">
        <v>5.3626499745006433E-4</v>
      </c>
      <c r="BO156">
        <v>49999.991860430884</v>
      </c>
      <c r="BP156">
        <v>5.8846557806574678E-4</v>
      </c>
      <c r="BR156">
        <v>49999.991924359405</v>
      </c>
      <c r="BS156">
        <v>5.8563868088900108E-4</v>
      </c>
      <c r="BU156">
        <v>49999.991695557634</v>
      </c>
      <c r="BV156">
        <v>5.9020385031963857E-4</v>
      </c>
      <c r="BX156">
        <v>49999.999372665065</v>
      </c>
      <c r="BY156">
        <v>1.9762798428291805E-8</v>
      </c>
    </row>
    <row r="157" spans="13:77" x14ac:dyDescent="0.35">
      <c r="M157">
        <v>21999.573797235298</v>
      </c>
      <c r="N157">
        <v>7636.4707530905525</v>
      </c>
      <c r="P157">
        <v>21999.899254379754</v>
      </c>
      <c r="Q157">
        <v>7636.4548431069989</v>
      </c>
      <c r="S157">
        <v>21999.258012376187</v>
      </c>
      <c r="T157">
        <v>7636.635726931022</v>
      </c>
      <c r="V157">
        <v>21999.94671344083</v>
      </c>
      <c r="W157">
        <v>7636.4532662125011</v>
      </c>
      <c r="Y157">
        <v>22000.008217981616</v>
      </c>
      <c r="Z157">
        <v>7636.4283417688312</v>
      </c>
      <c r="AB157">
        <v>21999.958298831451</v>
      </c>
      <c r="AC157">
        <v>7636.4487138566383</v>
      </c>
      <c r="AE157">
        <v>21999.964219173438</v>
      </c>
      <c r="AF157">
        <v>7636.4463699158687</v>
      </c>
      <c r="AH157">
        <v>21999.928098047083</v>
      </c>
      <c r="AI157">
        <v>7636.4605050805094</v>
      </c>
      <c r="AK157">
        <v>22005.941479827557</v>
      </c>
      <c r="AL157">
        <v>7635.9778868886979</v>
      </c>
      <c r="AZ157">
        <v>49999.998438804883</v>
      </c>
      <c r="BA157">
        <v>7.4333294911350895E-5</v>
      </c>
      <c r="BC157">
        <v>49999.99373277431</v>
      </c>
      <c r="BD157">
        <v>4.3800623767858358E-4</v>
      </c>
      <c r="BF157">
        <v>49999.999067643388</v>
      </c>
      <c r="BG157">
        <v>2.5326106931495005E-5</v>
      </c>
      <c r="BI157">
        <v>49999.992619586126</v>
      </c>
      <c r="BJ157">
        <v>5.2951096665978246E-4</v>
      </c>
      <c r="BL157">
        <v>49999.993499951917</v>
      </c>
      <c r="BM157">
        <v>4.8003178784428077E-4</v>
      </c>
      <c r="BO157">
        <v>49999.992703264783</v>
      </c>
      <c r="BP157">
        <v>5.2675856900869292E-4</v>
      </c>
      <c r="BR157">
        <v>49999.992760286019</v>
      </c>
      <c r="BS157">
        <v>5.2422810282689658E-4</v>
      </c>
      <c r="BU157">
        <v>49999.992557095342</v>
      </c>
      <c r="BV157">
        <v>5.283145642363214E-4</v>
      </c>
      <c r="BX157">
        <v>49999.999444888876</v>
      </c>
      <c r="BY157">
        <v>1.7690454760044669E-8</v>
      </c>
    </row>
    <row r="158" spans="13:77" x14ac:dyDescent="0.35">
      <c r="M158">
        <v>21999.61506215694</v>
      </c>
      <c r="N158">
        <v>7636.4350034874415</v>
      </c>
      <c r="P158">
        <v>21999.893592643923</v>
      </c>
      <c r="Q158">
        <v>7636.445694434241</v>
      </c>
      <c r="S158">
        <v>21999.309822536594</v>
      </c>
      <c r="T158">
        <v>7636.5725811223883</v>
      </c>
      <c r="V158">
        <v>21999.934034853923</v>
      </c>
      <c r="W158">
        <v>7636.4479886840936</v>
      </c>
      <c r="Y158">
        <v>21999.991799500898</v>
      </c>
      <c r="Z158">
        <v>7636.4283235168841</v>
      </c>
      <c r="AB158">
        <v>21999.944882413081</v>
      </c>
      <c r="AC158">
        <v>7636.4444254906666</v>
      </c>
      <c r="AE158">
        <v>21999.950429829663</v>
      </c>
      <c r="AF158">
        <v>7636.4425872157944</v>
      </c>
      <c r="AH158">
        <v>21999.916622757006</v>
      </c>
      <c r="AI158">
        <v>7636.4536389686982</v>
      </c>
      <c r="AK158">
        <v>22005.107109807155</v>
      </c>
      <c r="AL158">
        <v>7636.4645041482117</v>
      </c>
      <c r="AZ158">
        <v>49999.998606638386</v>
      </c>
      <c r="BA158">
        <v>6.6538642863450101E-5</v>
      </c>
      <c r="BC158">
        <v>49999.994384150174</v>
      </c>
      <c r="BD158">
        <v>3.9207652758474737E-4</v>
      </c>
      <c r="BF158">
        <v>49999.999170930023</v>
      </c>
      <c r="BG158">
        <v>2.2670390029969355E-5</v>
      </c>
      <c r="BI158">
        <v>49999.993384463436</v>
      </c>
      <c r="BJ158">
        <v>4.7398599033031841E-4</v>
      </c>
      <c r="BL158">
        <v>49999.994171398888</v>
      </c>
      <c r="BM158">
        <v>4.2969524213830004E-4</v>
      </c>
      <c r="BO158">
        <v>49999.993458948971</v>
      </c>
      <c r="BP158">
        <v>4.7152221160324425E-4</v>
      </c>
      <c r="BR158">
        <v>49999.99350981068</v>
      </c>
      <c r="BS158">
        <v>4.6925709237659612E-4</v>
      </c>
      <c r="BU158">
        <v>49999.993329359124</v>
      </c>
      <c r="BV158">
        <v>4.7291504359610814E-4</v>
      </c>
      <c r="BX158">
        <v>49999.999508797671</v>
      </c>
      <c r="BY158">
        <v>1.5835418796044171E-8</v>
      </c>
    </row>
    <row r="159" spans="13:77" x14ac:dyDescent="0.35">
      <c r="M159">
        <v>21999.658269657932</v>
      </c>
      <c r="N159">
        <v>7636.4029842306436</v>
      </c>
      <c r="P159">
        <v>21999.890952579095</v>
      </c>
      <c r="Q159">
        <v>7636.4361828976726</v>
      </c>
      <c r="S159">
        <v>21999.368343813829</v>
      </c>
      <c r="T159">
        <v>7636.5143128183654</v>
      </c>
      <c r="V159">
        <v>21999.924564183792</v>
      </c>
      <c r="W159">
        <v>7636.4417373822598</v>
      </c>
      <c r="Y159">
        <v>21999.977940409724</v>
      </c>
      <c r="Z159">
        <v>7636.4269720190741</v>
      </c>
      <c r="AB159">
        <v>21999.93455729623</v>
      </c>
      <c r="AC159">
        <v>7636.4390929446281</v>
      </c>
      <c r="AE159">
        <v>21999.93967151011</v>
      </c>
      <c r="AF159">
        <v>7636.4377246893237</v>
      </c>
      <c r="AH159">
        <v>21999.908539810367</v>
      </c>
      <c r="AI159">
        <v>7636.4459136464784</v>
      </c>
      <c r="AK159">
        <v>22004.288703610906</v>
      </c>
      <c r="AL159">
        <v>7636.8782258054453</v>
      </c>
      <c r="AZ159">
        <v>49999.99875639777</v>
      </c>
      <c r="BA159">
        <v>5.9561344642652044E-5</v>
      </c>
      <c r="BC159">
        <v>49999.994967891216</v>
      </c>
      <c r="BD159">
        <v>3.5096304709991255E-4</v>
      </c>
      <c r="BF159">
        <v>49999.999262750527</v>
      </c>
      <c r="BG159">
        <v>2.0293153846403021E-5</v>
      </c>
      <c r="BI159">
        <v>49999.994070175766</v>
      </c>
      <c r="BJ159">
        <v>4.24283411980736E-4</v>
      </c>
      <c r="BL159">
        <v>49999.99477360637</v>
      </c>
      <c r="BM159">
        <v>3.8463703074431802E-4</v>
      </c>
      <c r="BO159">
        <v>49999.994136480367</v>
      </c>
      <c r="BP159">
        <v>4.2207798731554576E-4</v>
      </c>
      <c r="BR159">
        <v>49999.994181849186</v>
      </c>
      <c r="BS159">
        <v>4.2005039051012493E-4</v>
      </c>
      <c r="BU159">
        <v>49999.994021587394</v>
      </c>
      <c r="BV159">
        <v>4.2332476556264506E-4</v>
      </c>
      <c r="BX159">
        <v>49999.999565348749</v>
      </c>
      <c r="BY159">
        <v>1.4174903466404687E-8</v>
      </c>
    </row>
    <row r="160" spans="13:77" x14ac:dyDescent="0.35">
      <c r="M160">
        <v>21999.702244660642</v>
      </c>
      <c r="N160">
        <v>7636.3748135122814</v>
      </c>
      <c r="P160">
        <v>21999.89094883934</v>
      </c>
      <c r="Q160">
        <v>7636.426557751086</v>
      </c>
      <c r="S160">
        <v>21999.431390684585</v>
      </c>
      <c r="T160">
        <v>7636.4614152760241</v>
      </c>
      <c r="V160">
        <v>21999.918030037355</v>
      </c>
      <c r="W160">
        <v>7636.4347831619443</v>
      </c>
      <c r="Y160">
        <v>21999.966554352104</v>
      </c>
      <c r="Z160">
        <v>7636.4245092671126</v>
      </c>
      <c r="AB160">
        <v>21999.927086709824</v>
      </c>
      <c r="AC160">
        <v>7636.432978348309</v>
      </c>
      <c r="AE160">
        <v>21999.931725164915</v>
      </c>
      <c r="AF160">
        <v>7636.4320399483695</v>
      </c>
      <c r="AH160">
        <v>21999.903522307337</v>
      </c>
      <c r="AI160">
        <v>7636.4376137334393</v>
      </c>
      <c r="AK160">
        <v>22003.500844890827</v>
      </c>
      <c r="AL160">
        <v>7637.2211097602067</v>
      </c>
      <c r="AZ160">
        <v>49999.998890032992</v>
      </c>
      <c r="BA160">
        <v>5.3315691826316951E-5</v>
      </c>
      <c r="BC160">
        <v>49999.995491012662</v>
      </c>
      <c r="BD160">
        <v>3.1416076201673217E-4</v>
      </c>
      <c r="BF160">
        <v>49999.999344380398</v>
      </c>
      <c r="BG160">
        <v>1.8165196655983886E-5</v>
      </c>
      <c r="BI160">
        <v>49999.994684904603</v>
      </c>
      <c r="BJ160">
        <v>3.7979268960600094E-4</v>
      </c>
      <c r="BL160">
        <v>49999.995313700289</v>
      </c>
      <c r="BM160">
        <v>3.4430366272518583E-4</v>
      </c>
      <c r="BO160">
        <v>49999.994743928764</v>
      </c>
      <c r="BP160">
        <v>3.7781852774737128E-4</v>
      </c>
      <c r="BR160">
        <v>49999.994784399045</v>
      </c>
      <c r="BS160">
        <v>3.7600354653913814E-4</v>
      </c>
      <c r="BU160">
        <v>49999.994642063975</v>
      </c>
      <c r="BV160">
        <v>3.78934567610983E-4</v>
      </c>
      <c r="BX160">
        <v>49999.999615389199</v>
      </c>
      <c r="BY160">
        <v>1.2688511172852708E-8</v>
      </c>
    </row>
    <row r="161" spans="13:77" x14ac:dyDescent="0.35">
      <c r="M161">
        <v>21999.745967299048</v>
      </c>
      <c r="N161">
        <v>7636.3505128419074</v>
      </c>
      <c r="P161">
        <v>21999.893197729667</v>
      </c>
      <c r="Q161">
        <v>7636.4170343096448</v>
      </c>
      <c r="S161">
        <v>21999.497002338827</v>
      </c>
      <c r="T161">
        <v>7636.4141990239941</v>
      </c>
      <c r="V161">
        <v>21999.914139883971</v>
      </c>
      <c r="W161">
        <v>7636.4273719657549</v>
      </c>
      <c r="Y161">
        <v>21999.957516469964</v>
      </c>
      <c r="Z161">
        <v>7636.4211478870666</v>
      </c>
      <c r="AB161">
        <v>21999.922209398461</v>
      </c>
      <c r="AC161">
        <v>7636.426321823662</v>
      </c>
      <c r="AE161">
        <v>21999.926345559001</v>
      </c>
      <c r="AF161">
        <v>7636.4257700842236</v>
      </c>
      <c r="AH161">
        <v>21999.901227628463</v>
      </c>
      <c r="AI161">
        <v>7636.4289942826372</v>
      </c>
      <c r="AK161">
        <v>22002.755363571523</v>
      </c>
      <c r="AL161">
        <v>7637.4963789559524</v>
      </c>
      <c r="AZ161">
        <v>49999.999009283223</v>
      </c>
      <c r="BA161">
        <v>4.7724963451818806E-5</v>
      </c>
      <c r="BC161">
        <v>49999.995959802975</v>
      </c>
      <c r="BD161">
        <v>2.8121759650364493E-4</v>
      </c>
      <c r="BF161">
        <v>49999.999416952967</v>
      </c>
      <c r="BG161">
        <v>1.626037885188415E-5</v>
      </c>
      <c r="BI161">
        <v>49999.995235987313</v>
      </c>
      <c r="BJ161">
        <v>3.3996730324020957E-4</v>
      </c>
      <c r="BL161">
        <v>49999.995798074822</v>
      </c>
      <c r="BM161">
        <v>3.0819968674112815E-4</v>
      </c>
      <c r="BO161">
        <v>49999.995288532198</v>
      </c>
      <c r="BP161">
        <v>3.3820015375094615E-4</v>
      </c>
      <c r="BR161">
        <v>49999.995324633855</v>
      </c>
      <c r="BS161">
        <v>3.3657549307105456E-4</v>
      </c>
      <c r="BU161">
        <v>49999.995198216566</v>
      </c>
      <c r="BV161">
        <v>3.3919916460258909E-4</v>
      </c>
      <c r="BX161">
        <v>49999.999659668574</v>
      </c>
      <c r="BY161">
        <v>1.1357983226657754E-8</v>
      </c>
    </row>
    <row r="162" spans="13:77" x14ac:dyDescent="0.35">
      <c r="M162">
        <v>21999.78857138368</v>
      </c>
      <c r="N162">
        <v>7636.3300206783078</v>
      </c>
      <c r="P162">
        <v>21999.897324889735</v>
      </c>
      <c r="Q162">
        <v>7636.4077944438077</v>
      </c>
      <c r="S162">
        <v>21999.563450454327</v>
      </c>
      <c r="T162">
        <v>7636.372812057085</v>
      </c>
      <c r="V162">
        <v>21999.912589173939</v>
      </c>
      <c r="W162">
        <v>7636.4197233711857</v>
      </c>
      <c r="Y162">
        <v>21999.950671586641</v>
      </c>
      <c r="Z162">
        <v>7636.4170881113805</v>
      </c>
      <c r="AB162">
        <v>21999.919648582229</v>
      </c>
      <c r="AC162">
        <v>7636.4193397293948</v>
      </c>
      <c r="AE162">
        <v>21999.92327014864</v>
      </c>
      <c r="AF162">
        <v>7636.4191297582247</v>
      </c>
      <c r="AH162">
        <v>21999.901306798914</v>
      </c>
      <c r="AI162">
        <v>7636.4202798172355</v>
      </c>
      <c r="AK162">
        <v>22002.06149187556</v>
      </c>
      <c r="AL162">
        <v>7637.7081853207783</v>
      </c>
      <c r="AZ162">
        <v>49999.999115699706</v>
      </c>
      <c r="BA162">
        <v>4.27204835833654E-5</v>
      </c>
      <c r="BC162">
        <v>49999.996379899058</v>
      </c>
      <c r="BD162">
        <v>2.5172887983230288E-4</v>
      </c>
      <c r="BF162">
        <v>49999.999481475279</v>
      </c>
      <c r="BG162">
        <v>1.4555301848873594E-5</v>
      </c>
      <c r="BI162">
        <v>49999.99573000407</v>
      </c>
      <c r="BJ162">
        <v>3.0431804153365649E-4</v>
      </c>
      <c r="BL162">
        <v>49999.996232467376</v>
      </c>
      <c r="BM162">
        <v>2.7588160495443172E-4</v>
      </c>
      <c r="BO162">
        <v>49999.995776782482</v>
      </c>
      <c r="BP162">
        <v>3.0273619690283904E-4</v>
      </c>
      <c r="BR162">
        <v>49999.995808987987</v>
      </c>
      <c r="BS162">
        <v>3.0128189956585012E-4</v>
      </c>
      <c r="BU162">
        <v>49999.995696705075</v>
      </c>
      <c r="BV162">
        <v>3.0363045053066436E-4</v>
      </c>
      <c r="BX162">
        <v>49999.999698850144</v>
      </c>
      <c r="BY162">
        <v>1.0166975560726753E-8</v>
      </c>
    </row>
    <row r="163" spans="13:77" x14ac:dyDescent="0.35">
      <c r="M163">
        <v>21999.829339916865</v>
      </c>
      <c r="N163">
        <v>7636.3132057913162</v>
      </c>
      <c r="P163">
        <v>21999.902971666175</v>
      </c>
      <c r="Q163">
        <v>7636.3989876920996</v>
      </c>
      <c r="S163">
        <v>21999.629241038852</v>
      </c>
      <c r="T163">
        <v>7636.3372604459182</v>
      </c>
      <c r="V163">
        <v>21999.913069377759</v>
      </c>
      <c r="W163">
        <v>7636.4120298938915</v>
      </c>
      <c r="Y163">
        <v>21999.945841825207</v>
      </c>
      <c r="Z163">
        <v>7636.4125154476951</v>
      </c>
      <c r="AB163">
        <v>21999.919119932758</v>
      </c>
      <c r="AC163">
        <v>7636.4122236519333</v>
      </c>
      <c r="AE163">
        <v>21999.922227023246</v>
      </c>
      <c r="AF163">
        <v>7636.4123100336756</v>
      </c>
      <c r="AH163">
        <v>21999.903412620701</v>
      </c>
      <c r="AI163">
        <v>7636.4116641379778</v>
      </c>
      <c r="AK163">
        <v>22001.426051466606</v>
      </c>
      <c r="AL163">
        <v>7637.8613887295387</v>
      </c>
      <c r="AZ163">
        <v>49999.999210666087</v>
      </c>
      <c r="BA163">
        <v>3.8240777703269351E-5</v>
      </c>
      <c r="BC163">
        <v>49999.996756353656</v>
      </c>
      <c r="BD163">
        <v>2.2533237542836037E-4</v>
      </c>
      <c r="BF163">
        <v>49999.999538842174</v>
      </c>
      <c r="BG163">
        <v>1.3029020657394979E-5</v>
      </c>
      <c r="BI163">
        <v>49999.996172855834</v>
      </c>
      <c r="BJ163">
        <v>2.7240699230865305E-4</v>
      </c>
      <c r="BL163">
        <v>49999.99662202585</v>
      </c>
      <c r="BM163">
        <v>2.4695242513003669E-4</v>
      </c>
      <c r="BO163">
        <v>49999.996214501989</v>
      </c>
      <c r="BP163">
        <v>2.7099102129722895E-4</v>
      </c>
      <c r="BR163">
        <v>49999.996243232621</v>
      </c>
      <c r="BS163">
        <v>2.6968922284793925E-4</v>
      </c>
      <c r="BU163">
        <v>49999.996143500837</v>
      </c>
      <c r="BV163">
        <v>2.7179150265368995E-4</v>
      </c>
      <c r="BX163">
        <v>49999.999733520817</v>
      </c>
      <c r="BY163">
        <v>9.1008579607280512E-9</v>
      </c>
    </row>
    <row r="164" spans="13:77" x14ac:dyDescent="0.35">
      <c r="M164">
        <v>21999.867698180326</v>
      </c>
      <c r="N164">
        <v>7636.2998801171052</v>
      </c>
      <c r="P164">
        <v>21999.909800232865</v>
      </c>
      <c r="Q164">
        <v>7636.3907328796276</v>
      </c>
      <c r="S164">
        <v>21999.693111165892</v>
      </c>
      <c r="T164">
        <v>7636.3074288755724</v>
      </c>
      <c r="V164">
        <v>21999.915274937233</v>
      </c>
      <c r="W164">
        <v>7636.4044569513371</v>
      </c>
      <c r="Y164">
        <v>21999.942833586556</v>
      </c>
      <c r="Z164">
        <v>7636.4075989911653</v>
      </c>
      <c r="AB164">
        <v>21999.920338544049</v>
      </c>
      <c r="AC164">
        <v>7636.4051400549315</v>
      </c>
      <c r="AE164">
        <v>21999.922941884441</v>
      </c>
      <c r="AF164">
        <v>7636.4054778652035</v>
      </c>
      <c r="AH164">
        <v>21999.907206584303</v>
      </c>
      <c r="AI164">
        <v>7636.4033107932219</v>
      </c>
      <c r="AK164">
        <v>22000.85366329148</v>
      </c>
      <c r="AL164">
        <v>7637.961353411547</v>
      </c>
      <c r="AZ164">
        <v>49999.999295416557</v>
      </c>
      <c r="BA164">
        <v>3.4230817564831701E-5</v>
      </c>
      <c r="BC164">
        <v>49999.997093695834</v>
      </c>
      <c r="BD164">
        <v>2.0170383118220606E-4</v>
      </c>
      <c r="BF164">
        <v>49999.999589848827</v>
      </c>
      <c r="BG164">
        <v>1.1662786597383409E-5</v>
      </c>
      <c r="BI164">
        <v>49999.996569834359</v>
      </c>
      <c r="BJ164">
        <v>2.4384216327358614E-4</v>
      </c>
      <c r="BL164">
        <v>49999.996971369066</v>
      </c>
      <c r="BM164">
        <v>2.2105678400971343E-4</v>
      </c>
      <c r="BO164">
        <v>49999.996606912566</v>
      </c>
      <c r="BP164">
        <v>2.4257467222177492E-4</v>
      </c>
      <c r="BR164">
        <v>49999.99663254396</v>
      </c>
      <c r="BS164">
        <v>2.4140938148916325E-4</v>
      </c>
      <c r="BU164">
        <v>49999.996543957721</v>
      </c>
      <c r="BV164">
        <v>2.4329121436346732E-4</v>
      </c>
      <c r="BX164">
        <v>49999.999764199922</v>
      </c>
      <c r="BY164">
        <v>8.1465343490174283E-9</v>
      </c>
    </row>
    <row r="165" spans="13:77" x14ac:dyDescent="0.35">
      <c r="M165">
        <v>21999.903204891256</v>
      </c>
      <c r="N165">
        <v>7636.2898109153284</v>
      </c>
      <c r="P165">
        <v>21999.917497535665</v>
      </c>
      <c r="Q165">
        <v>7636.3831201352796</v>
      </c>
      <c r="S165">
        <v>21999.75402141489</v>
      </c>
      <c r="T165">
        <v>7636.2831006995775</v>
      </c>
      <c r="V165">
        <v>21999.918909143253</v>
      </c>
      <c r="W165">
        <v>7636.3971433914012</v>
      </c>
      <c r="Y165">
        <v>21999.941443836349</v>
      </c>
      <c r="Z165">
        <v>7636.402490321454</v>
      </c>
      <c r="AB165">
        <v>21999.923024900381</v>
      </c>
      <c r="AC165">
        <v>7636.398230498683</v>
      </c>
      <c r="AE165">
        <v>21999.92514405843</v>
      </c>
      <c r="AF165">
        <v>7636.398776160393</v>
      </c>
      <c r="AH165">
        <v>21999.912364594693</v>
      </c>
      <c r="AI165">
        <v>7636.3953541053561</v>
      </c>
      <c r="AK165">
        <v>22000.346972453422</v>
      </c>
      <c r="AL165">
        <v>7638.0137635111723</v>
      </c>
      <c r="AZ165">
        <v>49999.999371052028</v>
      </c>
      <c r="BA165">
        <v>3.0641345230660398E-5</v>
      </c>
      <c r="BC165">
        <v>49999.99739598517</v>
      </c>
      <c r="BD165">
        <v>1.8055299635948036E-4</v>
      </c>
      <c r="BF165">
        <v>49999.999635201857</v>
      </c>
      <c r="BG165">
        <v>1.0439816991346718E-5</v>
      </c>
      <c r="BI165">
        <v>49999.996925684944</v>
      </c>
      <c r="BJ165">
        <v>2.1827266681572681E-4</v>
      </c>
      <c r="BL165">
        <v>49999.997284641016</v>
      </c>
      <c r="BM165">
        <v>1.9787658205514807E-4</v>
      </c>
      <c r="BO165">
        <v>49999.996958697338</v>
      </c>
      <c r="BP165">
        <v>2.1713808598009532E-4</v>
      </c>
      <c r="BR165">
        <v>49999.996981564444</v>
      </c>
      <c r="BS165">
        <v>2.1609498864268785E-4</v>
      </c>
      <c r="BU165">
        <v>49999.99690287585</v>
      </c>
      <c r="BV165">
        <v>2.1777949085745253E-4</v>
      </c>
      <c r="BX165">
        <v>49999.999791347</v>
      </c>
      <c r="BY165">
        <v>7.29228191374974E-9</v>
      </c>
    </row>
    <row r="166" spans="13:77" x14ac:dyDescent="0.35">
      <c r="M166">
        <v>21999.935541890627</v>
      </c>
      <c r="N166">
        <v>7636.2827320788074</v>
      </c>
      <c r="P166">
        <v>21999.925778151326</v>
      </c>
      <c r="Q166">
        <v>7636.3762132078919</v>
      </c>
      <c r="S166">
        <v>21999.811144797459</v>
      </c>
      <c r="T166">
        <v>7636.263977165906</v>
      </c>
      <c r="V166">
        <v>21999.923688975163</v>
      </c>
      <c r="W166">
        <v>7636.3902024927738</v>
      </c>
      <c r="Y166">
        <v>21999.941465671585</v>
      </c>
      <c r="Z166">
        <v>7636.3973229220574</v>
      </c>
      <c r="AB166">
        <v>21999.926909864142</v>
      </c>
      <c r="AC166">
        <v>7636.3916123419185</v>
      </c>
      <c r="AE166">
        <v>21999.92857155827</v>
      </c>
      <c r="AF166">
        <v>7636.3923243290947</v>
      </c>
      <c r="AH166">
        <v>21999.918581566049</v>
      </c>
      <c r="AI166">
        <v>7636.3879006513898</v>
      </c>
      <c r="AK166">
        <v>21999.906881253009</v>
      </c>
      <c r="AL166">
        <v>7638.0244588584183</v>
      </c>
      <c r="AZ166">
        <v>49999.999438554558</v>
      </c>
      <c r="BA166">
        <v>2.7428267992957445E-5</v>
      </c>
      <c r="BC166">
        <v>49999.997666860363</v>
      </c>
      <c r="BD166">
        <v>1.6162005618301008E-4</v>
      </c>
      <c r="BF166">
        <v>49999.999675529238</v>
      </c>
      <c r="BG166">
        <v>9.3450890076355561E-6</v>
      </c>
      <c r="BI166">
        <v>49999.997244662787</v>
      </c>
      <c r="BJ166">
        <v>1.9538440972256151E-4</v>
      </c>
      <c r="BL166">
        <v>49999.997565559555</v>
      </c>
      <c r="BM166">
        <v>1.7712707593700285E-4</v>
      </c>
      <c r="BO166">
        <v>49999.997274056179</v>
      </c>
      <c r="BP166">
        <v>1.9436880201810437E-4</v>
      </c>
      <c r="BR166">
        <v>49999.99729445768</v>
      </c>
      <c r="BS166">
        <v>1.9343508476773712E-4</v>
      </c>
      <c r="BU166">
        <v>49999.997224558807</v>
      </c>
      <c r="BV166">
        <v>1.9494294859879311E-4</v>
      </c>
      <c r="BX166">
        <v>49999.999815368683</v>
      </c>
      <c r="BY166">
        <v>6.5276071070526927E-9</v>
      </c>
    </row>
    <row r="167" spans="13:77" x14ac:dyDescent="0.35">
      <c r="M167">
        <v>21999.964502790273</v>
      </c>
      <c r="N167">
        <v>7636.2783544856939</v>
      </c>
      <c r="P167">
        <v>21999.934386159577</v>
      </c>
      <c r="Q167">
        <v>7636.3700519900194</v>
      </c>
      <c r="S167">
        <v>21999.863852909741</v>
      </c>
      <c r="T167">
        <v>7636.2496955387378</v>
      </c>
      <c r="V167">
        <v>21999.929348952934</v>
      </c>
      <c r="W167">
        <v>7636.3837233477816</v>
      </c>
      <c r="Y167">
        <v>21999.942693156703</v>
      </c>
      <c r="Z167">
        <v>7636.3922120579073</v>
      </c>
      <c r="AB167">
        <v>21999.931738723193</v>
      </c>
      <c r="AC167">
        <v>7636.3853798412674</v>
      </c>
      <c r="AE167">
        <v>21999.932975229764</v>
      </c>
      <c r="AF167">
        <v>7636.3862192380593</v>
      </c>
      <c r="AH167">
        <v>21999.925574955039</v>
      </c>
      <c r="AI167">
        <v>7636.381031101002</v>
      </c>
      <c r="AK167">
        <v>21999.532784364728</v>
      </c>
      <c r="AL167">
        <v>7637.9992914281002</v>
      </c>
      <c r="AZ167">
        <v>49999.9994988002</v>
      </c>
      <c r="BA167">
        <v>2.4552116743020109E-5</v>
      </c>
      <c r="BC167">
        <v>49999.997909582802</v>
      </c>
      <c r="BD167">
        <v>1.4467244028852573E-4</v>
      </c>
      <c r="BF167">
        <v>49999.999711389028</v>
      </c>
      <c r="BG167">
        <v>8.3651551214914546E-6</v>
      </c>
      <c r="BI167">
        <v>49999.997530583503</v>
      </c>
      <c r="BJ167">
        <v>1.7489623488405159E-4</v>
      </c>
      <c r="BL167">
        <v>49999.99781746012</v>
      </c>
      <c r="BM167">
        <v>1.5855338077003445E-4</v>
      </c>
      <c r="BO167">
        <v>49999.997556755494</v>
      </c>
      <c r="BP167">
        <v>1.7398712468184234E-4</v>
      </c>
      <c r="BR167">
        <v>49999.997574957728</v>
      </c>
      <c r="BS167">
        <v>1.7315131782583639E-4</v>
      </c>
      <c r="BU167">
        <v>49999.997512864895</v>
      </c>
      <c r="BV167">
        <v>1.7450106573609664E-4</v>
      </c>
      <c r="BX167">
        <v>49999.999836624804</v>
      </c>
      <c r="BY167">
        <v>5.8431167433575335E-9</v>
      </c>
    </row>
    <row r="168" spans="13:77" x14ac:dyDescent="0.35">
      <c r="M168">
        <v>21999.989980964703</v>
      </c>
      <c r="N168">
        <v>7636.2763753198105</v>
      </c>
      <c r="P168">
        <v>21999.94309613344</v>
      </c>
      <c r="Q168">
        <v>7636.3646551669663</v>
      </c>
      <c r="S168">
        <v>21999.911700000568</v>
      </c>
      <c r="T168">
        <v>7636.2398459027881</v>
      </c>
      <c r="V168">
        <v>21999.935644066303</v>
      </c>
      <c r="W168">
        <v>7636.3777725434056</v>
      </c>
      <c r="Y168">
        <v>21999.944925435673</v>
      </c>
      <c r="Z168">
        <v>7636.3872550470633</v>
      </c>
      <c r="AB168">
        <v>21999.937274351127</v>
      </c>
      <c r="AC168">
        <v>7636.3796055677722</v>
      </c>
      <c r="AE168">
        <v>21999.938122028805</v>
      </c>
      <c r="AF168">
        <v>7636.3805364921654</v>
      </c>
      <c r="AH168">
        <v>21999.933087314192</v>
      </c>
      <c r="AI168">
        <v>7636.3748023220442</v>
      </c>
      <c r="AK168">
        <v>21999.222800954245</v>
      </c>
      <c r="AL168">
        <v>7637.9440024617688</v>
      </c>
      <c r="AZ168">
        <v>49999.999552570473</v>
      </c>
      <c r="BA168">
        <v>2.1977561136608696E-5</v>
      </c>
      <c r="BC168">
        <v>49999.998127075662</v>
      </c>
      <c r="BD168">
        <v>1.2950196584923489E-4</v>
      </c>
      <c r="BF168">
        <v>49999.9997432772</v>
      </c>
      <c r="BG168">
        <v>7.4879779270123872E-6</v>
      </c>
      <c r="BI168">
        <v>49999.997786868451</v>
      </c>
      <c r="BJ168">
        <v>1.5655646758042682E-4</v>
      </c>
      <c r="BL168">
        <v>49999.998043334977</v>
      </c>
      <c r="BM168">
        <v>1.4192733912772213E-4</v>
      </c>
      <c r="BO168">
        <v>49999.997810172863</v>
      </c>
      <c r="BP168">
        <v>1.5574268745777501E-4</v>
      </c>
      <c r="BR168">
        <v>49999.997826413353</v>
      </c>
      <c r="BS168">
        <v>1.549945240260417E-4</v>
      </c>
      <c r="BU168">
        <v>49999.997771253169</v>
      </c>
      <c r="BV168">
        <v>1.5620273619461843E-4</v>
      </c>
      <c r="BX168">
        <v>49999.999855433751</v>
      </c>
      <c r="BY168">
        <v>5.2304026144705856E-9</v>
      </c>
    </row>
    <row r="169" spans="13:77" x14ac:dyDescent="0.35">
      <c r="M169">
        <v>22000.011957230905</v>
      </c>
      <c r="N169">
        <v>7636.2764863169896</v>
      </c>
      <c r="P169">
        <v>21999.951713355633</v>
      </c>
      <c r="Q169">
        <v>7636.3600229181284</v>
      </c>
      <c r="S169">
        <v>21999.954405587632</v>
      </c>
      <c r="T169">
        <v>7636.2339864952282</v>
      </c>
      <c r="V169">
        <v>21999.942351854781</v>
      </c>
      <c r="W169">
        <v>7636.3723960623538</v>
      </c>
      <c r="Y169">
        <v>21999.947970140594</v>
      </c>
      <c r="Z169">
        <v>7636.3825318634972</v>
      </c>
      <c r="AB169">
        <v>21999.943299544302</v>
      </c>
      <c r="AC169">
        <v>7636.3743420650353</v>
      </c>
      <c r="AE169">
        <v>21999.943797488926</v>
      </c>
      <c r="AF169">
        <v>7636.375331968231</v>
      </c>
      <c r="AH169">
        <v>21999.940887955294</v>
      </c>
      <c r="AI169">
        <v>7636.3692496710783</v>
      </c>
      <c r="AK169">
        <v>21998.973999365269</v>
      </c>
      <c r="AL169">
        <v>7637.8641197964525</v>
      </c>
      <c r="AZ169">
        <v>49999.999600562573</v>
      </c>
      <c r="BA169">
        <v>1.9672975599511073E-5</v>
      </c>
      <c r="BC169">
        <v>49999.998321958919</v>
      </c>
      <c r="BD169">
        <v>1.1592228027542766E-4</v>
      </c>
      <c r="BF169">
        <v>49999.999771634553</v>
      </c>
      <c r="BG169">
        <v>6.7027822708807413E-6</v>
      </c>
      <c r="BI169">
        <v>49999.998016585414</v>
      </c>
      <c r="BJ169">
        <v>1.4013982393009918E-4</v>
      </c>
      <c r="BL169">
        <v>49999.998245868432</v>
      </c>
      <c r="BM169">
        <v>1.2704471837541147E-4</v>
      </c>
      <c r="BO169">
        <v>49999.998037337122</v>
      </c>
      <c r="BP169">
        <v>1.3941137749068138E-4</v>
      </c>
      <c r="BR169">
        <v>49999.998051827686</v>
      </c>
      <c r="BS169">
        <v>1.3874166711702417E-4</v>
      </c>
      <c r="BU169">
        <v>49999.99800282465</v>
      </c>
      <c r="BV169">
        <v>1.3982318510930662E-4</v>
      </c>
      <c r="BX169">
        <v>49999.999872077264</v>
      </c>
      <c r="BY169">
        <v>4.6819382040080891E-9</v>
      </c>
    </row>
    <row r="170" spans="13:77" x14ac:dyDescent="0.35">
      <c r="M170">
        <v>22000.030487515942</v>
      </c>
      <c r="N170">
        <v>7636.2783809235234</v>
      </c>
      <c r="P170">
        <v>21999.960073369297</v>
      </c>
      <c r="Q170">
        <v>7636.35613960725</v>
      </c>
      <c r="S170">
        <v>21999.991836191872</v>
      </c>
      <c r="T170">
        <v>7636.2316574631495</v>
      </c>
      <c r="V170">
        <v>21999.949273719161</v>
      </c>
      <c r="W170">
        <v>7636.3676213328945</v>
      </c>
      <c r="Y170">
        <v>21999.95164612876</v>
      </c>
      <c r="Z170">
        <v>7636.3781060103256</v>
      </c>
      <c r="AB170">
        <v>21999.949618607228</v>
      </c>
      <c r="AC170">
        <v>7636.3696236795868</v>
      </c>
      <c r="AE170">
        <v>21999.949807445966</v>
      </c>
      <c r="AF170">
        <v>7636.3706435329559</v>
      </c>
      <c r="AH170">
        <v>21999.948773818036</v>
      </c>
      <c r="AI170">
        <v>7636.3643893946946</v>
      </c>
      <c r="AK170">
        <v>21998.782610799481</v>
      </c>
      <c r="AL170">
        <v>7637.7648745870492</v>
      </c>
      <c r="AZ170">
        <v>49999.999643398492</v>
      </c>
      <c r="BA170">
        <v>1.7610050842152143E-5</v>
      </c>
      <c r="BC170">
        <v>49999.998496580767</v>
      </c>
      <c r="BD170">
        <v>1.037665720752909E-4</v>
      </c>
      <c r="BF170">
        <v>49999.999796852862</v>
      </c>
      <c r="BG170">
        <v>5.9999228914778291E-6</v>
      </c>
      <c r="BI170">
        <v>49999.998222485076</v>
      </c>
      <c r="BJ170">
        <v>1.2544464352109275E-4</v>
      </c>
      <c r="BL170">
        <v>49999.998427468483</v>
      </c>
      <c r="BM170">
        <v>1.1372270189406851E-4</v>
      </c>
      <c r="BO170">
        <v>49999.998240964305</v>
      </c>
      <c r="BP170">
        <v>1.2479258259993331E-4</v>
      </c>
      <c r="BR170">
        <v>49999.998253893842</v>
      </c>
      <c r="BS170">
        <v>1.2419309862830177E-4</v>
      </c>
      <c r="BU170">
        <v>49999.998210359365</v>
      </c>
      <c r="BV170">
        <v>1.2516120770890294E-4</v>
      </c>
      <c r="BX170">
        <v>49999.999886804646</v>
      </c>
      <c r="BY170">
        <v>4.1909862324443561E-9</v>
      </c>
    </row>
    <row r="171" spans="13:77" x14ac:dyDescent="0.35">
      <c r="M171">
        <v>22000.045690768697</v>
      </c>
      <c r="N171">
        <v>7636.2817603773074</v>
      </c>
      <c r="P171">
        <v>21999.968040969223</v>
      </c>
      <c r="Q171">
        <v>7636.3529764076511</v>
      </c>
      <c r="S171">
        <v>22000.0239866954</v>
      </c>
      <c r="T171">
        <v>7636.2323929918603</v>
      </c>
      <c r="V171">
        <v>21999.956235549358</v>
      </c>
      <c r="W171">
        <v>7636.3634593634524</v>
      </c>
      <c r="Y171">
        <v>21999.955785589478</v>
      </c>
      <c r="Z171">
        <v>7636.3740256060746</v>
      </c>
      <c r="AB171">
        <v>21999.956058262982</v>
      </c>
      <c r="AC171">
        <v>7636.3654685005813</v>
      </c>
      <c r="AE171">
        <v>21999.955979092407</v>
      </c>
      <c r="AF171">
        <v>7636.3664928827084</v>
      </c>
      <c r="AH171">
        <v>21999.95656964165</v>
      </c>
      <c r="AI171">
        <v>7636.3602210759009</v>
      </c>
      <c r="AK171">
        <v>21998.644229165959</v>
      </c>
      <c r="AL171">
        <v>7637.6511363218351</v>
      </c>
      <c r="AZ171">
        <v>49999.999681633162</v>
      </c>
      <c r="BA171">
        <v>1.5763446111126729E-5</v>
      </c>
      <c r="BC171">
        <v>49999.998653045783</v>
      </c>
      <c r="BD171">
        <v>9.2885521757214666E-5</v>
      </c>
      <c r="BF171">
        <v>49999.999819280347</v>
      </c>
      <c r="BG171">
        <v>5.3707659374760358E-6</v>
      </c>
      <c r="BI171">
        <v>49999.99840703373</v>
      </c>
      <c r="BJ171">
        <v>1.1229041223168261E-4</v>
      </c>
      <c r="BL171">
        <v>49999.998590295174</v>
      </c>
      <c r="BM171">
        <v>1.017976433769077E-4</v>
      </c>
      <c r="BO171">
        <v>49999.99842348988</v>
      </c>
      <c r="BP171">
        <v>1.1170672697656566E-4</v>
      </c>
      <c r="BR171">
        <v>49999.998435026864</v>
      </c>
      <c r="BS171">
        <v>1.1117010540547406E-4</v>
      </c>
      <c r="BU171">
        <v>49999.998396349511</v>
      </c>
      <c r="BV171">
        <v>1.1203669773359682E-4</v>
      </c>
      <c r="BX171">
        <v>49999.999899836497</v>
      </c>
      <c r="BY171">
        <v>3.7515158970655741E-9</v>
      </c>
    </row>
    <row r="172" spans="13:77" x14ac:dyDescent="0.35">
      <c r="M172">
        <v>22000.057737329829</v>
      </c>
      <c r="N172">
        <v>7636.286338742947</v>
      </c>
      <c r="P172">
        <v>21999.975508735846</v>
      </c>
      <c r="Q172">
        <v>7636.3504938176839</v>
      </c>
      <c r="S172">
        <v>22000.050961762645</v>
      </c>
      <c r="T172">
        <v>7636.2357317908509</v>
      </c>
      <c r="V172">
        <v>21999.963087755124</v>
      </c>
      <c r="W172">
        <v>7636.3599069055526</v>
      </c>
      <c r="Y172">
        <v>21999.960235568855</v>
      </c>
      <c r="Z172">
        <v>7636.3703246305313</v>
      </c>
      <c r="AB172">
        <v>21999.962467968133</v>
      </c>
      <c r="AC172">
        <v>7636.3618803528652</v>
      </c>
      <c r="AE172">
        <v>21999.962161437186</v>
      </c>
      <c r="AF172">
        <v>7636.3628874494261</v>
      </c>
      <c r="AH172">
        <v>21999.964127537489</v>
      </c>
      <c r="AI172">
        <v>7636.3567300684954</v>
      </c>
      <c r="AK172">
        <v>21998.553994977752</v>
      </c>
      <c r="AL172">
        <v>7637.5273648089506</v>
      </c>
      <c r="AZ172">
        <v>49999.999715761667</v>
      </c>
      <c r="BA172">
        <v>1.4110477905944021E-5</v>
      </c>
      <c r="BC172">
        <v>49999.998793240149</v>
      </c>
      <c r="BD172">
        <v>8.3145467602552007E-5</v>
      </c>
      <c r="BF172">
        <v>49999.999839226504</v>
      </c>
      <c r="BG172">
        <v>4.8075829104941018E-6</v>
      </c>
      <c r="BI172">
        <v>49999.998572442651</v>
      </c>
      <c r="BJ172">
        <v>1.0051554481063624E-4</v>
      </c>
      <c r="BL172">
        <v>49999.998736286077</v>
      </c>
      <c r="BM172">
        <v>9.1123056612754606E-5</v>
      </c>
      <c r="BO172">
        <v>49999.998587097689</v>
      </c>
      <c r="BP172">
        <v>9.9993065289707305E-5</v>
      </c>
      <c r="BR172">
        <v>49999.998597392376</v>
      </c>
      <c r="BS172">
        <v>9.9512714313451642E-5</v>
      </c>
      <c r="BU172">
        <v>49999.998563029199</v>
      </c>
      <c r="BV172">
        <v>1.0028843502537843E-4</v>
      </c>
      <c r="BX172">
        <v>49999.999911368024</v>
      </c>
      <c r="BY172">
        <v>3.3581287902129341E-9</v>
      </c>
    </row>
    <row r="173" spans="13:77" x14ac:dyDescent="0.35">
      <c r="M173">
        <v>22000.066837933377</v>
      </c>
      <c r="N173">
        <v>7636.2918469491324</v>
      </c>
      <c r="P173">
        <v>21999.982395208852</v>
      </c>
      <c r="Q173">
        <v>7636.3486440304478</v>
      </c>
      <c r="S173">
        <v>22000.07295769898</v>
      </c>
      <c r="T173">
        <v>7636.2412259600687</v>
      </c>
      <c r="V173">
        <v>21999.969704785923</v>
      </c>
      <c r="W173">
        <v>7636.3569485963126</v>
      </c>
      <c r="Y173">
        <v>21999.96485896581</v>
      </c>
      <c r="Z173">
        <v>7636.3670242812195</v>
      </c>
      <c r="AB173">
        <v>21999.968719712342</v>
      </c>
      <c r="AC173">
        <v>7636.3588507944733</v>
      </c>
      <c r="AE173">
        <v>21999.968225248045</v>
      </c>
      <c r="AF173">
        <v>7636.3598223236377</v>
      </c>
      <c r="AH173">
        <v>21999.971326058538</v>
      </c>
      <c r="AI173">
        <v>7636.3538898709039</v>
      </c>
      <c r="AK173">
        <v>21998.506761815624</v>
      </c>
      <c r="AL173">
        <v>7637.3975776508714</v>
      </c>
      <c r="AZ173">
        <v>49999.999746225738</v>
      </c>
      <c r="BA173">
        <v>1.263084133720777E-5</v>
      </c>
      <c r="BC173">
        <v>49999.998918854326</v>
      </c>
      <c r="BD173">
        <v>7.4426763777267257E-5</v>
      </c>
      <c r="BF173">
        <v>49999.999856966446</v>
      </c>
      <c r="BG173">
        <v>4.3034557290171738E-6</v>
      </c>
      <c r="BI173">
        <v>49999.998720694421</v>
      </c>
      <c r="BJ173">
        <v>8.9975399978350074E-5</v>
      </c>
      <c r="BL173">
        <v>49999.998867179165</v>
      </c>
      <c r="BM173">
        <v>8.1567816062728894E-5</v>
      </c>
      <c r="BO173">
        <v>49999.998733745902</v>
      </c>
      <c r="BP173">
        <v>8.9507708105254224E-5</v>
      </c>
      <c r="BR173">
        <v>49999.998742932308</v>
      </c>
      <c r="BS173">
        <v>8.9077727140733423E-5</v>
      </c>
      <c r="BU173">
        <v>49999.99871240116</v>
      </c>
      <c r="BV173">
        <v>8.9772105113925018E-5</v>
      </c>
      <c r="BX173">
        <v>49999.999921571958</v>
      </c>
      <c r="BY173">
        <v>3.0059925858020899E-9</v>
      </c>
    </row>
    <row r="174" spans="13:77" x14ac:dyDescent="0.35">
      <c r="M174">
        <v>22000.073233475145</v>
      </c>
      <c r="N174">
        <v>7636.2980358901486</v>
      </c>
      <c r="P174">
        <v>21999.988642790573</v>
      </c>
      <c r="Q174">
        <v>7636.3473731300528</v>
      </c>
      <c r="S174">
        <v>22000.09024505769</v>
      </c>
      <c r="T174">
        <v>7636.2484482892396</v>
      </c>
      <c r="V174">
        <v>21999.975984224246</v>
      </c>
      <c r="W174">
        <v>7636.3545590392168</v>
      </c>
      <c r="Y174">
        <v>21999.969535055705</v>
      </c>
      <c r="Z174">
        <v>7636.3641343963809</v>
      </c>
      <c r="AB174">
        <v>21999.974707381811</v>
      </c>
      <c r="AC174">
        <v>7636.356361076666</v>
      </c>
      <c r="AE174">
        <v>21999.974062552912</v>
      </c>
      <c r="AF174">
        <v>7636.3572821524131</v>
      </c>
      <c r="AH174">
        <v>21999.97806885836</v>
      </c>
      <c r="AI174">
        <v>7636.351664399268</v>
      </c>
      <c r="AK174">
        <v>21998.497244457758</v>
      </c>
      <c r="AL174">
        <v>7637.2653316181122</v>
      </c>
      <c r="AZ174">
        <v>49999.999773419491</v>
      </c>
      <c r="BA174">
        <v>1.1306360703421435E-5</v>
      </c>
      <c r="BC174">
        <v>49999.999031403298</v>
      </c>
      <c r="BD174">
        <v>6.6622310613599796E-5</v>
      </c>
      <c r="BF174">
        <v>49999.999872744724</v>
      </c>
      <c r="BG174">
        <v>3.8521917473959514E-6</v>
      </c>
      <c r="BI174">
        <v>49999.998853566532</v>
      </c>
      <c r="BJ174">
        <v>8.0540503666466022E-5</v>
      </c>
      <c r="BL174">
        <v>49999.998984533326</v>
      </c>
      <c r="BM174">
        <v>7.3014546126220746E-5</v>
      </c>
      <c r="BO174">
        <v>49999.998865190304</v>
      </c>
      <c r="BP174">
        <v>8.0121854361111725E-5</v>
      </c>
      <c r="BR174">
        <v>49999.998873387951</v>
      </c>
      <c r="BS174">
        <v>7.9736961565580493E-5</v>
      </c>
      <c r="BU174">
        <v>49999.998846260678</v>
      </c>
      <c r="BV174">
        <v>8.0358526470695183E-5</v>
      </c>
      <c r="BX174">
        <v>49999.999930601138</v>
      </c>
      <c r="BY174">
        <v>2.6907816795307364E-9</v>
      </c>
    </row>
    <row r="175" spans="13:77" x14ac:dyDescent="0.35">
      <c r="M175">
        <v>22000.077185647548</v>
      </c>
      <c r="N175">
        <v>7636.3046786636933</v>
      </c>
      <c r="P175">
        <v>21999.994215461782</v>
      </c>
      <c r="Q175">
        <v>7636.3466230943259</v>
      </c>
      <c r="S175">
        <v>22000.10315224545</v>
      </c>
      <c r="T175">
        <v>7636.2569980676262</v>
      </c>
      <c r="V175">
        <v>21999.98184553321</v>
      </c>
      <c r="W175">
        <v>7636.3527047891912</v>
      </c>
      <c r="Y175">
        <v>21999.974159599569</v>
      </c>
      <c r="Z175">
        <v>7636.3616549053868</v>
      </c>
      <c r="AB175">
        <v>21999.980345763186</v>
      </c>
      <c r="AC175">
        <v>7636.3543840314842</v>
      </c>
      <c r="AE175">
        <v>21999.979585774825</v>
      </c>
      <c r="AF175">
        <v>7636.355242976686</v>
      </c>
      <c r="AH175">
        <v>21999.98428302689</v>
      </c>
      <c r="AI175">
        <v>7636.3500101275213</v>
      </c>
      <c r="AK175">
        <v>21998.520148286403</v>
      </c>
      <c r="AL175">
        <v>7637.1337162768023</v>
      </c>
      <c r="AZ175">
        <v>49999.999797694589</v>
      </c>
      <c r="BA175">
        <v>1.0120766222526726E-5</v>
      </c>
      <c r="BC175">
        <v>49999.999132244797</v>
      </c>
      <c r="BD175">
        <v>5.9636239007806591E-5</v>
      </c>
      <c r="BF175">
        <v>49999.999886778714</v>
      </c>
      <c r="BG175">
        <v>3.4482476860265446E-6</v>
      </c>
      <c r="BI175">
        <v>49999.998972652582</v>
      </c>
      <c r="BJ175">
        <v>7.20949585703294E-5</v>
      </c>
      <c r="BL175">
        <v>49999.99908974678</v>
      </c>
      <c r="BM175">
        <v>6.5358179309992981E-5</v>
      </c>
      <c r="BO175">
        <v>49999.998983005164</v>
      </c>
      <c r="BP175">
        <v>7.1720209186818134E-5</v>
      </c>
      <c r="BR175">
        <v>49999.998990320666</v>
      </c>
      <c r="BS175">
        <v>7.1375676576202127E-5</v>
      </c>
      <c r="BU175">
        <v>49999.998966217034</v>
      </c>
      <c r="BV175">
        <v>7.1932063654904808E-5</v>
      </c>
      <c r="BX175">
        <v>49999.999938590809</v>
      </c>
      <c r="BY175">
        <v>2.4086240536045499E-9</v>
      </c>
    </row>
    <row r="176" spans="13:77" x14ac:dyDescent="0.35">
      <c r="M176">
        <v>22000.078968508173</v>
      </c>
      <c r="N176">
        <v>7636.3115720244987</v>
      </c>
      <c r="P176">
        <v>21999.999096384407</v>
      </c>
      <c r="Q176">
        <v>7636.3463335907791</v>
      </c>
      <c r="S176">
        <v>22000.112050319436</v>
      </c>
      <c r="T176">
        <v>7636.2665055010812</v>
      </c>
      <c r="V176">
        <v>21999.987228534603</v>
      </c>
      <c r="W176">
        <v>7636.3513462149167</v>
      </c>
      <c r="Y176">
        <v>21999.978644596944</v>
      </c>
      <c r="Z176">
        <v>7636.3595772726458</v>
      </c>
      <c r="AB176">
        <v>21999.985569260869</v>
      </c>
      <c r="AC176">
        <v>7636.3528858583895</v>
      </c>
      <c r="AE176">
        <v>21999.984726571616</v>
      </c>
      <c r="AF176">
        <v>7636.3536739788387</v>
      </c>
      <c r="AH176">
        <v>21999.98991718451</v>
      </c>
      <c r="AI176">
        <v>7636.3488780696143</v>
      </c>
      <c r="AK176">
        <v>21998.570280027507</v>
      </c>
      <c r="AL176">
        <v>7637.0053582111113</v>
      </c>
      <c r="AZ176">
        <v>49999.999819364813</v>
      </c>
      <c r="BA176">
        <v>9.0594941755667031E-6</v>
      </c>
      <c r="BC176">
        <v>49999.999222595601</v>
      </c>
      <c r="BD176">
        <v>5.3382732773206457E-5</v>
      </c>
      <c r="BF176">
        <v>49999.999899261653</v>
      </c>
      <c r="BG176">
        <v>3.0866615382768307E-6</v>
      </c>
      <c r="BI176">
        <v>49999.999079381261</v>
      </c>
      <c r="BJ176">
        <v>6.4535020477316611E-5</v>
      </c>
      <c r="BL176">
        <v>49999.999184073589</v>
      </c>
      <c r="BM176">
        <v>5.8504665589045035E-5</v>
      </c>
      <c r="BO176">
        <v>49999.999088601973</v>
      </c>
      <c r="BP176">
        <v>6.4199567632132907E-5</v>
      </c>
      <c r="BR176">
        <v>49999.999095130428</v>
      </c>
      <c r="BS176">
        <v>6.3891163002902112E-5</v>
      </c>
      <c r="BU176">
        <v>49999.999073712759</v>
      </c>
      <c r="BV176">
        <v>6.4389206858554858E-5</v>
      </c>
      <c r="BX176">
        <v>49999.999945660653</v>
      </c>
      <c r="BY176">
        <v>2.1560537132731231E-9</v>
      </c>
    </row>
    <row r="177" spans="13:77" x14ac:dyDescent="0.35">
      <c r="M177">
        <v>22000.078861020269</v>
      </c>
      <c r="N177">
        <v>7636.3185371378859</v>
      </c>
      <c r="P177">
        <v>22000.003285457075</v>
      </c>
      <c r="Q177">
        <v>7636.346443558853</v>
      </c>
      <c r="S177">
        <v>22000.117339116579</v>
      </c>
      <c r="T177">
        <v>7636.2766348478917</v>
      </c>
      <c r="V177">
        <v>21999.99209168804</v>
      </c>
      <c r="W177">
        <v>7636.3504392177947</v>
      </c>
      <c r="Y177">
        <v>21999.982917739399</v>
      </c>
      <c r="Z177">
        <v>7636.3578859061281</v>
      </c>
      <c r="AB177">
        <v>21999.990330395911</v>
      </c>
      <c r="AC177">
        <v>7636.3518277877956</v>
      </c>
      <c r="AE177">
        <v>21999.98943444727</v>
      </c>
      <c r="AF177">
        <v>7636.3525391175272</v>
      </c>
      <c r="AH177">
        <v>21999.994939408938</v>
      </c>
      <c r="AI177">
        <v>7636.3482155859383</v>
      </c>
      <c r="AK177">
        <v>21998.642640257669</v>
      </c>
      <c r="AL177">
        <v>7636.8824342046491</v>
      </c>
      <c r="AZ177">
        <v>49999.999838710144</v>
      </c>
      <c r="BA177">
        <v>8.1095080074571115E-6</v>
      </c>
      <c r="BC177">
        <v>49999.999303546145</v>
      </c>
      <c r="BD177">
        <v>4.778497448238859E-5</v>
      </c>
      <c r="BF177">
        <v>49999.999910365339</v>
      </c>
      <c r="BG177">
        <v>2.7629916177107013E-6</v>
      </c>
      <c r="BI177">
        <v>49999.999175033394</v>
      </c>
      <c r="BJ177">
        <v>5.7767823882734385E-5</v>
      </c>
      <c r="BL177">
        <v>49999.999268638516</v>
      </c>
      <c r="BM177">
        <v>5.2369817105111491E-5</v>
      </c>
      <c r="BO177">
        <v>49999.999183246255</v>
      </c>
      <c r="BP177">
        <v>5.7467546907195865E-5</v>
      </c>
      <c r="BR177">
        <v>49999.999189072485</v>
      </c>
      <c r="BS177">
        <v>5.7191481848367421E-5</v>
      </c>
      <c r="BU177">
        <v>49999.999170040894</v>
      </c>
      <c r="BV177">
        <v>5.7637300401726068E-5</v>
      </c>
      <c r="BX177">
        <v>49999.999951916565</v>
      </c>
      <c r="BY177">
        <v>1.9299681109111065E-9</v>
      </c>
    </row>
    <row r="178" spans="13:77" x14ac:dyDescent="0.35">
      <c r="M178">
        <v>22000.07714057772</v>
      </c>
      <c r="N178">
        <v>7636.3254197195647</v>
      </c>
      <c r="P178">
        <v>22000.00679688088</v>
      </c>
      <c r="Q178">
        <v>7636.3468925768675</v>
      </c>
      <c r="S178">
        <v>22000.119434807439</v>
      </c>
      <c r="T178">
        <v>7636.2870863951257</v>
      </c>
      <c r="V178">
        <v>21999.996410235748</v>
      </c>
      <c r="W178">
        <v>7636.3499367929335</v>
      </c>
      <c r="Y178">
        <v>21999.986921619504</v>
      </c>
      <c r="Z178">
        <v>7636.3565595065684</v>
      </c>
      <c r="AB178">
        <v>21999.994598149293</v>
      </c>
      <c r="AC178">
        <v>7636.3511676050466</v>
      </c>
      <c r="AE178">
        <v>21999.993675196885</v>
      </c>
      <c r="AF178">
        <v>7636.3517986323941</v>
      </c>
      <c r="AH178">
        <v>21999.999335062097</v>
      </c>
      <c r="AI178">
        <v>7636.347968002241</v>
      </c>
      <c r="AK178">
        <v>21998.732498426507</v>
      </c>
      <c r="AL178">
        <v>7636.7666917988736</v>
      </c>
      <c r="AZ178">
        <v>49999.999855980415</v>
      </c>
      <c r="BA178">
        <v>7.2591381872849887E-6</v>
      </c>
      <c r="BC178">
        <v>49999.999376073625</v>
      </c>
      <c r="BD178">
        <v>4.277420184938506E-5</v>
      </c>
      <c r="BF178">
        <v>49999.999920242488</v>
      </c>
      <c r="BG178">
        <v>2.4732619968723634E-6</v>
      </c>
      <c r="BI178">
        <v>49999.999260757228</v>
      </c>
      <c r="BJ178">
        <v>5.1710241238837782E-5</v>
      </c>
      <c r="BL178">
        <v>49999.999344450312</v>
      </c>
      <c r="BM178">
        <v>4.6878274011151314E-5</v>
      </c>
      <c r="BO178">
        <v>49999.999268072635</v>
      </c>
      <c r="BP178">
        <v>5.1441451561177615E-5</v>
      </c>
      <c r="BR178">
        <v>49999.999273272311</v>
      </c>
      <c r="BS178">
        <v>5.119433491783029E-5</v>
      </c>
      <c r="BU178">
        <v>49999.999256360439</v>
      </c>
      <c r="BV178">
        <v>5.1593404559057423E-5</v>
      </c>
      <c r="BX178">
        <v>49999.999957452244</v>
      </c>
      <c r="BY178">
        <v>1.7275900346462883E-9</v>
      </c>
    </row>
    <row r="179" spans="13:77" x14ac:dyDescent="0.35">
      <c r="M179">
        <v>22000.074077504934</v>
      </c>
      <c r="N179">
        <v>7636.3320896481291</v>
      </c>
      <c r="P179">
        <v>22000.009656784128</v>
      </c>
      <c r="Q179">
        <v>7636.3476220168004</v>
      </c>
      <c r="S179">
        <v>22000.118758924349</v>
      </c>
      <c r="T179">
        <v>7636.2975974034143</v>
      </c>
      <c r="V179">
        <v>22000.000174270823</v>
      </c>
      <c r="W179">
        <v>7636.3497904229234</v>
      </c>
      <c r="Y179">
        <v>21999.99061274726</v>
      </c>
      <c r="Z179">
        <v>7636.3555723381269</v>
      </c>
      <c r="AB179">
        <v>21999.998356206463</v>
      </c>
      <c r="AC179">
        <v>7636.3508610236995</v>
      </c>
      <c r="AE179">
        <v>21999.997429241575</v>
      </c>
      <c r="AF179">
        <v>7636.3514104065443</v>
      </c>
      <c r="AH179">
        <v>22000.003104576357</v>
      </c>
      <c r="AI179">
        <v>7636.3480800348925</v>
      </c>
      <c r="AK179">
        <v>21998.835451394716</v>
      </c>
      <c r="AL179">
        <v>7636.6594757254998</v>
      </c>
      <c r="AZ179">
        <v>49999.999871398577</v>
      </c>
      <c r="BA179">
        <v>6.4979388609939822E-6</v>
      </c>
      <c r="BC179">
        <v>49999.999441053755</v>
      </c>
      <c r="BD179">
        <v>3.8288863060475419E-5</v>
      </c>
      <c r="BF179">
        <v>49999.999929028883</v>
      </c>
      <c r="BG179">
        <v>2.2139136674061695E-6</v>
      </c>
      <c r="BI179">
        <v>49999.999337582121</v>
      </c>
      <c r="BJ179">
        <v>4.6287861824059938E-5</v>
      </c>
      <c r="BL179">
        <v>49999.999412413672</v>
      </c>
      <c r="BM179">
        <v>4.1962578758336661E-5</v>
      </c>
      <c r="BO179">
        <v>49999.999344098353</v>
      </c>
      <c r="BP179">
        <v>4.6047257659353653E-5</v>
      </c>
      <c r="BR179">
        <v>49999.999348738973</v>
      </c>
      <c r="BS179">
        <v>4.5826053876002548E-5</v>
      </c>
      <c r="BU179">
        <v>49999.999333710271</v>
      </c>
      <c r="BV179">
        <v>4.6183276736162436E-5</v>
      </c>
      <c r="BX179">
        <v>49999.999962350623</v>
      </c>
      <c r="BY179">
        <v>1.5464334933783969E-9</v>
      </c>
    </row>
    <row r="180" spans="13:77" x14ac:dyDescent="0.35">
      <c r="M180">
        <v>22000.069930503327</v>
      </c>
      <c r="N180">
        <v>7636.3384401349858</v>
      </c>
      <c r="P180">
        <v>22000.011900946527</v>
      </c>
      <c r="Q180">
        <v>7636.3485759939231</v>
      </c>
      <c r="S180">
        <v>22000.115728875862</v>
      </c>
      <c r="T180">
        <v>7636.3079421507782</v>
      </c>
      <c r="V180">
        <v>22000.003386779998</v>
      </c>
      <c r="W180">
        <v>7636.3499512999533</v>
      </c>
      <c r="Y180">
        <v>21999.993960422271</v>
      </c>
      <c r="Z180">
        <v>7636.3548954057023</v>
      </c>
      <c r="AB180">
        <v>22000.001601153737</v>
      </c>
      <c r="AC180">
        <v>7636.3508629016796</v>
      </c>
      <c r="AE180">
        <v>22000.000689903703</v>
      </c>
      <c r="AF180">
        <v>7636.3513311793504</v>
      </c>
      <c r="AH180">
        <v>22000.006261251845</v>
      </c>
      <c r="AI180">
        <v>7636.3484970212603</v>
      </c>
      <c r="AK180">
        <v>21998.947466682534</v>
      </c>
      <c r="AL180">
        <v>7636.561758808466</v>
      </c>
      <c r="AZ180">
        <v>49999.999885163576</v>
      </c>
      <c r="BA180">
        <v>5.8165595355919428E-6</v>
      </c>
      <c r="BC180">
        <v>49999.999499271282</v>
      </c>
      <c r="BD180">
        <v>3.4273860677772008E-5</v>
      </c>
      <c r="BF180">
        <v>49999.999936845234</v>
      </c>
      <c r="BG180">
        <v>1.9817608215678016E-6</v>
      </c>
      <c r="BI180">
        <v>49999.999406430848</v>
      </c>
      <c r="BJ180">
        <v>4.1434077688956664E-5</v>
      </c>
      <c r="BL180">
        <v>49999.999473339922</v>
      </c>
      <c r="BM180">
        <v>3.7562347454152998E-5</v>
      </c>
      <c r="BO180">
        <v>49999.999412235396</v>
      </c>
      <c r="BP180">
        <v>4.1218703480306896E-5</v>
      </c>
      <c r="BR180">
        <v>49999.999416377177</v>
      </c>
      <c r="BS180">
        <v>4.1020695312431103E-5</v>
      </c>
      <c r="BU180">
        <v>49999.999403021531</v>
      </c>
      <c r="BV180">
        <v>4.1340459480827342E-5</v>
      </c>
      <c r="BX180">
        <v>49999.999966685064</v>
      </c>
      <c r="BY180">
        <v>1.3842731791236885E-9</v>
      </c>
    </row>
    <row r="181" spans="13:77" x14ac:dyDescent="0.35">
      <c r="M181">
        <v>22000.06494300066</v>
      </c>
      <c r="N181">
        <v>7636.3443865332711</v>
      </c>
      <c r="P181">
        <v>22000.013572655356</v>
      </c>
      <c r="Q181">
        <v>7636.3497021215535</v>
      </c>
      <c r="S181">
        <v>22000.110749927015</v>
      </c>
      <c r="T181">
        <v>7636.3179312057036</v>
      </c>
      <c r="V181">
        <v>22000.006061705062</v>
      </c>
      <c r="W181">
        <v>7636.3503713760256</v>
      </c>
      <c r="Y181">
        <v>21999.996945505976</v>
      </c>
      <c r="Z181">
        <v>7636.3544975281638</v>
      </c>
      <c r="AB181">
        <v>22000.004340670843</v>
      </c>
      <c r="AC181">
        <v>7636.3511282980753</v>
      </c>
      <c r="AE181">
        <v>22000.003461666776</v>
      </c>
      <c r="AF181">
        <v>7636.3515176063283</v>
      </c>
      <c r="AH181">
        <v>22000.008829108629</v>
      </c>
      <c r="AI181">
        <v>7636.3491659581632</v>
      </c>
      <c r="AK181">
        <v>21999.064911764592</v>
      </c>
      <c r="AL181">
        <v>7636.4741760442184</v>
      </c>
      <c r="AZ181">
        <v>49999.999897452959</v>
      </c>
      <c r="BA181">
        <v>5.206630218662254E-6</v>
      </c>
      <c r="BC181">
        <v>49999.999551429442</v>
      </c>
      <c r="BD181">
        <v>3.0679874827757994E-5</v>
      </c>
      <c r="BF181">
        <v>49999.999943798866</v>
      </c>
      <c r="BG181">
        <v>1.773951718093302E-6</v>
      </c>
      <c r="BI181">
        <v>49999.999468130613</v>
      </c>
      <c r="BJ181">
        <v>3.7089265450694937E-5</v>
      </c>
      <c r="BL181">
        <v>49999.999527956672</v>
      </c>
      <c r="BM181">
        <v>3.3623528112638981E-5</v>
      </c>
      <c r="BO181">
        <v>49999.999473301374</v>
      </c>
      <c r="BP181">
        <v>3.6896475563452069E-5</v>
      </c>
      <c r="BR181">
        <v>49999.999476998033</v>
      </c>
      <c r="BS181">
        <v>3.6719230699126217E-5</v>
      </c>
      <c r="BU181">
        <v>49999.999465128822</v>
      </c>
      <c r="BV181">
        <v>3.7005464126189306E-5</v>
      </c>
      <c r="BX181">
        <v>49999.99997052049</v>
      </c>
      <c r="BY181">
        <v>1.2391171315638852E-9</v>
      </c>
    </row>
    <row r="182" spans="13:77" x14ac:dyDescent="0.35">
      <c r="M182">
        <v>22000.059340347187</v>
      </c>
      <c r="N182">
        <v>7636.349864862892</v>
      </c>
      <c r="P182">
        <v>22000.014720718653</v>
      </c>
      <c r="Q182">
        <v>7636.3509520837042</v>
      </c>
      <c r="S182">
        <v>22000.104208597688</v>
      </c>
      <c r="T182">
        <v>7636.327410056635</v>
      </c>
      <c r="V182">
        <v>22000.008222060234</v>
      </c>
      <c r="W182">
        <v>7636.3510042446014</v>
      </c>
      <c r="Y182">
        <v>21999.999559133859</v>
      </c>
      <c r="Z182">
        <v>7636.3543463005035</v>
      </c>
      <c r="AB182">
        <v>22000.006591757461</v>
      </c>
      <c r="AC182">
        <v>7636.3516133719395</v>
      </c>
      <c r="AE182">
        <v>22000.005758458137</v>
      </c>
      <c r="AF182">
        <v>7636.3519271664627</v>
      </c>
      <c r="AH182">
        <v>22000.010840830197</v>
      </c>
      <c r="AI182">
        <v>7636.3500363548856</v>
      </c>
      <c r="AK182">
        <v>21999.1845708402</v>
      </c>
      <c r="AL182">
        <v>7636.397060692344</v>
      </c>
      <c r="AZ182">
        <v>49999.999908425169</v>
      </c>
      <c r="BA182">
        <v>4.6606586022440409E-6</v>
      </c>
      <c r="BC182">
        <v>49999.9995981584</v>
      </c>
      <c r="BD182">
        <v>2.7462757360881948E-5</v>
      </c>
      <c r="BF182">
        <v>49999.999949985206</v>
      </c>
      <c r="BG182">
        <v>1.5879336517062559E-6</v>
      </c>
      <c r="BI182">
        <v>49999.999523422935</v>
      </c>
      <c r="BJ182">
        <v>3.3200053885312913E-5</v>
      </c>
      <c r="BL182">
        <v>49999.999576916409</v>
      </c>
      <c r="BM182">
        <v>3.0097736685172557E-5</v>
      </c>
      <c r="BO182">
        <v>49999.999528029264</v>
      </c>
      <c r="BP182">
        <v>3.302748010835381E-5</v>
      </c>
      <c r="BR182">
        <v>49999.999531328715</v>
      </c>
      <c r="BS182">
        <v>3.2868821289966073E-5</v>
      </c>
      <c r="BU182">
        <v>49999.999520780177</v>
      </c>
      <c r="BV182">
        <v>3.3125040037831454E-5</v>
      </c>
      <c r="BX182">
        <v>49999.99997391436</v>
      </c>
      <c r="BY182">
        <v>1.1091822690135932E-9</v>
      </c>
    </row>
    <row r="183" spans="13:77" x14ac:dyDescent="0.35">
      <c r="M183">
        <v>22000.053327793277</v>
      </c>
      <c r="N183">
        <v>7636.3548301234705</v>
      </c>
      <c r="P183">
        <v>22000.015397653613</v>
      </c>
      <c r="Q183">
        <v>7636.3522820403086</v>
      </c>
      <c r="S183">
        <v>22000.09646740901</v>
      </c>
      <c r="T183">
        <v>7636.3362572198503</v>
      </c>
      <c r="V183">
        <v>22000.009898136221</v>
      </c>
      <c r="W183">
        <v>7636.3518058600102</v>
      </c>
      <c r="Y183">
        <v>22000.001801402923</v>
      </c>
      <c r="Z183">
        <v>7636.3544089412007</v>
      </c>
      <c r="AB183">
        <v>22000.008379025483</v>
      </c>
      <c r="AC183">
        <v>7636.3522761275408</v>
      </c>
      <c r="AE183">
        <v>22000.007601986625</v>
      </c>
      <c r="AF183">
        <v>7636.3525189204511</v>
      </c>
      <c r="AH183">
        <v>22000.012335827367</v>
      </c>
      <c r="AI183">
        <v>7636.3510609101395</v>
      </c>
      <c r="AK183">
        <v>21999.303650557948</v>
      </c>
      <c r="AL183">
        <v>7636.3304813379154</v>
      </c>
      <c r="AZ183">
        <v>49999.999918221605</v>
      </c>
      <c r="BA183">
        <v>4.1719380280982983E-6</v>
      </c>
      <c r="BC183">
        <v>49999.999640022841</v>
      </c>
      <c r="BD183">
        <v>2.4582989540116734E-5</v>
      </c>
      <c r="BF183">
        <v>49999.999955489104</v>
      </c>
      <c r="BG183">
        <v>1.4214215959521173E-6</v>
      </c>
      <c r="BI183">
        <v>49999.999572972512</v>
      </c>
      <c r="BJ183">
        <v>2.9718668320914373E-5</v>
      </c>
      <c r="BL183">
        <v>49999.999620804258</v>
      </c>
      <c r="BM183">
        <v>2.6941662715661311E-5</v>
      </c>
      <c r="BO183">
        <v>49999.99957707616</v>
      </c>
      <c r="BP183">
        <v>2.9564190775767156E-5</v>
      </c>
      <c r="BR183">
        <v>49999.999580021155</v>
      </c>
      <c r="BS183">
        <v>2.9422169054801161E-5</v>
      </c>
      <c r="BU183">
        <v>49999.999570646047</v>
      </c>
      <c r="BV183">
        <v>2.9651520488285099E-5</v>
      </c>
      <c r="BX183">
        <v>49999.999976917505</v>
      </c>
      <c r="BY183">
        <v>9.928724852311243E-10</v>
      </c>
    </row>
    <row r="184" spans="13:77" x14ac:dyDescent="0.35">
      <c r="M184">
        <v>22000.047089176525</v>
      </c>
      <c r="N184">
        <v>7636.3592544608946</v>
      </c>
      <c r="P184">
        <v>22000.015658062101</v>
      </c>
      <c r="Q184">
        <v>7636.3536528810255</v>
      </c>
      <c r="S184">
        <v>22000.087860890075</v>
      </c>
      <c r="T184">
        <v>7636.3443819406903</v>
      </c>
      <c r="V184">
        <v>22000.011125815447</v>
      </c>
      <c r="W184">
        <v>7636.3527351033827</v>
      </c>
      <c r="Y184">
        <v>22000.003680065169</v>
      </c>
      <c r="Z184">
        <v>7636.3546530240128</v>
      </c>
      <c r="AB184">
        <v>22000.009733082628</v>
      </c>
      <c r="AC184">
        <v>7636.3530770130265</v>
      </c>
      <c r="AE184">
        <v>22000.009020161517</v>
      </c>
      <c r="AF184">
        <v>7636.3532541259046</v>
      </c>
      <c r="AH184">
        <v>22000.013358445129</v>
      </c>
      <c r="AI184">
        <v>7636.3521960246208</v>
      </c>
      <c r="AK184">
        <v>21999.419776185754</v>
      </c>
      <c r="AL184">
        <v>7636.2742790186567</v>
      </c>
      <c r="AZ184">
        <v>49999.999926968463</v>
      </c>
      <c r="BA184">
        <v>3.7344651038144998E-6</v>
      </c>
      <c r="BC184">
        <v>49999.999677528773</v>
      </c>
      <c r="BD184">
        <v>2.2005196596776124E-5</v>
      </c>
      <c r="BF184">
        <v>49999.999960385998</v>
      </c>
      <c r="BG184">
        <v>1.2723701341714564E-6</v>
      </c>
      <c r="BI184">
        <v>49999.999617375179</v>
      </c>
      <c r="BJ184">
        <v>2.6602343778378364E-5</v>
      </c>
      <c r="BL184">
        <v>49999.999660144917</v>
      </c>
      <c r="BM184">
        <v>2.4116537319256628E-5</v>
      </c>
      <c r="BO184">
        <v>49999.999621031115</v>
      </c>
      <c r="BP184">
        <v>2.6464064878843091E-5</v>
      </c>
      <c r="BR184">
        <v>49999.999623659802</v>
      </c>
      <c r="BS184">
        <v>2.6336935675187571E-5</v>
      </c>
      <c r="BU184">
        <v>49999.999615327324</v>
      </c>
      <c r="BV184">
        <v>2.6542237123716297E-5</v>
      </c>
      <c r="BX184">
        <v>49999.999979574903</v>
      </c>
      <c r="BY184">
        <v>8.8875904301620544E-10</v>
      </c>
    </row>
    <row r="185" spans="13:77" x14ac:dyDescent="0.35">
      <c r="M185">
        <v>22000.040786242178</v>
      </c>
      <c r="N185">
        <v>7636.3631252466539</v>
      </c>
      <c r="P185">
        <v>22000.015557199575</v>
      </c>
      <c r="Q185">
        <v>7636.3550303444272</v>
      </c>
      <c r="S185">
        <v>22000.078692744013</v>
      </c>
      <c r="T185">
        <v>7636.3517215947995</v>
      </c>
      <c r="V185">
        <v>22000.01194501706</v>
      </c>
      <c r="W185">
        <v>7636.3537542057602</v>
      </c>
      <c r="Y185">
        <v>22000.005209253188</v>
      </c>
      <c r="Z185">
        <v>7636.3550470959026</v>
      </c>
      <c r="AB185">
        <v>22000.010689027557</v>
      </c>
      <c r="AC185">
        <v>7636.353979381468</v>
      </c>
      <c r="AE185">
        <v>22000.01004561357</v>
      </c>
      <c r="AF185">
        <v>7636.3540967176295</v>
      </c>
      <c r="AH185">
        <v>22000.013956328581</v>
      </c>
      <c r="AI185">
        <v>7636.3534021624992</v>
      </c>
      <c r="AK185">
        <v>21999.530979697072</v>
      </c>
      <c r="AL185">
        <v>7636.2281036412023</v>
      </c>
      <c r="AZ185">
        <v>49999.999934778374</v>
      </c>
      <c r="BA185">
        <v>3.3428659577622486E-6</v>
      </c>
      <c r="BC185">
        <v>49999.999711129611</v>
      </c>
      <c r="BD185">
        <v>1.9697713190435814E-5</v>
      </c>
      <c r="BF185">
        <v>49999.999964742987</v>
      </c>
      <c r="BG185">
        <v>1.1389483338150794E-6</v>
      </c>
      <c r="BI185">
        <v>49999.999657165012</v>
      </c>
      <c r="BJ185">
        <v>2.381279965065498E-5</v>
      </c>
      <c r="BL185">
        <v>49999.999695408878</v>
      </c>
      <c r="BM185">
        <v>2.1587656949289085E-5</v>
      </c>
      <c r="BO185">
        <v>49999.999660422189</v>
      </c>
      <c r="BP185">
        <v>2.3689020793042174E-5</v>
      </c>
      <c r="BR185">
        <v>49999.999662768598</v>
      </c>
      <c r="BS185">
        <v>2.3575222464742913E-5</v>
      </c>
      <c r="BU185">
        <v>49999.999655362561</v>
      </c>
      <c r="BV185">
        <v>2.3758995830155586E-5</v>
      </c>
      <c r="BX185">
        <v>49999.999981926361</v>
      </c>
      <c r="BY185">
        <v>7.9556302375155721E-10</v>
      </c>
    </row>
    <row r="186" spans="13:77" x14ac:dyDescent="0.35">
      <c r="M186">
        <v>22000.034558518735</v>
      </c>
      <c r="N186">
        <v>7636.3664431223106</v>
      </c>
      <c r="P186">
        <v>22000.015149738836</v>
      </c>
      <c r="Q186">
        <v>7636.3563850196997</v>
      </c>
      <c r="S186">
        <v>22000.069234063176</v>
      </c>
      <c r="T186">
        <v>7636.3582388867026</v>
      </c>
      <c r="V186">
        <v>22000.012398284918</v>
      </c>
      <c r="W186">
        <v>7636.3548290404378</v>
      </c>
      <c r="Y186">
        <v>22000.006408259476</v>
      </c>
      <c r="Z186">
        <v>7636.3555611849197</v>
      </c>
      <c r="AB186">
        <v>22000.01128507129</v>
      </c>
      <c r="AC186">
        <v>7636.3549498248076</v>
      </c>
      <c r="AE186">
        <v>22000.01071433385</v>
      </c>
      <c r="AF186">
        <v>7636.3550136627082</v>
      </c>
      <c r="AH186">
        <v>22000.014178958609</v>
      </c>
      <c r="AI186">
        <v>7636.3546440763785</v>
      </c>
      <c r="AK186">
        <v>21999.635681196345</v>
      </c>
      <c r="AL186">
        <v>7636.1914490386298</v>
      </c>
      <c r="AZ186">
        <v>49999.999941751856</v>
      </c>
      <c r="BA186">
        <v>2.9923302270112568E-6</v>
      </c>
      <c r="BC186">
        <v>49999.999741231652</v>
      </c>
      <c r="BD186">
        <v>1.7632194435107795E-5</v>
      </c>
      <c r="BF186">
        <v>49999.999968619719</v>
      </c>
      <c r="BG186">
        <v>1.019517255459686E-6</v>
      </c>
      <c r="BI186">
        <v>49999.999692820733</v>
      </c>
      <c r="BJ186">
        <v>2.1315769467653834E-5</v>
      </c>
      <c r="BL186">
        <v>49999.999727018039</v>
      </c>
      <c r="BM186">
        <v>1.9323957102420919E-5</v>
      </c>
      <c r="BO186">
        <v>49999.999695722734</v>
      </c>
      <c r="BP186">
        <v>2.1204970165305624E-5</v>
      </c>
      <c r="BR186">
        <v>49999.999697817235</v>
      </c>
      <c r="BS186">
        <v>2.1103104825512302E-5</v>
      </c>
      <c r="BU186">
        <v>49999.999691234421</v>
      </c>
      <c r="BV186">
        <v>2.1267607560857684E-5</v>
      </c>
      <c r="BX186">
        <v>49999.999984007103</v>
      </c>
      <c r="BY186">
        <v>7.1213961730032737E-10</v>
      </c>
    </row>
    <row r="187" spans="13:77" x14ac:dyDescent="0.35">
      <c r="M187">
        <v>22000.028523670495</v>
      </c>
      <c r="N187">
        <v>7636.3692200545747</v>
      </c>
      <c r="P187">
        <v>22000.01448872577</v>
      </c>
      <c r="Q187">
        <v>7636.3576922479278</v>
      </c>
      <c r="S187">
        <v>22000.059722477621</v>
      </c>
      <c r="T187">
        <v>7636.3639189330588</v>
      </c>
      <c r="V187">
        <v>22000.012529526921</v>
      </c>
      <c r="W187">
        <v>7636.3559292975287</v>
      </c>
      <c r="Y187">
        <v>22000.007300386907</v>
      </c>
      <c r="Z187">
        <v>7636.3561672035603</v>
      </c>
      <c r="AB187">
        <v>22000.011561295036</v>
      </c>
      <c r="AC187">
        <v>7636.3559583923025</v>
      </c>
      <c r="AE187">
        <v>22000.011064441311</v>
      </c>
      <c r="AF187">
        <v>7636.3559752012725</v>
      </c>
      <c r="AH187">
        <v>22000.01407636279</v>
      </c>
      <c r="AI187">
        <v>7636.3558909109443</v>
      </c>
      <c r="AK187">
        <v>21999.732665036834</v>
      </c>
      <c r="AL187">
        <v>7636.1636861439665</v>
      </c>
      <c r="AZ187">
        <v>49999.999947978635</v>
      </c>
      <c r="BA187">
        <v>2.6785519673339728E-6</v>
      </c>
      <c r="BC187">
        <v>49999.999768198941</v>
      </c>
      <c r="BD187">
        <v>1.5783267713549372E-5</v>
      </c>
      <c r="BF187">
        <v>49999.99997206925</v>
      </c>
      <c r="BG187">
        <v>9.1260982024712917E-7</v>
      </c>
      <c r="BI187">
        <v>49999.999724771442</v>
      </c>
      <c r="BJ187">
        <v>1.9080579970399275E-5</v>
      </c>
      <c r="BL187">
        <v>49999.999755350691</v>
      </c>
      <c r="BM187">
        <v>1.7297630725448588E-5</v>
      </c>
      <c r="BO187">
        <v>49999.999727357084</v>
      </c>
      <c r="BP187">
        <v>1.8981399176183326E-5</v>
      </c>
      <c r="BR187">
        <v>49999.999729226758</v>
      </c>
      <c r="BS187">
        <v>1.8890215521648312E-5</v>
      </c>
      <c r="BU187">
        <v>49999.999723375484</v>
      </c>
      <c r="BV187">
        <v>1.9037468361516397E-5</v>
      </c>
      <c r="BX187">
        <v>49999.999985848299</v>
      </c>
      <c r="BY187">
        <v>6.3746405927810829E-10</v>
      </c>
    </row>
    <row r="188" spans="13:77" x14ac:dyDescent="0.35">
      <c r="M188">
        <v>22000.022778250295</v>
      </c>
      <c r="N188">
        <v>7636.3714774396012</v>
      </c>
      <c r="P188">
        <v>22000.013624720694</v>
      </c>
      <c r="Q188">
        <v>7636.3589319396124</v>
      </c>
      <c r="S188">
        <v>22000.050362118604</v>
      </c>
      <c r="T188">
        <v>7636.3687663076253</v>
      </c>
      <c r="V188">
        <v>22000.012382909685</v>
      </c>
      <c r="W188">
        <v>7636.3570285543037</v>
      </c>
      <c r="Y188">
        <v>22000.007911883702</v>
      </c>
      <c r="Z188">
        <v>7636.3568392545021</v>
      </c>
      <c r="AB188">
        <v>22000.011558550203</v>
      </c>
      <c r="AC188">
        <v>7636.3569787057786</v>
      </c>
      <c r="AE188">
        <v>22000.011135085824</v>
      </c>
      <c r="AF188">
        <v>7636.3569549846343</v>
      </c>
      <c r="AH188">
        <v>22000.013698002676</v>
      </c>
      <c r="AI188">
        <v>7636.3571162008257</v>
      </c>
      <c r="AK188">
        <v>21999.821051896277</v>
      </c>
      <c r="AL188">
        <v>7636.1440938698152</v>
      </c>
      <c r="AZ188">
        <v>49999.999953538783</v>
      </c>
      <c r="BA188">
        <v>2.3976767594353529E-6</v>
      </c>
      <c r="BC188">
        <v>49999.999792357688</v>
      </c>
      <c r="BD188">
        <v>1.412822100262624E-5</v>
      </c>
      <c r="BF188">
        <v>49999.999975138759</v>
      </c>
      <c r="BG188">
        <v>8.169127884409757E-7</v>
      </c>
      <c r="BI188">
        <v>49999.999753401753</v>
      </c>
      <c r="BJ188">
        <v>1.7079774323837597E-5</v>
      </c>
      <c r="BL188">
        <v>49999.999780746031</v>
      </c>
      <c r="BM188">
        <v>1.5483786636300038E-5</v>
      </c>
      <c r="BO188">
        <v>49999.99975570559</v>
      </c>
      <c r="BP188">
        <v>1.6990993711180946E-5</v>
      </c>
      <c r="BR188">
        <v>49999.999757374615</v>
      </c>
      <c r="BS188">
        <v>1.6909371651376842E-5</v>
      </c>
      <c r="BU188">
        <v>49999.999752173419</v>
      </c>
      <c r="BV188">
        <v>1.7041183434402692E-5</v>
      </c>
      <c r="BX188">
        <v>49999.999987477524</v>
      </c>
      <c r="BY188">
        <v>5.7061904295444803E-10</v>
      </c>
    </row>
    <row r="189" spans="13:77" x14ac:dyDescent="0.35">
      <c r="M189">
        <v>22000.017398778698</v>
      </c>
      <c r="N189">
        <v>7636.3732442884993</v>
      </c>
      <c r="P189">
        <v>22000.012605116019</v>
      </c>
      <c r="Q189">
        <v>7636.360088324388</v>
      </c>
      <c r="S189">
        <v>22000.041324279216</v>
      </c>
      <c r="T189">
        <v>7636.3728021145243</v>
      </c>
      <c r="V189">
        <v>22000.01200190877</v>
      </c>
      <c r="W189">
        <v>7636.3581042550104</v>
      </c>
      <c r="Y189">
        <v>22000.008270972619</v>
      </c>
      <c r="Z189">
        <v>7636.3575538465948</v>
      </c>
      <c r="AB189">
        <v>22000.011317502649</v>
      </c>
      <c r="AC189">
        <v>7636.3579879843228</v>
      </c>
      <c r="AE189">
        <v>22000.010965489608</v>
      </c>
      <c r="AF189">
        <v>7636.3579301228656</v>
      </c>
      <c r="AH189">
        <v>22000.01309183472</v>
      </c>
      <c r="AI189">
        <v>7636.358297778107</v>
      </c>
      <c r="AK189">
        <v>21999.90026797491</v>
      </c>
      <c r="AL189">
        <v>7636.1318873912351</v>
      </c>
      <c r="AZ189">
        <v>49999.999958503788</v>
      </c>
      <c r="BA189">
        <v>2.1462543616681151E-6</v>
      </c>
      <c r="BC189">
        <v>49999.999814000184</v>
      </c>
      <c r="BD189">
        <v>1.2646723881147809E-5</v>
      </c>
      <c r="BF189">
        <v>49999.999977870204</v>
      </c>
      <c r="BG189">
        <v>7.3125062772681942E-7</v>
      </c>
      <c r="BI189">
        <v>49999.999779056387</v>
      </c>
      <c r="BJ189">
        <v>1.5288774839877315E-5</v>
      </c>
      <c r="BL189">
        <v>49999.999803508188</v>
      </c>
      <c r="BM189">
        <v>1.3860143763302266E-5</v>
      </c>
      <c r="BO189">
        <v>49999.999781109203</v>
      </c>
      <c r="BP189">
        <v>1.5209303836965764E-5</v>
      </c>
      <c r="BR189">
        <v>49999.999782599145</v>
      </c>
      <c r="BS189">
        <v>1.5136240735007143E-5</v>
      </c>
      <c r="BU189">
        <v>49999.99977797566</v>
      </c>
      <c r="BV189">
        <v>1.5254230623464621E-5</v>
      </c>
      <c r="BX189">
        <v>49999.999988919182</v>
      </c>
      <c r="BY189">
        <v>5.107834511529619E-10</v>
      </c>
    </row>
    <row r="190" spans="13:77" x14ac:dyDescent="0.35">
      <c r="M190">
        <v>22000.012443079766</v>
      </c>
      <c r="N190">
        <v>7636.374555519702</v>
      </c>
      <c r="P190">
        <v>22000.011473618681</v>
      </c>
      <c r="Q190">
        <v>7636.3611496479789</v>
      </c>
      <c r="S190">
        <v>22000.032748657039</v>
      </c>
      <c r="T190">
        <v>7636.3760611461421</v>
      </c>
      <c r="V190">
        <v>22000.011428511443</v>
      </c>
      <c r="W190">
        <v>7636.3591376137756</v>
      </c>
      <c r="Y190">
        <v>22000.008406980673</v>
      </c>
      <c r="Z190">
        <v>7636.3582900297288</v>
      </c>
      <c r="AB190">
        <v>22000.010877819877</v>
      </c>
      <c r="AC190">
        <v>7636.3589669910971</v>
      </c>
      <c r="AE190">
        <v>22000.010594126696</v>
      </c>
      <c r="AF190">
        <v>7636.3588811540249</v>
      </c>
      <c r="AH190">
        <v>22000.01230353901</v>
      </c>
      <c r="AI190">
        <v>7636.359417604559</v>
      </c>
      <c r="AK190">
        <v>21999.970012370268</v>
      </c>
      <c r="AL190">
        <v>7636.1262436266252</v>
      </c>
      <c r="AZ190">
        <v>49999.999962937443</v>
      </c>
      <c r="BA190">
        <v>1.9211963276242784E-6</v>
      </c>
      <c r="BC190">
        <v>49999.99983338832</v>
      </c>
      <c r="BD190">
        <v>1.132057779306171E-5</v>
      </c>
      <c r="BF190">
        <v>49999.999980300898</v>
      </c>
      <c r="BG190">
        <v>6.5457107309621664E-7</v>
      </c>
      <c r="BI190">
        <v>49999.999802044324</v>
      </c>
      <c r="BJ190">
        <v>1.3685581067583928E-5</v>
      </c>
      <c r="BL190">
        <v>49999.99982390985</v>
      </c>
      <c r="BM190">
        <v>1.240675744678349E-5</v>
      </c>
      <c r="BO190">
        <v>49999.999803873528</v>
      </c>
      <c r="BP190">
        <v>1.3614443460888452E-5</v>
      </c>
      <c r="BR190">
        <v>49999.999805203639</v>
      </c>
      <c r="BS190">
        <v>1.3549041817242548E-5</v>
      </c>
      <c r="BU190">
        <v>49999.99980109356</v>
      </c>
      <c r="BV190">
        <v>1.365465918667156E-5</v>
      </c>
      <c r="BX190">
        <v>49999.999990194869</v>
      </c>
      <c r="BY190">
        <v>4.5722226973387669E-10</v>
      </c>
    </row>
    <row r="191" spans="13:77" x14ac:dyDescent="0.35">
      <c r="M191">
        <v>22000.007951808537</v>
      </c>
      <c r="N191">
        <v>7636.3754503779164</v>
      </c>
      <c r="P191">
        <v>22000.010269884002</v>
      </c>
      <c r="Q191">
        <v>7636.3621078303277</v>
      </c>
      <c r="S191">
        <v>22000.024745068418</v>
      </c>
      <c r="T191">
        <v>7636.3785891720363</v>
      </c>
      <c r="V191">
        <v>22000.010702566222</v>
      </c>
      <c r="W191">
        <v>7636.3601134537885</v>
      </c>
      <c r="Y191">
        <v>22000.008349572745</v>
      </c>
      <c r="Z191">
        <v>7636.3590294575861</v>
      </c>
      <c r="AB191">
        <v>22000.01027749716</v>
      </c>
      <c r="AC191">
        <v>7636.3598999147052</v>
      </c>
      <c r="AE191">
        <v>22000.010058037293</v>
      </c>
      <c r="AF191">
        <v>7636.3597919470676</v>
      </c>
      <c r="AH191">
        <v>22000.011375907252</v>
      </c>
      <c r="AI191">
        <v>7636.3604615430031</v>
      </c>
      <c r="AK191">
        <v>22000.030223567243</v>
      </c>
      <c r="AL191">
        <v>7636.1263237989779</v>
      </c>
      <c r="AZ191">
        <v>49999.999966896707</v>
      </c>
      <c r="BA191">
        <v>1.7197380679818454E-6</v>
      </c>
      <c r="BC191">
        <v>49999.999850756751</v>
      </c>
      <c r="BD191">
        <v>1.0133492498264607E-5</v>
      </c>
      <c r="BF191">
        <v>49999.999982464025</v>
      </c>
      <c r="BG191">
        <v>5.8593220093335491E-7</v>
      </c>
      <c r="BI191">
        <v>49999.999822642501</v>
      </c>
      <c r="BJ191">
        <v>1.2250499541897822E-5</v>
      </c>
      <c r="BL191">
        <v>49999.99984219551</v>
      </c>
      <c r="BM191">
        <v>1.1105774440925081E-5</v>
      </c>
      <c r="BO191">
        <v>49999.999824272498</v>
      </c>
      <c r="BP191">
        <v>1.2186821484466914E-5</v>
      </c>
      <c r="BR191">
        <v>49999.999825459949</v>
      </c>
      <c r="BS191">
        <v>1.2128277912161122E-5</v>
      </c>
      <c r="BU191">
        <v>49999.999821806152</v>
      </c>
      <c r="BV191">
        <v>1.2222820155350881E-5</v>
      </c>
      <c r="BX191">
        <v>49999.99999132369</v>
      </c>
      <c r="BY191">
        <v>4.0927755875727853E-10</v>
      </c>
    </row>
    <row r="192" spans="13:77" x14ac:dyDescent="0.35">
      <c r="M192">
        <v>22000.003950110702</v>
      </c>
      <c r="N192">
        <v>7636.3759709938695</v>
      </c>
      <c r="P192">
        <v>22000.009029286539</v>
      </c>
      <c r="Q192">
        <v>7636.3629580976103</v>
      </c>
      <c r="S192">
        <v>22000.017395530336</v>
      </c>
      <c r="T192">
        <v>7636.3804403957811</v>
      </c>
      <c r="V192">
        <v>22000.009861271272</v>
      </c>
      <c r="W192">
        <v>7636.3610199953573</v>
      </c>
      <c r="Y192">
        <v>22000.008128089779</v>
      </c>
      <c r="Z192">
        <v>7636.3597563874928</v>
      </c>
      <c r="AB192">
        <v>22000.009552316315</v>
      </c>
      <c r="AC192">
        <v>7636.3607741970836</v>
      </c>
      <c r="AE192">
        <v>22000.009392271571</v>
      </c>
      <c r="AF192">
        <v>7636.3606495501053</v>
      </c>
      <c r="AH192">
        <v>22000.010348379528</v>
      </c>
      <c r="AI192">
        <v>7636.3614190813969</v>
      </c>
      <c r="AK192">
        <v>22000.081045863659</v>
      </c>
      <c r="AL192">
        <v>7636.1312930371314</v>
      </c>
      <c r="AZ192">
        <v>49999.999970432407</v>
      </c>
      <c r="BA192">
        <v>1.5394048905782565E-6</v>
      </c>
      <c r="BC192">
        <v>49999.999866315724</v>
      </c>
      <c r="BD192">
        <v>9.0708859649728836E-6</v>
      </c>
      <c r="BF192">
        <v>49999.999984389106</v>
      </c>
      <c r="BG192">
        <v>5.2449085852387653E-7</v>
      </c>
      <c r="BI192">
        <v>49999.99984109911</v>
      </c>
      <c r="BJ192">
        <v>1.0965901871134513E-5</v>
      </c>
      <c r="BL192">
        <v>49999.999858584364</v>
      </c>
      <c r="BM192">
        <v>9.9412136063298069E-6</v>
      </c>
      <c r="BO192">
        <v>49999.999842551646</v>
      </c>
      <c r="BP192">
        <v>1.090890114834744E-5</v>
      </c>
      <c r="BR192">
        <v>49999.99984361176</v>
      </c>
      <c r="BS192">
        <v>1.0856496504246094E-5</v>
      </c>
      <c r="BU192">
        <v>49999.999840363489</v>
      </c>
      <c r="BV192">
        <v>1.0941124968276982E-5</v>
      </c>
      <c r="BX192">
        <v>49999.999992322555</v>
      </c>
      <c r="BY192">
        <v>3.6636037041777425E-10</v>
      </c>
    </row>
    <row r="193" spans="13:77" x14ac:dyDescent="0.35">
      <c r="M193">
        <v>22000.000449360989</v>
      </c>
      <c r="N193">
        <v>7636.3761610941156</v>
      </c>
      <c r="P193">
        <v>22000.007782812689</v>
      </c>
      <c r="Q193">
        <v>7636.3636985995408</v>
      </c>
      <c r="S193">
        <v>22000.010756613323</v>
      </c>
      <c r="T193">
        <v>7636.3816751078239</v>
      </c>
      <c r="V193">
        <v>22000.00893879202</v>
      </c>
      <c r="W193">
        <v>7636.3618486046689</v>
      </c>
      <c r="Y193">
        <v>22000.007770989996</v>
      </c>
      <c r="Z193">
        <v>7636.3604576265188</v>
      </c>
      <c r="AB193">
        <v>22000.008735428954</v>
      </c>
      <c r="AC193">
        <v>7636.3615803192633</v>
      </c>
      <c r="AE193">
        <v>22000.008629455508</v>
      </c>
      <c r="AF193">
        <v>7636.3614439950952</v>
      </c>
      <c r="AH193">
        <v>22000.009256717676</v>
      </c>
      <c r="AI193">
        <v>7636.3622830222221</v>
      </c>
      <c r="AK193">
        <v>22000.122796433549</v>
      </c>
      <c r="AL193">
        <v>7636.1403370435009</v>
      </c>
      <c r="AZ193">
        <v>49999.999973589933</v>
      </c>
      <c r="BA193">
        <v>1.3779816015503821E-6</v>
      </c>
      <c r="BC193">
        <v>49999.999880253628</v>
      </c>
      <c r="BD193">
        <v>8.119705245550694E-6</v>
      </c>
      <c r="BF193">
        <v>49999.99998610239</v>
      </c>
      <c r="BG193">
        <v>4.6949230685514515E-7</v>
      </c>
      <c r="BI193">
        <v>49999.999857636605</v>
      </c>
      <c r="BJ193">
        <v>9.8160081916375307E-6</v>
      </c>
      <c r="BL193">
        <v>49999.999873272936</v>
      </c>
      <c r="BM193">
        <v>8.8987695993553301E-6</v>
      </c>
      <c r="BO193">
        <v>49999.999858931042</v>
      </c>
      <c r="BP193">
        <v>9.764984612560016E-6</v>
      </c>
      <c r="BR193">
        <v>49999.999859877498</v>
      </c>
      <c r="BS193">
        <v>9.7180751634839988E-6</v>
      </c>
      <c r="BU193">
        <v>49999.999856989649</v>
      </c>
      <c r="BV193">
        <v>9.793829415597219E-6</v>
      </c>
      <c r="BX193">
        <v>49999.999993206424</v>
      </c>
      <c r="BY193">
        <v>3.279435144713178E-10</v>
      </c>
    </row>
    <row r="194" spans="13:77" x14ac:dyDescent="0.35">
      <c r="M194">
        <v>21999.997448932892</v>
      </c>
      <c r="N194">
        <v>7636.3760648656917</v>
      </c>
      <c r="P194">
        <v>22000.00655705954</v>
      </c>
      <c r="Q194">
        <v>7636.3643300220101</v>
      </c>
      <c r="S194">
        <v>22000.004861977395</v>
      </c>
      <c r="T194">
        <v>7636.3823575543011</v>
      </c>
      <c r="V194">
        <v>22000.007965997051</v>
      </c>
      <c r="W194">
        <v>7636.3625935141481</v>
      </c>
      <c r="Y194">
        <v>22000.007305389685</v>
      </c>
      <c r="Z194">
        <v>7636.3611224327697</v>
      </c>
      <c r="AB194">
        <v>22000.007857054727</v>
      </c>
      <c r="AC194">
        <v>7636.3623115555574</v>
      </c>
      <c r="AE194">
        <v>22000.00779946999</v>
      </c>
      <c r="AF194">
        <v>7636.362168069345</v>
      </c>
      <c r="AH194">
        <v>22000.008132802195</v>
      </c>
      <c r="AI194">
        <v>7636.363049148631</v>
      </c>
      <c r="AK194">
        <v>22000.155933615082</v>
      </c>
      <c r="AL194">
        <v>7636.1526759113603</v>
      </c>
      <c r="AZ194">
        <v>49999.999976409788</v>
      </c>
      <c r="BA194">
        <v>1.2334852941246021E-6</v>
      </c>
      <c r="BC194">
        <v>49999.999892739237</v>
      </c>
      <c r="BD194">
        <v>7.2682661354517625E-6</v>
      </c>
      <c r="BF194">
        <v>49999.999987627227</v>
      </c>
      <c r="BG194">
        <v>4.202609494811913E-7</v>
      </c>
      <c r="BI194">
        <v>49999.999872454355</v>
      </c>
      <c r="BJ194">
        <v>8.7866933295620469E-6</v>
      </c>
      <c r="BL194">
        <v>49999.999886437414</v>
      </c>
      <c r="BM194">
        <v>7.9656371467520969E-6</v>
      </c>
      <c r="BO194">
        <v>49999.999873607936</v>
      </c>
      <c r="BP194">
        <v>8.7410201258726971E-6</v>
      </c>
      <c r="BR194">
        <v>49999.999874452944</v>
      </c>
      <c r="BS194">
        <v>8.6990296410473605E-6</v>
      </c>
      <c r="BU194">
        <v>49999.99987188544</v>
      </c>
      <c r="BV194">
        <v>8.7668402385830248E-6</v>
      </c>
      <c r="BX194">
        <v>49999.999993988538</v>
      </c>
      <c r="BY194">
        <v>2.9355508228546092E-10</v>
      </c>
    </row>
    <row r="195" spans="13:77" x14ac:dyDescent="0.35">
      <c r="M195">
        <v>21999.994937958625</v>
      </c>
      <c r="N195">
        <v>7636.3757259765398</v>
      </c>
      <c r="P195">
        <v>22000.005374324552</v>
      </c>
      <c r="Q195">
        <v>7636.3648552037284</v>
      </c>
      <c r="S195">
        <v>21999.999725012</v>
      </c>
      <c r="T195">
        <v>7636.3825540343914</v>
      </c>
      <c r="V195">
        <v>22000.006970300536</v>
      </c>
      <c r="W195">
        <v>7636.3632515243326</v>
      </c>
      <c r="Y195">
        <v>22000.006756698549</v>
      </c>
      <c r="Z195">
        <v>7636.3617423804308</v>
      </c>
      <c r="AB195">
        <v>22000.006944284047</v>
      </c>
      <c r="AC195">
        <v>7636.3629637058402</v>
      </c>
      <c r="AE195">
        <v>22000.006929233332</v>
      </c>
      <c r="AF195">
        <v>7636.3628170633738</v>
      </c>
      <c r="AH195">
        <v>22000.00700453886</v>
      </c>
      <c r="AI195">
        <v>7636.3637158776419</v>
      </c>
      <c r="AK195">
        <v>22000.181026899416</v>
      </c>
      <c r="AL195">
        <v>7636.1675752213869</v>
      </c>
      <c r="AZ195">
        <v>49999.999978928143</v>
      </c>
      <c r="BA195">
        <v>1.1041409907972824E-6</v>
      </c>
      <c r="BC195">
        <v>49999.999903923781</v>
      </c>
      <c r="BD195">
        <v>6.5061096456613163E-6</v>
      </c>
      <c r="BF195">
        <v>49999.999988984397</v>
      </c>
      <c r="BG195">
        <v>3.7619203356667817E-7</v>
      </c>
      <c r="BI195">
        <v>49999.999885731035</v>
      </c>
      <c r="BJ195">
        <v>7.8653132886997058E-6</v>
      </c>
      <c r="BL195">
        <v>49999.999898235757</v>
      </c>
      <c r="BM195">
        <v>7.1303537470127068E-6</v>
      </c>
      <c r="BO195">
        <v>49999.99988675912</v>
      </c>
      <c r="BP195">
        <v>7.824429415532431E-6</v>
      </c>
      <c r="BR195">
        <v>49999.999887513572</v>
      </c>
      <c r="BS195">
        <v>7.7868420882282033E-6</v>
      </c>
      <c r="BU195">
        <v>49999.999885230805</v>
      </c>
      <c r="BV195">
        <v>7.8475420094966104E-6</v>
      </c>
      <c r="BX195">
        <v>49999.999994680606</v>
      </c>
      <c r="BY195">
        <v>2.627726499631359E-10</v>
      </c>
    </row>
    <row r="196" spans="13:77" x14ac:dyDescent="0.35">
      <c r="M196">
        <v>21999.992897044387</v>
      </c>
      <c r="N196">
        <v>7636.3751867492447</v>
      </c>
      <c r="P196">
        <v>22000.00425277097</v>
      </c>
      <c r="Q196">
        <v>7636.3652787642222</v>
      </c>
      <c r="S196">
        <v>21999.995341510275</v>
      </c>
      <c r="T196">
        <v>7636.3823312322374</v>
      </c>
      <c r="V196">
        <v>22000.005975598953</v>
      </c>
      <c r="W196">
        <v>7636.3638216961108</v>
      </c>
      <c r="Y196">
        <v>22000.006148343382</v>
      </c>
      <c r="Z196">
        <v>7636.3623111966235</v>
      </c>
      <c r="AB196">
        <v>22000.006020974135</v>
      </c>
      <c r="AC196">
        <v>7636.3635348146472</v>
      </c>
      <c r="AE196">
        <v>22000.006042576624</v>
      </c>
      <c r="AF196">
        <v>7636.363388503778</v>
      </c>
      <c r="AH196">
        <v>22000.005895861017</v>
      </c>
      <c r="AI196">
        <v>7636.3642839094218</v>
      </c>
      <c r="AK196">
        <v>22000.198728992433</v>
      </c>
      <c r="AL196">
        <v>7636.1843545843994</v>
      </c>
      <c r="AZ196">
        <v>49999.999981177272</v>
      </c>
      <c r="BA196">
        <v>9.8835983969672445E-7</v>
      </c>
      <c r="BC196">
        <v>49999.999913942745</v>
      </c>
      <c r="BD196">
        <v>5.8238735255599818E-6</v>
      </c>
      <c r="BF196">
        <v>49999.999990192373</v>
      </c>
      <c r="BG196">
        <v>3.3674422116637643E-7</v>
      </c>
      <c r="BI196">
        <v>49999.999897626782</v>
      </c>
      <c r="BJ196">
        <v>7.0405499329382839E-6</v>
      </c>
      <c r="BL196">
        <v>49999.999908809572</v>
      </c>
      <c r="BM196">
        <v>6.3826588661918186E-6</v>
      </c>
      <c r="BO196">
        <v>49999.99989854305</v>
      </c>
      <c r="BP196">
        <v>7.0039531770649971E-6</v>
      </c>
      <c r="BR196">
        <v>49999.999899216666</v>
      </c>
      <c r="BS196">
        <v>6.9703072884808227E-6</v>
      </c>
      <c r="BU196">
        <v>49999.999897186994</v>
      </c>
      <c r="BV196">
        <v>7.0246421649826528E-6</v>
      </c>
      <c r="BX196">
        <v>49999.999995293001</v>
      </c>
      <c r="BY196">
        <v>2.352180893317499E-10</v>
      </c>
    </row>
    <row r="197" spans="13:77" x14ac:dyDescent="0.35">
      <c r="M197">
        <v>21999.991299912006</v>
      </c>
      <c r="N197">
        <v>7636.3744874828362</v>
      </c>
      <c r="P197">
        <v>22000.003206654539</v>
      </c>
      <c r="Q197">
        <v>7636.3656067491993</v>
      </c>
      <c r="S197">
        <v>21999.991692317435</v>
      </c>
      <c r="T197">
        <v>7636.3817547837416</v>
      </c>
      <c r="V197">
        <v>22000.005002289639</v>
      </c>
      <c r="W197">
        <v>7636.3643050410828</v>
      </c>
      <c r="Y197">
        <v>22000.005501572927</v>
      </c>
      <c r="Z197">
        <v>7636.3628245775526</v>
      </c>
      <c r="AB197">
        <v>22000.005107727</v>
      </c>
      <c r="AC197">
        <v>7636.3640248848033</v>
      </c>
      <c r="AE197">
        <v>22000.005160200992</v>
      </c>
      <c r="AF197">
        <v>7636.3638818788131</v>
      </c>
      <c r="AH197">
        <v>22000.004826813583</v>
      </c>
      <c r="AI197">
        <v>7636.3647558804723</v>
      </c>
      <c r="AK197">
        <v>22000.209750224421</v>
      </c>
      <c r="AL197">
        <v>7636.2023938255734</v>
      </c>
      <c r="AZ197">
        <v>49999.999983186011</v>
      </c>
      <c r="BA197">
        <v>8.8471959729295515E-7</v>
      </c>
      <c r="BC197">
        <v>49999.999922917523</v>
      </c>
      <c r="BD197">
        <v>5.2131772580094137E-6</v>
      </c>
      <c r="BF197">
        <v>49999.999991267592</v>
      </c>
      <c r="BG197">
        <v>3.0143293948651925E-7</v>
      </c>
      <c r="BI197">
        <v>49999.999908285099</v>
      </c>
      <c r="BJ197">
        <v>6.3022719554510084E-6</v>
      </c>
      <c r="BL197">
        <v>49999.999918285808</v>
      </c>
      <c r="BM197">
        <v>5.7133678985721848E-6</v>
      </c>
      <c r="BO197">
        <v>49999.999909101738</v>
      </c>
      <c r="BP197">
        <v>6.2695127661461943E-6</v>
      </c>
      <c r="BR197">
        <v>49999.99990970319</v>
      </c>
      <c r="BS197">
        <v>6.2393950137035671E-6</v>
      </c>
      <c r="BU197">
        <v>49999.999907898491</v>
      </c>
      <c r="BV197">
        <v>6.2880322893906409E-6</v>
      </c>
      <c r="BX197">
        <v>49999.999995834893</v>
      </c>
      <c r="BY197">
        <v>2.1055292305632177E-10</v>
      </c>
    </row>
    <row r="198" spans="13:77" x14ac:dyDescent="0.35">
      <c r="M198">
        <v>21999.990114943783</v>
      </c>
      <c r="N198">
        <v>7636.37366591511</v>
      </c>
      <c r="P198">
        <v>22000.002246597905</v>
      </c>
      <c r="Q198">
        <v>7636.3658462980893</v>
      </c>
      <c r="S198">
        <v>21999.988745902319</v>
      </c>
      <c r="T198">
        <v>7636.3808880736406</v>
      </c>
      <c r="V198">
        <v>22000.004067358925</v>
      </c>
      <c r="W198">
        <v>7636.3647042167013</v>
      </c>
      <c r="Y198">
        <v>22000.004835336094</v>
      </c>
      <c r="Z198">
        <v>7636.3632799907464</v>
      </c>
      <c r="AB198">
        <v>22000.004221937816</v>
      </c>
      <c r="AC198">
        <v>7636.3644355923007</v>
      </c>
      <c r="AE198">
        <v>22000.004299705699</v>
      </c>
      <c r="AF198">
        <v>7636.3642983634027</v>
      </c>
      <c r="AH198">
        <v>22000.003813705131</v>
      </c>
      <c r="AI198">
        <v>7636.3651360273088</v>
      </c>
      <c r="AK198">
        <v>22000.214835494317</v>
      </c>
      <c r="AL198">
        <v>7636.2211370256518</v>
      </c>
      <c r="AZ198">
        <v>49999.999984980081</v>
      </c>
      <c r="BA198">
        <v>7.9194715770699548E-7</v>
      </c>
      <c r="BC198">
        <v>49999.999930956867</v>
      </c>
      <c r="BD198">
        <v>4.6665191139509049E-6</v>
      </c>
      <c r="BF198">
        <v>49999.999992224679</v>
      </c>
      <c r="BG198">
        <v>2.6982442844334148E-7</v>
      </c>
      <c r="BI198">
        <v>49999.999917834597</v>
      </c>
      <c r="BJ198">
        <v>5.6414104267749947E-6</v>
      </c>
      <c r="BL198">
        <v>49999.999926778262</v>
      </c>
      <c r="BM198">
        <v>5.1142593439223307E-6</v>
      </c>
      <c r="BO198">
        <v>49999.999918562462</v>
      </c>
      <c r="BP198">
        <v>5.6120863935810969E-6</v>
      </c>
      <c r="BR198">
        <v>49999.999919099493</v>
      </c>
      <c r="BS198">
        <v>5.5851268139580212E-6</v>
      </c>
      <c r="BU198">
        <v>49999.999917494781</v>
      </c>
      <c r="BV198">
        <v>5.6286639440460791E-6</v>
      </c>
      <c r="BX198">
        <v>49999.9999963144</v>
      </c>
      <c r="BY198">
        <v>1.8847416681935761E-10</v>
      </c>
    </row>
    <row r="199" spans="13:77" x14ac:dyDescent="0.35">
      <c r="M199">
        <v>21999.989306612733</v>
      </c>
      <c r="N199">
        <v>7636.3727568161121</v>
      </c>
      <c r="P199">
        <v>22000.001379900117</v>
      </c>
      <c r="Q199">
        <v>7636.3660053373897</v>
      </c>
      <c r="S199">
        <v>21999.986460810207</v>
      </c>
      <c r="T199">
        <v>7636.3797912541859</v>
      </c>
      <c r="V199">
        <v>22000.003184527879</v>
      </c>
      <c r="W199">
        <v>7636.3650232318105</v>
      </c>
      <c r="Y199">
        <v>22000.004166225437</v>
      </c>
      <c r="Z199">
        <v>7636.3636764695084</v>
      </c>
      <c r="AB199">
        <v>22000.003377902503</v>
      </c>
      <c r="AC199">
        <v>7636.3647700081247</v>
      </c>
      <c r="AE199">
        <v>22000.00347567624</v>
      </c>
      <c r="AF199">
        <v>7636.3646405493482</v>
      </c>
      <c r="AH199">
        <v>22000.002869314969</v>
      </c>
      <c r="AI199">
        <v>7636.3654298660613</v>
      </c>
      <c r="AK199">
        <v>22000.2147438557</v>
      </c>
      <c r="AL199">
        <v>7636.2400946475273</v>
      </c>
      <c r="AZ199">
        <v>49999.999986582465</v>
      </c>
      <c r="BA199">
        <v>7.0890291401145886E-7</v>
      </c>
      <c r="BC199">
        <v>49999.999938158217</v>
      </c>
      <c r="BD199">
        <v>4.1771840019460946E-6</v>
      </c>
      <c r="BF199">
        <v>49999.999993076635</v>
      </c>
      <c r="BG199">
        <v>2.4153041239963356E-7</v>
      </c>
      <c r="BI199">
        <v>49999.999926390534</v>
      </c>
      <c r="BJ199">
        <v>5.0498473930239327E-6</v>
      </c>
      <c r="BL199">
        <v>49999.999934388965</v>
      </c>
      <c r="BM199">
        <v>4.5779738154427259E-6</v>
      </c>
      <c r="BO199">
        <v>49999.999927039295</v>
      </c>
      <c r="BP199">
        <v>5.0235983025829743E-6</v>
      </c>
      <c r="BR199">
        <v>49999.999927518817</v>
      </c>
      <c r="BS199">
        <v>4.9994657271229037E-6</v>
      </c>
      <c r="BU199">
        <v>49999.999926091885</v>
      </c>
      <c r="BV199">
        <v>5.0384375171698423E-6</v>
      </c>
      <c r="BX199">
        <v>49999.999996738705</v>
      </c>
      <c r="BY199">
        <v>1.6871060749323674E-10</v>
      </c>
    </row>
    <row r="200" spans="13:77" x14ac:dyDescent="0.35">
      <c r="M200">
        <v>21999.988836785353</v>
      </c>
      <c r="N200">
        <v>7636.3717917020904</v>
      </c>
      <c r="P200">
        <v>22000.000610869691</v>
      </c>
      <c r="Q200">
        <v>7636.3660923023972</v>
      </c>
      <c r="S200">
        <v>21999.984787963502</v>
      </c>
      <c r="T200">
        <v>7636.3785204734359</v>
      </c>
      <c r="V200">
        <v>22000.002364444263</v>
      </c>
      <c r="W200">
        <v>7636.3652671671334</v>
      </c>
      <c r="Y200">
        <v>22000.003508477494</v>
      </c>
      <c r="Z200">
        <v>7636.3640144049541</v>
      </c>
      <c r="AB200">
        <v>22000.002586973664</v>
      </c>
      <c r="AC200">
        <v>7636.365032331767</v>
      </c>
      <c r="AE200">
        <v>22000.002699821835</v>
      </c>
      <c r="AF200">
        <v>7636.3649121855524</v>
      </c>
      <c r="AH200">
        <v>22000.002003142996</v>
      </c>
      <c r="AI200">
        <v>7636.3656438922817</v>
      </c>
      <c r="AK200">
        <v>22000.210230781606</v>
      </c>
      <c r="AL200">
        <v>7636.2588439828414</v>
      </c>
      <c r="AZ200">
        <v>49999.999988013667</v>
      </c>
      <c r="BA200">
        <v>6.3456675941832336E-7</v>
      </c>
      <c r="BC200">
        <v>49999.99994460887</v>
      </c>
      <c r="BD200">
        <v>3.7391609806929111E-6</v>
      </c>
      <c r="BF200">
        <v>49999.999993835037</v>
      </c>
      <c r="BG200">
        <v>2.1620333062747798E-7</v>
      </c>
      <c r="BI200">
        <v>49999.999934056199</v>
      </c>
      <c r="BJ200">
        <v>4.5203161557867267E-6</v>
      </c>
      <c r="BL200">
        <v>49999.99994120936</v>
      </c>
      <c r="BM200">
        <v>4.0979236378243293E-6</v>
      </c>
      <c r="BO200">
        <v>49999.99993463447</v>
      </c>
      <c r="BP200">
        <v>4.4968195670167833E-6</v>
      </c>
      <c r="BR200">
        <v>49999.999935062653</v>
      </c>
      <c r="BS200">
        <v>4.475217553687244E-6</v>
      </c>
      <c r="BU200">
        <v>49999.999933793762</v>
      </c>
      <c r="BV200">
        <v>4.5101027290893199E-6</v>
      </c>
      <c r="BX200">
        <v>49999.999997114159</v>
      </c>
      <c r="BY200">
        <v>1.5101947158656731E-10</v>
      </c>
    </row>
    <row r="201" spans="13:77" x14ac:dyDescent="0.35">
      <c r="M201">
        <v>21999.988665888559</v>
      </c>
      <c r="N201">
        <v>7636.3707986582858</v>
      </c>
      <c r="P201">
        <v>21999.999941170972</v>
      </c>
      <c r="Q201">
        <v>7636.3661158889408</v>
      </c>
      <c r="S201">
        <v>21999.983672784943</v>
      </c>
      <c r="T201">
        <v>7636.3771272985832</v>
      </c>
      <c r="V201">
        <v>22000.001614910016</v>
      </c>
      <c r="W201">
        <v>7636.3654419143159</v>
      </c>
      <c r="Y201">
        <v>22000.002874021746</v>
      </c>
      <c r="Z201">
        <v>7636.3642953402768</v>
      </c>
      <c r="AB201">
        <v>22000.001857754571</v>
      </c>
      <c r="AC201">
        <v>7636.3652276402217</v>
      </c>
      <c r="AE201">
        <v>22000.001981152309</v>
      </c>
      <c r="AF201">
        <v>7636.3651179321578</v>
      </c>
      <c r="AH201">
        <v>22000.001221690884</v>
      </c>
      <c r="AI201">
        <v>7636.3657853042287</v>
      </c>
      <c r="AK201">
        <v>22000.202033084497</v>
      </c>
      <c r="AL201">
        <v>7636.277028153796</v>
      </c>
      <c r="AZ201">
        <v>49999.999989292002</v>
      </c>
      <c r="BA201">
        <v>5.680255563939265E-7</v>
      </c>
      <c r="BC201">
        <v>49999.999950387035</v>
      </c>
      <c r="BD201">
        <v>3.3470694212489096E-6</v>
      </c>
      <c r="BF201">
        <v>49999.999994510181</v>
      </c>
      <c r="BG201">
        <v>1.9353206790867055E-7</v>
      </c>
      <c r="BI201">
        <v>49999.999940924143</v>
      </c>
      <c r="BJ201">
        <v>4.046312008760506E-6</v>
      </c>
      <c r="BL201">
        <v>49999.999947321427</v>
      </c>
      <c r="BM201">
        <v>3.6682119249312534E-6</v>
      </c>
      <c r="BO201">
        <v>49999.999941439601</v>
      </c>
      <c r="BP201">
        <v>4.0252792920229335E-6</v>
      </c>
      <c r="BR201">
        <v>49999.999941821952</v>
      </c>
      <c r="BS201">
        <v>4.00594248395242E-6</v>
      </c>
      <c r="BU201">
        <v>49999.99994069356</v>
      </c>
      <c r="BV201">
        <v>4.037169570557465E-6</v>
      </c>
      <c r="BX201">
        <v>49999.999997446394</v>
      </c>
      <c r="BY201">
        <v>1.3518344304005498E-10</v>
      </c>
    </row>
    <row r="202" spans="13:77" x14ac:dyDescent="0.35">
      <c r="M202">
        <v>21999.988753936515</v>
      </c>
      <c r="N202">
        <v>7636.3698022583758</v>
      </c>
      <c r="P202">
        <v>21999.999370174668</v>
      </c>
      <c r="Q202">
        <v>7636.3660848358732</v>
      </c>
      <c r="S202">
        <v>21999.983057125297</v>
      </c>
      <c r="T202">
        <v>7636.3756583178356</v>
      </c>
      <c r="V202">
        <v>22000.000941134396</v>
      </c>
      <c r="W202">
        <v>7636.3655539362089</v>
      </c>
      <c r="Y202">
        <v>22000.002272570084</v>
      </c>
      <c r="Z202">
        <v>7636.3645217711728</v>
      </c>
      <c r="AB202">
        <v>22000.001196321722</v>
      </c>
      <c r="AC202">
        <v>7636.3653616554011</v>
      </c>
      <c r="AE202">
        <v>22000.001326184974</v>
      </c>
      <c r="AF202">
        <v>7636.3652631316618</v>
      </c>
      <c r="AH202">
        <v>22000.00052876426</v>
      </c>
      <c r="AI202">
        <v>7636.3658617519186</v>
      </c>
      <c r="AK202">
        <v>22000.190856416433</v>
      </c>
      <c r="AL202">
        <v>7636.2943539009884</v>
      </c>
      <c r="AZ202">
        <v>49999.999990433826</v>
      </c>
      <c r="BA202">
        <v>5.08461919773098E-7</v>
      </c>
      <c r="BC202">
        <v>49999.999955562773</v>
      </c>
      <c r="BD202">
        <v>2.9960929119463105E-6</v>
      </c>
      <c r="BF202">
        <v>49999.999995111226</v>
      </c>
      <c r="BG202">
        <v>1.7323813282796857E-7</v>
      </c>
      <c r="BI202">
        <v>49999.999947077318</v>
      </c>
      <c r="BJ202">
        <v>3.6220123346158805E-6</v>
      </c>
      <c r="BL202">
        <v>49999.999952798651</v>
      </c>
      <c r="BM202">
        <v>3.2835601430660882E-6</v>
      </c>
      <c r="BO202">
        <v>49999.999947536802</v>
      </c>
      <c r="BP202">
        <v>3.6031851262188349E-6</v>
      </c>
      <c r="BR202">
        <v>49999.999947878227</v>
      </c>
      <c r="BS202">
        <v>3.585875992080613E-6</v>
      </c>
      <c r="BU202">
        <v>49999.999946874748</v>
      </c>
      <c r="BV202">
        <v>3.6138285801551336E-6</v>
      </c>
      <c r="BX202">
        <v>49999.999997740379</v>
      </c>
      <c r="BY202">
        <v>1.2100799373880097E-10</v>
      </c>
    </row>
    <row r="203" spans="13:77" x14ac:dyDescent="0.35">
      <c r="M203">
        <v>21999.989061416469</v>
      </c>
      <c r="N203">
        <v>7636.3688235681639</v>
      </c>
      <c r="P203">
        <v>21999.998895304725</v>
      </c>
      <c r="Q203">
        <v>7636.3660077383329</v>
      </c>
      <c r="S203">
        <v>21999.982880984222</v>
      </c>
      <c r="T203">
        <v>7636.3741549030747</v>
      </c>
      <c r="V203">
        <v>22000.000346003824</v>
      </c>
      <c r="W203">
        <v>7636.3656100502485</v>
      </c>
      <c r="Y203">
        <v>22000.001711739067</v>
      </c>
      <c r="Z203">
        <v>7636.3646969556457</v>
      </c>
      <c r="AB203">
        <v>22000.000606467169</v>
      </c>
      <c r="AC203">
        <v>7636.3654405320876</v>
      </c>
      <c r="AE203">
        <v>22000.000739172872</v>
      </c>
      <c r="AF203">
        <v>7636.3653535992526</v>
      </c>
      <c r="AH203">
        <v>21999.999925786582</v>
      </c>
      <c r="AI203">
        <v>7636.3658811133773</v>
      </c>
      <c r="AK203">
        <v>22000.177365232059</v>
      </c>
      <c r="AL203">
        <v>7636.310588379547</v>
      </c>
      <c r="AZ203">
        <v>49999.999991453726</v>
      </c>
      <c r="BA203">
        <v>4.5514417608537361E-7</v>
      </c>
      <c r="BC203">
        <v>49999.999960198853</v>
      </c>
      <c r="BD203">
        <v>2.6819200940935001E-6</v>
      </c>
      <c r="BF203">
        <v>49999.999995646322</v>
      </c>
      <c r="BG203">
        <v>1.5507223681371955E-7</v>
      </c>
      <c r="BI203">
        <v>49999.999952590057</v>
      </c>
      <c r="BJ203">
        <v>3.2422050805725111E-6</v>
      </c>
      <c r="BL203">
        <v>49999.99995770691</v>
      </c>
      <c r="BM203">
        <v>2.9392432700124516E-6</v>
      </c>
      <c r="BO203">
        <v>49999.999952999649</v>
      </c>
      <c r="BP203">
        <v>3.2253521090582351E-6</v>
      </c>
      <c r="BR203">
        <v>49999.999953304541</v>
      </c>
      <c r="BS203">
        <v>3.2098580252602632E-6</v>
      </c>
      <c r="BU203">
        <v>49999.999952412116</v>
      </c>
      <c r="BV203">
        <v>3.2348794814724675E-6</v>
      </c>
      <c r="BX203">
        <v>49999.999998000516</v>
      </c>
      <c r="BY203">
        <v>1.0831899394932241E-10</v>
      </c>
    </row>
    <row r="204" spans="13:77" x14ac:dyDescent="0.35">
      <c r="M204">
        <v>21999.989550035905</v>
      </c>
      <c r="N204">
        <v>7636.367880221178</v>
      </c>
      <c r="P204">
        <v>21999.998512374925</v>
      </c>
      <c r="Q204">
        <v>7636.3658928911645</v>
      </c>
      <c r="S204">
        <v>21999.983084018841</v>
      </c>
      <c r="T204">
        <v>7636.3726531148013</v>
      </c>
      <c r="V204">
        <v>21999.999830360397</v>
      </c>
      <c r="W204">
        <v>7636.3656172360506</v>
      </c>
      <c r="Y204">
        <v>22000.001197197631</v>
      </c>
      <c r="Z204">
        <v>7636.364824735756</v>
      </c>
      <c r="AB204">
        <v>22000.000089952751</v>
      </c>
      <c r="AC204">
        <v>7636.3654706678171</v>
      </c>
      <c r="AE204">
        <v>22000.000222346549</v>
      </c>
      <c r="AF204">
        <v>7636.3653954339097</v>
      </c>
      <c r="AH204">
        <v>21999.9994121165</v>
      </c>
      <c r="AI204">
        <v>7636.3658512987558</v>
      </c>
      <c r="AK204">
        <v>22000.162175063269</v>
      </c>
      <c r="AL204">
        <v>7636.325555174024</v>
      </c>
      <c r="AZ204">
        <v>49999.999992364748</v>
      </c>
      <c r="BA204">
        <v>4.0741737575470126E-7</v>
      </c>
      <c r="BC204">
        <v>49999.999964351511</v>
      </c>
      <c r="BD204">
        <v>2.4006917016948271E-6</v>
      </c>
      <c r="BF204">
        <v>49999.999996122722</v>
      </c>
      <c r="BG204">
        <v>1.3881123190316278E-7</v>
      </c>
      <c r="BI204">
        <v>49999.999957528955</v>
      </c>
      <c r="BJ204">
        <v>2.9022247340862882E-6</v>
      </c>
      <c r="BL204">
        <v>49999.999962105241</v>
      </c>
      <c r="BM204">
        <v>2.6310317533551065E-6</v>
      </c>
      <c r="BO204">
        <v>49999.999957894091</v>
      </c>
      <c r="BP204">
        <v>2.8871389793166043E-6</v>
      </c>
      <c r="BR204">
        <v>49999.999958166365</v>
      </c>
      <c r="BS204">
        <v>2.8732696181554862E-6</v>
      </c>
      <c r="BU204">
        <v>49999.999957372675</v>
      </c>
      <c r="BV204">
        <v>2.8956673034557632E-6</v>
      </c>
      <c r="BX204">
        <v>49999.999998230705</v>
      </c>
      <c r="BY204">
        <v>9.6960573328153013E-11</v>
      </c>
    </row>
    <row r="205" spans="13:77" x14ac:dyDescent="0.35">
      <c r="M205">
        <v>21999.990183335711</v>
      </c>
      <c r="N205">
        <v>7636.3669865541451</v>
      </c>
      <c r="P205">
        <v>21999.998215909724</v>
      </c>
      <c r="Q205">
        <v>7636.3657481613291</v>
      </c>
      <c r="S205">
        <v>21999.983606839774</v>
      </c>
      <c r="T205">
        <v>7636.3711837306009</v>
      </c>
      <c r="V205">
        <v>21999.999393282091</v>
      </c>
      <c r="W205">
        <v>7636.3655824676598</v>
      </c>
      <c r="Y205">
        <v>22000.000732833534</v>
      </c>
      <c r="Z205">
        <v>7636.3649093732529</v>
      </c>
      <c r="AB205">
        <v>21999.999646769247</v>
      </c>
      <c r="AC205">
        <v>7636.3654585354197</v>
      </c>
      <c r="AE205">
        <v>21999.9997761624</v>
      </c>
      <c r="AF205">
        <v>7636.3653948511364</v>
      </c>
      <c r="AH205">
        <v>21999.998985361683</v>
      </c>
      <c r="AI205">
        <v>7636.3657800822966</v>
      </c>
      <c r="AK205">
        <v>22000.145846928655</v>
      </c>
      <c r="AL205">
        <v>7636.3391297279913</v>
      </c>
      <c r="AZ205">
        <v>49999.999993178528</v>
      </c>
      <c r="BA205">
        <v>3.6469524776743943E-7</v>
      </c>
      <c r="BC205">
        <v>49999.999968071126</v>
      </c>
      <c r="BD205">
        <v>2.1489531546300754E-6</v>
      </c>
      <c r="BF205">
        <v>49999.999996546881</v>
      </c>
      <c r="BG205">
        <v>1.2425536961623371E-7</v>
      </c>
      <c r="BI205">
        <v>49999.999961953705</v>
      </c>
      <c r="BJ205">
        <v>2.5978950121800346E-6</v>
      </c>
      <c r="BL205">
        <v>49999.999966046569</v>
      </c>
      <c r="BM205">
        <v>2.3551395550996239E-6</v>
      </c>
      <c r="BO205">
        <v>49999.999962279217</v>
      </c>
      <c r="BP205">
        <v>2.5843911623225375E-6</v>
      </c>
      <c r="BR205">
        <v>49999.999962522365</v>
      </c>
      <c r="BS205">
        <v>2.5719761540178616E-6</v>
      </c>
      <c r="BU205">
        <v>49999.999961816466</v>
      </c>
      <c r="BV205">
        <v>2.5920251992287327E-6</v>
      </c>
      <c r="BX205">
        <v>49999.999998434396</v>
      </c>
      <c r="BY205">
        <v>8.6793206226877839E-11</v>
      </c>
    </row>
    <row r="206" spans="13:77" x14ac:dyDescent="0.35">
      <c r="M206">
        <v>21999.990927176223</v>
      </c>
      <c r="N206">
        <v>7636.3661537908301</v>
      </c>
      <c r="P206">
        <v>21999.997999445019</v>
      </c>
      <c r="Q206">
        <v>7636.3655808877238</v>
      </c>
      <c r="S206">
        <v>21999.984392098839</v>
      </c>
      <c r="T206">
        <v>7636.3697723785717</v>
      </c>
      <c r="V206">
        <v>21999.999032358606</v>
      </c>
      <c r="W206">
        <v>7636.3655125703381</v>
      </c>
      <c r="Y206">
        <v>22000.000320932362</v>
      </c>
      <c r="Z206">
        <v>7636.3649554004714</v>
      </c>
      <c r="AB206">
        <v>21999.999275394381</v>
      </c>
      <c r="AC206">
        <v>7636.3654105383857</v>
      </c>
      <c r="AE206">
        <v>21999.999399551518</v>
      </c>
      <c r="AF206">
        <v>7636.3653580376385</v>
      </c>
      <c r="AH206">
        <v>21999.998641683109</v>
      </c>
      <c r="AI206">
        <v>7636.3656749615648</v>
      </c>
      <c r="AK206">
        <v>22000.128883682508</v>
      </c>
      <c r="AL206">
        <v>7636.3512343678867</v>
      </c>
      <c r="AZ206">
        <v>49999.999993905461</v>
      </c>
      <c r="BA206">
        <v>3.2645299798062892E-7</v>
      </c>
      <c r="BC206">
        <v>49999.999971402831</v>
      </c>
      <c r="BD206">
        <v>1.9236121229531207E-6</v>
      </c>
      <c r="BF206">
        <v>49999.99999692454</v>
      </c>
      <c r="BG206">
        <v>1.1122584726616304E-7</v>
      </c>
      <c r="BI206">
        <v>49999.999965917785</v>
      </c>
      <c r="BJ206">
        <v>2.3254775604193723E-6</v>
      </c>
      <c r="BL206">
        <v>49999.999969578326</v>
      </c>
      <c r="BM206">
        <v>2.1081776443770607E-6</v>
      </c>
      <c r="BO206">
        <v>49999.999966207986</v>
      </c>
      <c r="BP206">
        <v>2.3133897355961997E-6</v>
      </c>
      <c r="BR206">
        <v>49999.99996642513</v>
      </c>
      <c r="BS206">
        <v>2.3022765754859316E-6</v>
      </c>
      <c r="BU206">
        <v>49999.999965797288</v>
      </c>
      <c r="BV206">
        <v>2.3202232609804393E-6</v>
      </c>
      <c r="BX206">
        <v>49999.999998614636</v>
      </c>
      <c r="BY206">
        <v>7.7691997773689765E-11</v>
      </c>
    </row>
    <row r="207" spans="13:77" x14ac:dyDescent="0.35">
      <c r="M207">
        <v>21999.991750104626</v>
      </c>
      <c r="N207">
        <v>7636.3653902634014</v>
      </c>
      <c r="P207">
        <v>21999.997855805537</v>
      </c>
      <c r="Q207">
        <v>7636.3653978064949</v>
      </c>
      <c r="S207">
        <v>21999.985385376232</v>
      </c>
      <c r="T207">
        <v>7636.3684397576744</v>
      </c>
      <c r="V207">
        <v>21999.998743957789</v>
      </c>
      <c r="W207">
        <v>7636.3654141012657</v>
      </c>
      <c r="Y207">
        <v>21999.999962363545</v>
      </c>
      <c r="Z207">
        <v>7636.3649674873423</v>
      </c>
      <c r="AB207">
        <v>21999.998973044505</v>
      </c>
      <c r="AC207">
        <v>7636.3653328887158</v>
      </c>
      <c r="AE207">
        <v>21999.999090163787</v>
      </c>
      <c r="AF207">
        <v>7636.3652910277506</v>
      </c>
      <c r="AH207">
        <v>21999.998376084943</v>
      </c>
      <c r="AI207">
        <v>7636.3655430428889</v>
      </c>
      <c r="AK207">
        <v>22000.111728096479</v>
      </c>
      <c r="AL207">
        <v>7636.3618330829158</v>
      </c>
      <c r="AZ207">
        <v>49999.999994554833</v>
      </c>
      <c r="BA207">
        <v>2.9222086260571015E-7</v>
      </c>
      <c r="BC207">
        <v>49999.999974387058</v>
      </c>
      <c r="BD207">
        <v>1.7219005410340011E-6</v>
      </c>
      <c r="BF207">
        <v>49999.999997260806</v>
      </c>
      <c r="BG207">
        <v>9.9562611566007064E-8</v>
      </c>
      <c r="BI207">
        <v>49999.999969469121</v>
      </c>
      <c r="BJ207">
        <v>2.0816260313572584E-6</v>
      </c>
      <c r="BL207">
        <v>49999.99997274304</v>
      </c>
      <c r="BM207">
        <v>1.8871123669428356E-6</v>
      </c>
      <c r="BO207">
        <v>49999.999969727854</v>
      </c>
      <c r="BP207">
        <v>2.0708057459939759E-6</v>
      </c>
      <c r="BR207">
        <v>49999.999969921773</v>
      </c>
      <c r="BS207">
        <v>2.0608579211831088E-6</v>
      </c>
      <c r="BU207">
        <v>49999.999969363344</v>
      </c>
      <c r="BV207">
        <v>2.0769227021672657E-6</v>
      </c>
      <c r="BX207">
        <v>49999.999998774125</v>
      </c>
      <c r="BY207">
        <v>6.9545149677872838E-11</v>
      </c>
    </row>
    <row r="208" spans="13:77" x14ac:dyDescent="0.35">
      <c r="M208">
        <v>21999.992623613387</v>
      </c>
      <c r="N208">
        <v>7636.3647016612858</v>
      </c>
      <c r="P208">
        <v>21999.997777356552</v>
      </c>
      <c r="Q208">
        <v>7636.3652049996645</v>
      </c>
      <c r="S208">
        <v>21999.986535878114</v>
      </c>
      <c r="T208">
        <v>7636.3672019278029</v>
      </c>
      <c r="V208">
        <v>21999.998523478505</v>
      </c>
      <c r="W208">
        <v>7636.3652932531531</v>
      </c>
      <c r="Y208">
        <v>21999.999656768548</v>
      </c>
      <c r="Z208">
        <v>7636.3649503249217</v>
      </c>
      <c r="AB208">
        <v>21999.998735915713</v>
      </c>
      <c r="AC208">
        <v>7636.3652315065101</v>
      </c>
      <c r="AE208">
        <v>21999.998844602935</v>
      </c>
      <c r="AF208">
        <v>7636.3651996009985</v>
      </c>
      <c r="AH208">
        <v>21999.998182686108</v>
      </c>
      <c r="AI208">
        <v>7636.365390951556</v>
      </c>
      <c r="AK208">
        <v>22000.094762461333</v>
      </c>
      <c r="AL208">
        <v>7636.3709262043149</v>
      </c>
      <c r="AZ208">
        <v>49999.999995134924</v>
      </c>
      <c r="BA208">
        <v>2.6157833767935319E-7</v>
      </c>
      <c r="BC208">
        <v>49999.999977060026</v>
      </c>
      <c r="BD208">
        <v>1.5413406049300586E-6</v>
      </c>
      <c r="BF208">
        <v>49999.999997560226</v>
      </c>
      <c r="BG208">
        <v>8.9122392550841621E-8</v>
      </c>
      <c r="BI208">
        <v>49999.999972650665</v>
      </c>
      <c r="BJ208">
        <v>1.8633449783515491E-6</v>
      </c>
      <c r="BL208">
        <v>49999.999975578816</v>
      </c>
      <c r="BM208">
        <v>1.6892281800850402E-6</v>
      </c>
      <c r="BO208">
        <v>49999.999972881342</v>
      </c>
      <c r="BP208">
        <v>1.8536593171958512E-6</v>
      </c>
      <c r="BR208">
        <v>49999.999973054524</v>
      </c>
      <c r="BS208">
        <v>1.8447546296462607E-6</v>
      </c>
      <c r="BU208">
        <v>49999.999972557816</v>
      </c>
      <c r="BV208">
        <v>1.8591348442078215E-6</v>
      </c>
      <c r="BX208">
        <v>49999.999998915249</v>
      </c>
      <c r="BY208">
        <v>6.2252586911315477E-11</v>
      </c>
    </row>
    <row r="209" spans="13:77" x14ac:dyDescent="0.35">
      <c r="M209">
        <v>21999.993522300225</v>
      </c>
      <c r="N209">
        <v>7636.3640912983783</v>
      </c>
      <c r="P209">
        <v>21999.997756228429</v>
      </c>
      <c r="Q209">
        <v>7636.3650078647479</v>
      </c>
      <c r="S209">
        <v>21999.987796957739</v>
      </c>
      <c r="T209">
        <v>7636.3660706534292</v>
      </c>
      <c r="V209">
        <v>21999.998365586722</v>
      </c>
      <c r="W209">
        <v>7636.3651557794055</v>
      </c>
      <c r="Y209">
        <v>21999.999402747038</v>
      </c>
      <c r="Z209">
        <v>7636.3649085254356</v>
      </c>
      <c r="AB209">
        <v>21999.998559410913</v>
      </c>
      <c r="AC209">
        <v>7636.3651119401984</v>
      </c>
      <c r="AE209">
        <v>21999.998658648958</v>
      </c>
      <c r="AF209">
        <v>7636.3650891998323</v>
      </c>
      <c r="AH209">
        <v>21999.998054970598</v>
      </c>
      <c r="AI209">
        <v>7636.3652247650116</v>
      </c>
      <c r="AK209">
        <v>22000.078309495781</v>
      </c>
      <c r="AL209">
        <v>7636.378545108505</v>
      </c>
      <c r="AZ209">
        <v>49999.999995653139</v>
      </c>
      <c r="BA209">
        <v>2.34149013636824E-7</v>
      </c>
      <c r="BC209">
        <v>49999.99997945418</v>
      </c>
      <c r="BD209">
        <v>1.3797143353013795E-6</v>
      </c>
      <c r="BF209">
        <v>49999.999997826846</v>
      </c>
      <c r="BG209">
        <v>7.9776943664525662E-8</v>
      </c>
      <c r="BI209">
        <v>49999.999975500883</v>
      </c>
      <c r="BJ209">
        <v>1.6679530598114989E-6</v>
      </c>
      <c r="BL209">
        <v>49999.999978119806</v>
      </c>
      <c r="BM209">
        <v>1.5120942951816569E-6</v>
      </c>
      <c r="BO209">
        <v>49999.999975706553</v>
      </c>
      <c r="BP209">
        <v>1.6592830452161291E-6</v>
      </c>
      <c r="BR209">
        <v>49999.999975861225</v>
      </c>
      <c r="BS209">
        <v>1.6513121106786384E-6</v>
      </c>
      <c r="BU209">
        <v>49999.9999754194</v>
      </c>
      <c r="BV209">
        <v>1.6641844038675889E-6</v>
      </c>
      <c r="BX209">
        <v>49999.999999040127</v>
      </c>
      <c r="BY209">
        <v>5.5724728397353227E-11</v>
      </c>
    </row>
    <row r="210" spans="13:77" x14ac:dyDescent="0.35">
      <c r="M210">
        <v>21999.994423940687</v>
      </c>
      <c r="N210">
        <v>7636.3635603904095</v>
      </c>
      <c r="P210">
        <v>21999.997784513351</v>
      </c>
      <c r="Q210">
        <v>7636.3648111029297</v>
      </c>
      <c r="S210">
        <v>21999.989126475099</v>
      </c>
      <c r="T210">
        <v>7636.3650537859367</v>
      </c>
      <c r="V210">
        <v>21999.998264432343</v>
      </c>
      <c r="W210">
        <v>7636.3650069392543</v>
      </c>
      <c r="Y210">
        <v>21999.999198037451</v>
      </c>
      <c r="Z210">
        <v>7636.3648465385077</v>
      </c>
      <c r="AB210">
        <v>21999.99843835022</v>
      </c>
      <c r="AC210">
        <v>7636.3649793060622</v>
      </c>
      <c r="AE210">
        <v>21999.998527465174</v>
      </c>
      <c r="AF210">
        <v>7636.3649648663022</v>
      </c>
      <c r="AH210">
        <v>21999.99798601447</v>
      </c>
      <c r="AI210">
        <v>7636.3650499671003</v>
      </c>
      <c r="AK210">
        <v>22000.062634353337</v>
      </c>
      <c r="AL210">
        <v>7636.3847470500641</v>
      </c>
      <c r="AZ210">
        <v>49999.999996116087</v>
      </c>
      <c r="BA210">
        <v>2.095959515363257E-7</v>
      </c>
      <c r="BC210">
        <v>49999.999981598587</v>
      </c>
      <c r="BD210">
        <v>1.2350363319845509E-6</v>
      </c>
      <c r="BF210">
        <v>49999.999998064261</v>
      </c>
      <c r="BG210">
        <v>7.1411466392444486E-8</v>
      </c>
      <c r="BI210">
        <v>49999.999978054257</v>
      </c>
      <c r="BJ210">
        <v>1.4930501018779692E-6</v>
      </c>
      <c r="BL210">
        <v>49999.999980396635</v>
      </c>
      <c r="BM210">
        <v>1.3535348181473159E-6</v>
      </c>
      <c r="BO210">
        <v>49999.99997823764</v>
      </c>
      <c r="BP210">
        <v>1.4852892322917295E-6</v>
      </c>
      <c r="BR210">
        <v>49999.999978375781</v>
      </c>
      <c r="BS210">
        <v>1.4781541366414252E-6</v>
      </c>
      <c r="BU210">
        <v>49999.999977982756</v>
      </c>
      <c r="BV210">
        <v>1.4896766303593421E-6</v>
      </c>
      <c r="BX210">
        <v>49999.999999150634</v>
      </c>
      <c r="BY210">
        <v>4.9881386606211343E-11</v>
      </c>
    </row>
    <row r="211" spans="13:77" x14ac:dyDescent="0.35">
      <c r="M211">
        <v>21999.995309484522</v>
      </c>
      <c r="N211">
        <v>7636.3631083352666</v>
      </c>
      <c r="P211">
        <v>21999.997854434168</v>
      </c>
      <c r="Q211">
        <v>7636.3646187233426</v>
      </c>
      <c r="S211">
        <v>21999.990487011139</v>
      </c>
      <c r="T211">
        <v>7636.3641556711018</v>
      </c>
      <c r="V211">
        <v>21999.998213845145</v>
      </c>
      <c r="W211">
        <v>7636.3648514610841</v>
      </c>
      <c r="Y211">
        <v>21999.999039689068</v>
      </c>
      <c r="Z211">
        <v>7636.3647685829364</v>
      </c>
      <c r="AB211">
        <v>21999.998367162774</v>
      </c>
      <c r="AC211">
        <v>7636.3648382454785</v>
      </c>
      <c r="AE211">
        <v>21999.998445787885</v>
      </c>
      <c r="AF211">
        <v>7636.364831196217</v>
      </c>
      <c r="AH211">
        <v>21999.997968688222</v>
      </c>
      <c r="AI211">
        <v>7636.3648714212277</v>
      </c>
      <c r="AK211">
        <v>22000.047947525945</v>
      </c>
      <c r="AL211">
        <v>7636.3896102123381</v>
      </c>
      <c r="AZ211">
        <v>49999.999996529667</v>
      </c>
      <c r="BA211">
        <v>1.8761754413633892E-7</v>
      </c>
      <c r="BC211">
        <v>49999.999983519287</v>
      </c>
      <c r="BD211">
        <v>1.1055293855447428E-6</v>
      </c>
      <c r="BF211">
        <v>49999.999998275685</v>
      </c>
      <c r="BG211">
        <v>6.392320008858622E-8</v>
      </c>
      <c r="BI211">
        <v>49999.999980341679</v>
      </c>
      <c r="BJ211">
        <v>1.3364876149387289E-6</v>
      </c>
      <c r="BL211">
        <v>49999.999982436733</v>
      </c>
      <c r="BM211">
        <v>1.211602020977943E-6</v>
      </c>
      <c r="BO211">
        <v>49999.999980505192</v>
      </c>
      <c r="BP211">
        <v>1.3295405566525541E-6</v>
      </c>
      <c r="BR211">
        <v>49999.999980628578</v>
      </c>
      <c r="BS211">
        <v>1.3231536531219109E-6</v>
      </c>
      <c r="BU211">
        <v>49999.999980278953</v>
      </c>
      <c r="BV211">
        <v>1.3334678884748928E-6</v>
      </c>
      <c r="BX211">
        <v>49999.999999248415</v>
      </c>
      <c r="BY211">
        <v>4.4650782539793105E-11</v>
      </c>
    </row>
    <row r="212" spans="13:77" x14ac:dyDescent="0.35">
      <c r="M212">
        <v>21999.996162987027</v>
      </c>
      <c r="N212">
        <v>7636.3627329900537</v>
      </c>
      <c r="P212">
        <v>21999.997958486001</v>
      </c>
      <c r="Q212">
        <v>7636.3644340610126</v>
      </c>
      <c r="S212">
        <v>21999.991845953282</v>
      </c>
      <c r="T212">
        <v>7636.3633775696626</v>
      </c>
      <c r="V212">
        <v>21999.998207508812</v>
      </c>
      <c r="W212">
        <v>7636.3646935220568</v>
      </c>
      <c r="Y212">
        <v>21999.998924223273</v>
      </c>
      <c r="Z212">
        <v>7636.3646785931696</v>
      </c>
      <c r="AB212">
        <v>21999.998340058704</v>
      </c>
      <c r="AC212">
        <v>7636.3646928982043</v>
      </c>
      <c r="AE212">
        <v>21999.998408097235</v>
      </c>
      <c r="AF212">
        <v>7636.364692309191</v>
      </c>
      <c r="AH212">
        <v>21999.997995833946</v>
      </c>
      <c r="AI212">
        <v>7636.3646933602367</v>
      </c>
      <c r="AK212">
        <v>22000.034408453845</v>
      </c>
      <c r="AL212">
        <v>7636.3932290462462</v>
      </c>
      <c r="AZ212">
        <v>49999.999996899154</v>
      </c>
      <c r="BA212">
        <v>1.6794381098386811E-7</v>
      </c>
      <c r="BC212">
        <v>49999.999985239607</v>
      </c>
      <c r="BD212">
        <v>9.8960264622096113E-7</v>
      </c>
      <c r="BF212">
        <v>49999.999998463965</v>
      </c>
      <c r="BG212">
        <v>5.7220159674535051E-8</v>
      </c>
      <c r="BI212">
        <v>49999.999982390837</v>
      </c>
      <c r="BJ212">
        <v>1.1963424018067788E-6</v>
      </c>
      <c r="BL212">
        <v>49999.999984264694</v>
      </c>
      <c r="BM212">
        <v>1.0845524160637277E-6</v>
      </c>
      <c r="BO212">
        <v>49999.999982536632</v>
      </c>
      <c r="BP212">
        <v>1.1901238178844203E-6</v>
      </c>
      <c r="BR212">
        <v>49999.999982646841</v>
      </c>
      <c r="BS212">
        <v>1.1844066504195746E-6</v>
      </c>
      <c r="BU212">
        <v>49999.999982335816</v>
      </c>
      <c r="BV212">
        <v>1.193639326394405E-6</v>
      </c>
      <c r="BX212">
        <v>49999.999999334941</v>
      </c>
      <c r="BY212">
        <v>3.9968664005990057E-11</v>
      </c>
    </row>
    <row r="213" spans="13:77" x14ac:dyDescent="0.35">
      <c r="M213">
        <v>21999.99697148626</v>
      </c>
      <c r="N213">
        <v>7636.3624309396328</v>
      </c>
      <c r="P213">
        <v>21999.998089551591</v>
      </c>
      <c r="Q213">
        <v>7636.3642598061142</v>
      </c>
      <c r="S213">
        <v>21999.993175469259</v>
      </c>
      <c r="T213">
        <v>7636.362718080366</v>
      </c>
      <c r="V213">
        <v>21999.998239112636</v>
      </c>
      <c r="W213">
        <v>7636.3645367420886</v>
      </c>
      <c r="Y213">
        <v>21999.998847782233</v>
      </c>
      <c r="Z213">
        <v>7636.3645801794482</v>
      </c>
      <c r="AB213">
        <v>21999.998351180569</v>
      </c>
      <c r="AC213">
        <v>7636.3645468899022</v>
      </c>
      <c r="AE213">
        <v>21999.998408768493</v>
      </c>
      <c r="AF213">
        <v>7636.3645518328876</v>
      </c>
      <c r="AH213">
        <v>21999.998060417296</v>
      </c>
      <c r="AI213">
        <v>7636.3645193907851</v>
      </c>
      <c r="AK213">
        <v>22000.022129664339</v>
      </c>
      <c r="AL213">
        <v>7636.3957099516065</v>
      </c>
      <c r="AZ213">
        <v>49999.99999722925</v>
      </c>
      <c r="BA213">
        <v>1.5033308200284543E-7</v>
      </c>
      <c r="BC213">
        <v>49999.999986780436</v>
      </c>
      <c r="BD213">
        <v>8.8583208209406658E-7</v>
      </c>
      <c r="BF213">
        <v>49999.999998631647</v>
      </c>
      <c r="BG213">
        <v>5.1220005704407736E-8</v>
      </c>
      <c r="BI213">
        <v>49999.999984226524</v>
      </c>
      <c r="BJ213">
        <v>1.0708929333673087E-6</v>
      </c>
      <c r="BL213">
        <v>49999.999985902556</v>
      </c>
      <c r="BM213">
        <v>9.7082533936976291E-7</v>
      </c>
      <c r="BO213">
        <v>49999.999984356531</v>
      </c>
      <c r="BP213">
        <v>1.0653264353753329E-6</v>
      </c>
      <c r="BR213">
        <v>49999.999984454967</v>
      </c>
      <c r="BS213">
        <v>1.0602087748901229E-6</v>
      </c>
      <c r="BU213">
        <v>49999.99998417827</v>
      </c>
      <c r="BV213">
        <v>1.0684733047113859E-6</v>
      </c>
      <c r="BX213">
        <v>49999.999999411506</v>
      </c>
      <c r="BY213">
        <v>3.5777516351488247E-11</v>
      </c>
    </row>
    <row r="214" spans="13:77" x14ac:dyDescent="0.35">
      <c r="M214">
        <v>21999.997724836529</v>
      </c>
      <c r="N214">
        <v>7636.3621977523553</v>
      </c>
      <c r="P214">
        <v>21999.998240991852</v>
      </c>
      <c r="Q214">
        <v>7636.3640980422861</v>
      </c>
      <c r="S214">
        <v>21999.994452386018</v>
      </c>
      <c r="T214">
        <v>7636.3621735564157</v>
      </c>
      <c r="V214">
        <v>21999.998302481032</v>
      </c>
      <c r="W214">
        <v>7636.3643841902121</v>
      </c>
      <c r="Y214">
        <v>21999.998806263775</v>
      </c>
      <c r="Z214">
        <v>7636.36447660044</v>
      </c>
      <c r="AB214">
        <v>21999.998394734164</v>
      </c>
      <c r="AC214">
        <v>7636.3644033320998</v>
      </c>
      <c r="AE214">
        <v>21999.99844220349</v>
      </c>
      <c r="AF214">
        <v>7636.3644128997148</v>
      </c>
      <c r="AH214">
        <v>21999.998155654754</v>
      </c>
      <c r="AI214">
        <v>7636.364352510016</v>
      </c>
      <c r="AK214">
        <v>22000.011181276961</v>
      </c>
      <c r="AL214">
        <v>7636.3971673403275</v>
      </c>
      <c r="AZ214">
        <v>49999.999997524166</v>
      </c>
      <c r="BA214">
        <v>1.345690288442395E-7</v>
      </c>
      <c r="BC214">
        <v>49999.999988160496</v>
      </c>
      <c r="BD214">
        <v>7.9294298642772859E-7</v>
      </c>
      <c r="BF214">
        <v>49999.999998780979</v>
      </c>
      <c r="BG214">
        <v>4.5849032915729529E-8</v>
      </c>
      <c r="BI214">
        <v>49999.999985870963</v>
      </c>
      <c r="BJ214">
        <v>9.5859820149419032E-7</v>
      </c>
      <c r="BL214">
        <v>49999.999987370065</v>
      </c>
      <c r="BM214">
        <v>8.6902377940237721E-7</v>
      </c>
      <c r="BO214">
        <v>49999.999985986899</v>
      </c>
      <c r="BP214">
        <v>9.5361541115445134E-7</v>
      </c>
      <c r="BR214">
        <v>49999.999986074821</v>
      </c>
      <c r="BS214">
        <v>9.490343928436703E-7</v>
      </c>
      <c r="BU214">
        <v>49999.999985828654</v>
      </c>
      <c r="BV214">
        <v>9.5643229712994631E-7</v>
      </c>
      <c r="BX214">
        <v>49999.999999479252</v>
      </c>
      <c r="BY214">
        <v>3.2025855957794942E-11</v>
      </c>
    </row>
    <row r="215" spans="13:77" x14ac:dyDescent="0.35">
      <c r="M215">
        <v>21999.998415507951</v>
      </c>
      <c r="N215">
        <v>7636.3620282195516</v>
      </c>
      <c r="P215">
        <v>21999.998406713385</v>
      </c>
      <c r="Q215">
        <v>7636.3639502918913</v>
      </c>
      <c r="S215">
        <v>21999.995657990046</v>
      </c>
      <c r="T215">
        <v>7636.3617385076623</v>
      </c>
      <c r="V215">
        <v>21999.998391681394</v>
      </c>
      <c r="W215">
        <v>7636.3642384013847</v>
      </c>
      <c r="Y215">
        <v>21999.998795441668</v>
      </c>
      <c r="Z215">
        <v>7636.3643707471219</v>
      </c>
      <c r="AB215">
        <v>21999.998465098979</v>
      </c>
      <c r="AC215">
        <v>7636.3642648327759</v>
      </c>
      <c r="AE215">
        <v>21999.998502942344</v>
      </c>
      <c r="AF215">
        <v>7636.3642781542303</v>
      </c>
      <c r="AH215">
        <v>21999.998275117221</v>
      </c>
      <c r="AI215">
        <v>7636.364195132388</v>
      </c>
      <c r="AK215">
        <v>22000.001595728649</v>
      </c>
      <c r="AL215">
        <v>7636.3977201072003</v>
      </c>
      <c r="AZ215">
        <v>49999.99999778765</v>
      </c>
      <c r="BA215">
        <v>1.204580075312844E-7</v>
      </c>
      <c r="BC215">
        <v>49999.999989396551</v>
      </c>
      <c r="BD215">
        <v>7.0979431930431692E-7</v>
      </c>
      <c r="BF215">
        <v>49999.999998913983</v>
      </c>
      <c r="BG215">
        <v>4.1041264841714343E-8</v>
      </c>
      <c r="BI215">
        <v>49999.999987344068</v>
      </c>
      <c r="BJ215">
        <v>8.5807878946743367E-7</v>
      </c>
      <c r="BL215">
        <v>49999.999988684933</v>
      </c>
      <c r="BM215">
        <v>7.7789721646617809E-7</v>
      </c>
      <c r="BO215">
        <v>49999.99998744746</v>
      </c>
      <c r="BP215">
        <v>8.5361849870545853E-7</v>
      </c>
      <c r="BR215">
        <v>49999.999987525989</v>
      </c>
      <c r="BS215">
        <v>8.4951784982016573E-7</v>
      </c>
      <c r="BU215">
        <v>49999.999987306976</v>
      </c>
      <c r="BV215">
        <v>8.5614000365269606E-7</v>
      </c>
      <c r="BX215">
        <v>49999.999999539199</v>
      </c>
      <c r="BY215">
        <v>2.8667597821865042E-11</v>
      </c>
    </row>
    <row r="216" spans="13:77" x14ac:dyDescent="0.35">
      <c r="M216">
        <v>21999.99903836118</v>
      </c>
      <c r="N216">
        <v>7636.3619165762102</v>
      </c>
      <c r="P216">
        <v>21999.998581214859</v>
      </c>
      <c r="Q216">
        <v>7636.3638175662854</v>
      </c>
      <c r="S216">
        <v>21999.996777764663</v>
      </c>
      <c r="T216">
        <v>7636.361405982324</v>
      </c>
      <c r="V216">
        <v>21999.998501111259</v>
      </c>
      <c r="W216">
        <v>7636.3641014018849</v>
      </c>
      <c r="Y216">
        <v>21999.998811070964</v>
      </c>
      <c r="Z216">
        <v>7636.3642651366026</v>
      </c>
      <c r="AB216">
        <v>21999.998556918981</v>
      </c>
      <c r="AC216">
        <v>7636.3641335158027</v>
      </c>
      <c r="AE216">
        <v>21999.998585756104</v>
      </c>
      <c r="AF216">
        <v>7636.3641497695435</v>
      </c>
      <c r="AH216">
        <v>21999.998412811197</v>
      </c>
      <c r="AI216">
        <v>7636.3640491246342</v>
      </c>
      <c r="AK216">
        <v>21999.993372589346</v>
      </c>
      <c r="AL216">
        <v>7636.3974885218404</v>
      </c>
      <c r="AZ216">
        <v>49999.999998023064</v>
      </c>
      <c r="BA216">
        <v>1.0782667975716113E-7</v>
      </c>
      <c r="BC216">
        <v>49999.999990503617</v>
      </c>
      <c r="BD216">
        <v>6.3536469121001644E-7</v>
      </c>
      <c r="BF216">
        <v>49999.999999032443</v>
      </c>
      <c r="BG216">
        <v>3.6737643363261293E-8</v>
      </c>
      <c r="BI216">
        <v>49999.99998866368</v>
      </c>
      <c r="BJ216">
        <v>7.6809992736258807E-7</v>
      </c>
      <c r="BL216">
        <v>49999.999989863012</v>
      </c>
      <c r="BM216">
        <v>6.9632626141103055E-7</v>
      </c>
      <c r="BO216">
        <v>49999.999988755881</v>
      </c>
      <c r="BP216">
        <v>7.6410734643399436E-7</v>
      </c>
      <c r="BR216">
        <v>49999.999988826028</v>
      </c>
      <c r="BS216">
        <v>7.6043669503295644E-7</v>
      </c>
      <c r="BU216">
        <v>49999.999988631171</v>
      </c>
      <c r="BV216">
        <v>7.6636444425563683E-7</v>
      </c>
      <c r="BX216">
        <v>49999.999999592248</v>
      </c>
      <c r="BY216">
        <v>2.566148945275383E-11</v>
      </c>
    </row>
    <row r="217" spans="13:77" x14ac:dyDescent="0.35">
      <c r="M217">
        <v>21999.999590405554</v>
      </c>
      <c r="N217">
        <v>7636.3618567010217</v>
      </c>
      <c r="P217">
        <v>21999.998759614457</v>
      </c>
      <c r="Q217">
        <v>7636.363700419316</v>
      </c>
      <c r="S217">
        <v>21999.99780107888</v>
      </c>
      <c r="T217">
        <v>7636.3611679233163</v>
      </c>
      <c r="V217">
        <v>21999.998625565935</v>
      </c>
      <c r="W217">
        <v>7636.3639747415145</v>
      </c>
      <c r="Y217">
        <v>21999.998848978383</v>
      </c>
      <c r="Z217">
        <v>7636.3641619145619</v>
      </c>
      <c r="AB217">
        <v>21999.998665174731</v>
      </c>
      <c r="AC217">
        <v>7636.3640110475544</v>
      </c>
      <c r="AE217">
        <v>21999.998685721112</v>
      </c>
      <c r="AF217">
        <v>7636.3640294710658</v>
      </c>
      <c r="AH217">
        <v>21999.998563239136</v>
      </c>
      <c r="AI217">
        <v>7636.3639158469414</v>
      </c>
      <c r="AK217">
        <v>21999.986483355358</v>
      </c>
      <c r="AL217">
        <v>7636.3965915446897</v>
      </c>
      <c r="AZ217">
        <v>49999.999998233397</v>
      </c>
      <c r="BA217">
        <v>9.6519883615401298E-8</v>
      </c>
      <c r="BC217">
        <v>49999.999991495148</v>
      </c>
      <c r="BD217">
        <v>5.6873981639298842E-7</v>
      </c>
      <c r="BF217">
        <v>49999.999999137952</v>
      </c>
      <c r="BG217">
        <v>3.2885303245209236E-8</v>
      </c>
      <c r="BI217">
        <v>49999.999989845783</v>
      </c>
      <c r="BJ217">
        <v>6.8755632426625682E-7</v>
      </c>
      <c r="BL217">
        <v>49999.999990918528</v>
      </c>
      <c r="BM217">
        <v>6.2330890517293992E-7</v>
      </c>
      <c r="BO217">
        <v>49999.999989928008</v>
      </c>
      <c r="BP217">
        <v>6.8398240872526663E-7</v>
      </c>
      <c r="BR217">
        <v>49999.999989990662</v>
      </c>
      <c r="BS217">
        <v>6.8069666491130451E-7</v>
      </c>
      <c r="BU217">
        <v>49999.99998981729</v>
      </c>
      <c r="BV217">
        <v>6.8600282537452203E-7</v>
      </c>
      <c r="BX217">
        <v>49999.999999639193</v>
      </c>
      <c r="BY217">
        <v>2.2970604130341931E-11</v>
      </c>
    </row>
    <row r="218" spans="13:77" x14ac:dyDescent="0.35">
      <c r="M218">
        <v>22000.000070548071</v>
      </c>
      <c r="N218">
        <v>7636.3618422946547</v>
      </c>
      <c r="P218">
        <v>21999.998937660497</v>
      </c>
      <c r="Q218">
        <v>7636.3635990024832</v>
      </c>
      <c r="S218">
        <v>21999.998720841308</v>
      </c>
      <c r="T218">
        <v>7636.3610154955422</v>
      </c>
      <c r="V218">
        <v>21999.998760288086</v>
      </c>
      <c r="W218">
        <v>7636.3638595309521</v>
      </c>
      <c r="Y218">
        <v>21999.998905138069</v>
      </c>
      <c r="Z218">
        <v>7636.364062865011</v>
      </c>
      <c r="AB218">
        <v>21999.998785238036</v>
      </c>
      <c r="AC218">
        <v>7636.363898669093</v>
      </c>
      <c r="AE218">
        <v>21999.998798276232</v>
      </c>
      <c r="AF218">
        <v>7636.3639185660486</v>
      </c>
      <c r="AH218">
        <v>21999.998721440788</v>
      </c>
      <c r="AI218">
        <v>7636.3637961986014</v>
      </c>
      <c r="AK218">
        <v>21999.98087612473</v>
      </c>
      <c r="AL218">
        <v>7636.3951445607681</v>
      </c>
      <c r="AZ218">
        <v>49999.999998421328</v>
      </c>
      <c r="BA218">
        <v>8.6398727607288431E-8</v>
      </c>
      <c r="BC218">
        <v>49999.9999923832</v>
      </c>
      <c r="BD218">
        <v>5.0910128187293957E-7</v>
      </c>
      <c r="BF218">
        <v>49999.999999231935</v>
      </c>
      <c r="BG218">
        <v>2.9436922745328612E-8</v>
      </c>
      <c r="BI218">
        <v>49999.999990904689</v>
      </c>
      <c r="BJ218">
        <v>6.1545859099824368E-7</v>
      </c>
      <c r="BL218">
        <v>49999.999991864221</v>
      </c>
      <c r="BM218">
        <v>5.5794821019963493E-7</v>
      </c>
      <c r="BO218">
        <v>49999.999990978024</v>
      </c>
      <c r="BP218">
        <v>6.1225943924084522E-7</v>
      </c>
      <c r="BR218">
        <v>49999.99999103399</v>
      </c>
      <c r="BS218">
        <v>6.0931824128125764E-7</v>
      </c>
      <c r="BU218">
        <v>49999.999990879725</v>
      </c>
      <c r="BV218">
        <v>6.1406799330417781E-7</v>
      </c>
      <c r="BX218">
        <v>49999.999999680731</v>
      </c>
      <c r="BY218">
        <v>2.056188730137571E-11</v>
      </c>
    </row>
    <row r="219" spans="13:77" x14ac:dyDescent="0.35">
      <c r="M219">
        <v>22000.00047933972</v>
      </c>
      <c r="N219">
        <v>7636.3618670357664</v>
      </c>
      <c r="P219">
        <v>21999.999111727517</v>
      </c>
      <c r="Q219">
        <v>7636.3635131203819</v>
      </c>
      <c r="S219">
        <v>21999.999533131351</v>
      </c>
      <c r="T219">
        <v>7636.3609393816068</v>
      </c>
      <c r="V219">
        <v>21999.998901000858</v>
      </c>
      <c r="W219">
        <v>7636.3637564827386</v>
      </c>
      <c r="Y219">
        <v>21999.998975733266</v>
      </c>
      <c r="Z219">
        <v>7636.3639694260928</v>
      </c>
      <c r="AB219">
        <v>21999.998912910582</v>
      </c>
      <c r="AC219">
        <v>7636.3637972324486</v>
      </c>
      <c r="AE219">
        <v>21999.998919264297</v>
      </c>
      <c r="AF219">
        <v>7636.3638179774571</v>
      </c>
      <c r="AH219">
        <v>21999.99888301743</v>
      </c>
      <c r="AI219">
        <v>7636.363690666527</v>
      </c>
      <c r="AK219">
        <v>21999.976480075224</v>
      </c>
      <c r="AL219">
        <v>7636.3932575171784</v>
      </c>
      <c r="AZ219">
        <v>49999.999998589243</v>
      </c>
      <c r="BA219">
        <v>7.7338884513243261E-8</v>
      </c>
      <c r="BC219">
        <v>49999.999993178564</v>
      </c>
      <c r="BD219">
        <v>4.5571649414178489E-7</v>
      </c>
      <c r="BF219">
        <v>49999.999999315645</v>
      </c>
      <c r="BG219">
        <v>2.6350142318999573E-8</v>
      </c>
      <c r="BI219">
        <v>49999.999991853234</v>
      </c>
      <c r="BJ219">
        <v>5.509210865584659E-7</v>
      </c>
      <c r="BL219">
        <v>49999.999992711506</v>
      </c>
      <c r="BM219">
        <v>4.9944129256360726E-7</v>
      </c>
      <c r="BO219">
        <v>49999.999991918638</v>
      </c>
      <c r="BP219">
        <v>5.4805740053970625E-7</v>
      </c>
      <c r="BR219">
        <v>49999.999991968631</v>
      </c>
      <c r="BS219">
        <v>5.4542461906697092E-7</v>
      </c>
      <c r="BU219">
        <v>49999.99999183137</v>
      </c>
      <c r="BV219">
        <v>5.4967630810575739E-7</v>
      </c>
      <c r="BX219">
        <v>49999.999999717489</v>
      </c>
      <c r="BY219">
        <v>1.8405750540799631E-11</v>
      </c>
    </row>
    <row r="220" spans="13:77" x14ac:dyDescent="0.35">
      <c r="M220">
        <v>22000.000818724795</v>
      </c>
      <c r="N220">
        <v>7636.361924714749</v>
      </c>
      <c r="P220">
        <v>21999.999278799976</v>
      </c>
      <c r="Q220">
        <v>7636.3634422852356</v>
      </c>
      <c r="S220">
        <v>22000.000236818603</v>
      </c>
      <c r="T220">
        <v>7636.3609300444414</v>
      </c>
      <c r="V220">
        <v>21999.999043926258</v>
      </c>
      <c r="W220">
        <v>7636.3636659545191</v>
      </c>
      <c r="Y220">
        <v>21999.99905720471</v>
      </c>
      <c r="Z220">
        <v>7636.3638827107343</v>
      </c>
      <c r="AB220">
        <v>21999.999044448057</v>
      </c>
      <c r="AC220">
        <v>7636.3637072396577</v>
      </c>
      <c r="AE220">
        <v>21999.999044959131</v>
      </c>
      <c r="AF220">
        <v>7636.3637282808513</v>
      </c>
      <c r="AH220">
        <v>21999.99904414095</v>
      </c>
      <c r="AI220">
        <v>7636.3635993752287</v>
      </c>
      <c r="AK220">
        <v>21999.973209681211</v>
      </c>
      <c r="AL220">
        <v>7636.391033444047</v>
      </c>
      <c r="AZ220">
        <v>49999.999998739273</v>
      </c>
      <c r="BA220">
        <v>6.9229064170287938E-8</v>
      </c>
      <c r="BC220">
        <v>49999.99999389091</v>
      </c>
      <c r="BD220">
        <v>4.0792968006172576E-7</v>
      </c>
      <c r="BF220">
        <v>49999.999999390217</v>
      </c>
      <c r="BG220">
        <v>2.3587044279005492E-8</v>
      </c>
      <c r="BI220">
        <v>49999.999992702913</v>
      </c>
      <c r="BJ220">
        <v>4.9315103900565845E-7</v>
      </c>
      <c r="BL220">
        <v>49999.999993470621</v>
      </c>
      <c r="BM220">
        <v>4.4706945942003616E-7</v>
      </c>
      <c r="BO220">
        <v>49999.999992761244</v>
      </c>
      <c r="BP220">
        <v>4.9058764150657342E-7</v>
      </c>
      <c r="BR220">
        <v>49999.999992805904</v>
      </c>
      <c r="BS220">
        <v>4.8823093570898016E-7</v>
      </c>
      <c r="BU220">
        <v>49999.999992683763</v>
      </c>
      <c r="BV220">
        <v>4.9203678906627096E-7</v>
      </c>
      <c r="BX220">
        <v>49999.999999750013</v>
      </c>
      <c r="BY220">
        <v>1.6475708090644107E-11</v>
      </c>
    </row>
    <row r="221" spans="13:77" x14ac:dyDescent="0.35">
      <c r="M221">
        <v>22000.001091797913</v>
      </c>
      <c r="N221">
        <v>7636.362009345703</v>
      </c>
      <c r="P221">
        <v>21999.99943644576</v>
      </c>
      <c r="Q221">
        <v>7636.3633857695286</v>
      </c>
      <c r="S221">
        <v>22000.000833180031</v>
      </c>
      <c r="T221">
        <v>7636.3609779562348</v>
      </c>
      <c r="V221">
        <v>21999.999185790562</v>
      </c>
      <c r="W221">
        <v>7636.363587993319</v>
      </c>
      <c r="Y221">
        <v>21999.999146286638</v>
      </c>
      <c r="Z221">
        <v>7636.3638035310014</v>
      </c>
      <c r="AB221">
        <v>21999.999176571393</v>
      </c>
      <c r="AC221">
        <v>7636.3636288833413</v>
      </c>
      <c r="AE221">
        <v>21999.999172079777</v>
      </c>
      <c r="AF221">
        <v>7636.3636497430707</v>
      </c>
      <c r="AH221">
        <v>21999.999201549857</v>
      </c>
      <c r="AI221">
        <v>7636.3635221369987</v>
      </c>
      <c r="AK221">
        <v>21999.97096862032</v>
      </c>
      <c r="AL221">
        <v>7636.3885673336436</v>
      </c>
      <c r="AZ221">
        <v>49999.999998873333</v>
      </c>
      <c r="BA221">
        <v>6.1969646395347405E-8</v>
      </c>
      <c r="BC221">
        <v>49999.999994528902</v>
      </c>
      <c r="BD221">
        <v>3.651538314167159E-7</v>
      </c>
      <c r="BF221">
        <v>49999.999999456646</v>
      </c>
      <c r="BG221">
        <v>2.1113687018637305E-8</v>
      </c>
      <c r="BI221">
        <v>49999.999993464022</v>
      </c>
      <c r="BJ221">
        <v>4.4143880712987739E-7</v>
      </c>
      <c r="BL221">
        <v>49999.999994150727</v>
      </c>
      <c r="BM221">
        <v>4.0018938065916095E-7</v>
      </c>
      <c r="BO221">
        <v>49999.999993516052</v>
      </c>
      <c r="BP221">
        <v>4.3914420964421776E-7</v>
      </c>
      <c r="BR221">
        <v>49999.999993555946</v>
      </c>
      <c r="BS221">
        <v>4.3703462999472394E-7</v>
      </c>
      <c r="BU221">
        <v>49999.999993447258</v>
      </c>
      <c r="BV221">
        <v>4.4044139837434979E-7</v>
      </c>
      <c r="BX221">
        <v>49999.999999778789</v>
      </c>
      <c r="BY221">
        <v>1.4748051511750666E-11</v>
      </c>
    </row>
    <row r="222" spans="13:77" x14ac:dyDescent="0.35">
      <c r="M222">
        <v>22000.001302572658</v>
      </c>
      <c r="N222">
        <v>7636.3621152574906</v>
      </c>
      <c r="P222">
        <v>21999.999582781464</v>
      </c>
      <c r="Q222">
        <v>7636.3633426559309</v>
      </c>
      <c r="S222">
        <v>22000.001325523157</v>
      </c>
      <c r="T222">
        <v>7636.3610737938534</v>
      </c>
      <c r="V222">
        <v>21999.999323818512</v>
      </c>
      <c r="W222">
        <v>7636.3635223797901</v>
      </c>
      <c r="Y222">
        <v>21999.999240031517</v>
      </c>
      <c r="Z222">
        <v>7636.3637324251267</v>
      </c>
      <c r="AB222">
        <v>21999.999306466747</v>
      </c>
      <c r="AC222">
        <v>7636.3635620877694</v>
      </c>
      <c r="AE222">
        <v>21999.999297793442</v>
      </c>
      <c r="AF222">
        <v>7636.3635823616632</v>
      </c>
      <c r="AH222">
        <v>21999.999352534138</v>
      </c>
      <c r="AI222">
        <v>7636.3634585012351</v>
      </c>
      <c r="AK222">
        <v>21999.969653334363</v>
      </c>
      <c r="AL222">
        <v>7636.3859453486693</v>
      </c>
      <c r="AZ222">
        <v>49999.999998993117</v>
      </c>
      <c r="BA222">
        <v>5.547145726136102E-8</v>
      </c>
      <c r="BC222">
        <v>49999.99999510029</v>
      </c>
      <c r="BD222">
        <v>3.2686349416502751E-7</v>
      </c>
      <c r="BF222">
        <v>49999.999999515821</v>
      </c>
      <c r="BG222">
        <v>1.889968807655412E-8</v>
      </c>
      <c r="BI222">
        <v>49999.999994145786</v>
      </c>
      <c r="BJ222">
        <v>3.9514916329420712E-7</v>
      </c>
      <c r="BL222">
        <v>49999.999994760045</v>
      </c>
      <c r="BM222">
        <v>3.5822518630660195E-7</v>
      </c>
      <c r="BO222">
        <v>49999.9999941922</v>
      </c>
      <c r="BP222">
        <v>3.9309517922692529E-7</v>
      </c>
      <c r="BR222">
        <v>49999.999994227837</v>
      </c>
      <c r="BS222">
        <v>3.9120681187019813E-7</v>
      </c>
      <c r="BU222">
        <v>49999.999994131118</v>
      </c>
      <c r="BV222">
        <v>3.9425634365793322E-7</v>
      </c>
      <c r="BX222">
        <v>49999.999999804255</v>
      </c>
      <c r="BY222">
        <v>1.3201558451790287E-11</v>
      </c>
    </row>
    <row r="223" spans="13:77" x14ac:dyDescent="0.35">
      <c r="M223">
        <v>22000.001455764919</v>
      </c>
      <c r="N223">
        <v>7636.3622371650345</v>
      </c>
      <c r="P223">
        <v>21999.999716431426</v>
      </c>
      <c r="Q223">
        <v>7636.3633118838725</v>
      </c>
      <c r="S223">
        <v>22000.001718822175</v>
      </c>
      <c r="T223">
        <v>7636.3612086015783</v>
      </c>
      <c r="V223">
        <v>21999.999455718065</v>
      </c>
      <c r="W223">
        <v>7636.363468671515</v>
      </c>
      <c r="Y223">
        <v>21999.999335824581</v>
      </c>
      <c r="Z223">
        <v>7636.3636696862532</v>
      </c>
      <c r="AB223">
        <v>21999.999431775901</v>
      </c>
      <c r="AC223">
        <v>7636.3635065494873</v>
      </c>
      <c r="AE223">
        <v>21999.999419708747</v>
      </c>
      <c r="AF223">
        <v>7636.3635259041375</v>
      </c>
      <c r="AH223">
        <v>21999.999494910957</v>
      </c>
      <c r="AI223">
        <v>7636.3634078020168</v>
      </c>
      <c r="AK223">
        <v>21999.969156221341</v>
      </c>
      <c r="AL223">
        <v>7636.3832443281581</v>
      </c>
      <c r="AZ223">
        <v>49999.999999100153</v>
      </c>
      <c r="BA223">
        <v>4.9654673694108423E-8</v>
      </c>
      <c r="BC223">
        <v>49999.99999561203</v>
      </c>
      <c r="BD223">
        <v>2.925883138168498E-7</v>
      </c>
      <c r="BF223">
        <v>49999.999999568536</v>
      </c>
      <c r="BG223">
        <v>1.6917850921812505E-8</v>
      </c>
      <c r="BI223">
        <v>49999.999994756479</v>
      </c>
      <c r="BJ223">
        <v>3.5371349036500907E-7</v>
      </c>
      <c r="BL223">
        <v>49999.99999530593</v>
      </c>
      <c r="BM223">
        <v>3.2066139259692215E-7</v>
      </c>
      <c r="BO223">
        <v>49999.999994797879</v>
      </c>
      <c r="BP223">
        <v>3.5187488879107762E-7</v>
      </c>
      <c r="BR223">
        <v>49999.999994829712</v>
      </c>
      <c r="BS223">
        <v>3.5018453722040938E-7</v>
      </c>
      <c r="BU223">
        <v>49999.999994743644</v>
      </c>
      <c r="BV223">
        <v>3.5291429254516036E-7</v>
      </c>
      <c r="BX223">
        <v>49999.999999826789</v>
      </c>
      <c r="BY223">
        <v>1.1817231952111793E-11</v>
      </c>
    </row>
    <row r="224" spans="13:77" x14ac:dyDescent="0.35">
      <c r="M224">
        <v>22000.001556593266</v>
      </c>
      <c r="N224">
        <v>7636.362370222264</v>
      </c>
      <c r="P224">
        <v>21999.999836482213</v>
      </c>
      <c r="Q224">
        <v>7636.363292292298</v>
      </c>
      <c r="S224">
        <v>22000.002019372601</v>
      </c>
      <c r="T224">
        <v>7636.3613739225757</v>
      </c>
      <c r="V224">
        <v>21999.999579657393</v>
      </c>
      <c r="W224">
        <v>7636.3634262446167</v>
      </c>
      <c r="Y224">
        <v>21999.999431389402</v>
      </c>
      <c r="Z224">
        <v>7636.3636153920606</v>
      </c>
      <c r="AB224">
        <v>21999.999550578632</v>
      </c>
      <c r="AC224">
        <v>7636.3634617767348</v>
      </c>
      <c r="AE224">
        <v>21999.999535860876</v>
      </c>
      <c r="AF224">
        <v>7636.3634799462507</v>
      </c>
      <c r="AH224">
        <v>21999.999626992991</v>
      </c>
      <c r="AI224">
        <v>7636.3633692032008</v>
      </c>
      <c r="AK224">
        <v>21999.969368446265</v>
      </c>
      <c r="AL224">
        <v>7636.3805315578611</v>
      </c>
      <c r="AZ224">
        <v>49999.999999195796</v>
      </c>
      <c r="BA224">
        <v>4.4447842933931743E-8</v>
      </c>
      <c r="BC224">
        <v>49999.999996070343</v>
      </c>
      <c r="BD224">
        <v>2.6190725764901369E-7</v>
      </c>
      <c r="BF224">
        <v>49999.999999615502</v>
      </c>
      <c r="BG224">
        <v>1.5143830874530888E-8</v>
      </c>
      <c r="BI224">
        <v>49999.9999953035</v>
      </c>
      <c r="BJ224">
        <v>3.1662279687861877E-7</v>
      </c>
      <c r="BL224">
        <v>49999.999995794991</v>
      </c>
      <c r="BM224">
        <v>2.8703656982505663E-7</v>
      </c>
      <c r="BO224">
        <v>49999.999995340426</v>
      </c>
      <c r="BP224">
        <v>3.1497699260899035E-7</v>
      </c>
      <c r="BR224">
        <v>49999.999995368868</v>
      </c>
      <c r="BS224">
        <v>3.134638927228398E-7</v>
      </c>
      <c r="BU224">
        <v>49999.999995292274</v>
      </c>
      <c r="BV224">
        <v>3.1590740361294632E-7</v>
      </c>
      <c r="BX224">
        <v>49999.999999846732</v>
      </c>
      <c r="BY224">
        <v>1.057806709109293E-11</v>
      </c>
    </row>
    <row r="225" spans="13:77" x14ac:dyDescent="0.35">
      <c r="M225">
        <v>22000.001610598003</v>
      </c>
      <c r="N225">
        <v>7636.3625100582867</v>
      </c>
      <c r="P225">
        <v>21999.99994243421</v>
      </c>
      <c r="Q225">
        <v>7636.3632826582698</v>
      </c>
      <c r="S225">
        <v>22000.002234468928</v>
      </c>
      <c r="T225">
        <v>7636.361561900917</v>
      </c>
      <c r="V225">
        <v>21999.999694235717</v>
      </c>
      <c r="W225">
        <v>7636.3633943330569</v>
      </c>
      <c r="Y225">
        <v>21999.999524785642</v>
      </c>
      <c r="Z225">
        <v>7636.3635694345248</v>
      </c>
      <c r="AB225">
        <v>21999.999661368613</v>
      </c>
      <c r="AC225">
        <v>7636.3634271270103</v>
      </c>
      <c r="AE225">
        <v>21999.999644690044</v>
      </c>
      <c r="AF225">
        <v>7636.3634439086818</v>
      </c>
      <c r="AH225">
        <v>21999.999747551137</v>
      </c>
      <c r="AI225">
        <v>7636.3633417404681</v>
      </c>
      <c r="AK225">
        <v>21999.970182368281</v>
      </c>
      <c r="AL225">
        <v>7636.3778647713598</v>
      </c>
      <c r="AZ225">
        <v>49999.999999281266</v>
      </c>
      <c r="BA225">
        <v>3.9787004817524714E-8</v>
      </c>
      <c r="BC225">
        <v>49999.999996480808</v>
      </c>
      <c r="BD225">
        <v>2.3444344278313317E-7</v>
      </c>
      <c r="BF225">
        <v>49999.999999657346</v>
      </c>
      <c r="BG225">
        <v>1.3555836058393495E-8</v>
      </c>
      <c r="BI225">
        <v>49999.999995793485</v>
      </c>
      <c r="BJ225">
        <v>2.8342146464353021E-7</v>
      </c>
      <c r="BL225">
        <v>49999.999996233128</v>
      </c>
      <c r="BM225">
        <v>2.5693767419215917E-7</v>
      </c>
      <c r="BO225">
        <v>49999.999995826423</v>
      </c>
      <c r="BP225">
        <v>2.8194824079104097E-7</v>
      </c>
      <c r="BR225">
        <v>49999.999995851831</v>
      </c>
      <c r="BS225">
        <v>2.8059380582898547E-7</v>
      </c>
      <c r="BU225">
        <v>49999.999995783663</v>
      </c>
      <c r="BV225">
        <v>2.8278108811614418E-7</v>
      </c>
      <c r="BX225">
        <v>49999.999999864376</v>
      </c>
      <c r="BY225">
        <v>9.4688420974655213E-12</v>
      </c>
    </row>
    <row r="226" spans="13:77" x14ac:dyDescent="0.35">
      <c r="M226">
        <v>22000.001623479922</v>
      </c>
      <c r="N226">
        <v>7636.3626527984852</v>
      </c>
      <c r="P226">
        <v>22000.000034151686</v>
      </c>
      <c r="Q226">
        <v>7636.3632817312346</v>
      </c>
      <c r="S226">
        <v>22000.002372108553</v>
      </c>
      <c r="T226">
        <v>7636.3617653563442</v>
      </c>
      <c r="V226">
        <v>21999.999798449488</v>
      </c>
      <c r="W226">
        <v>7636.3633720651505</v>
      </c>
      <c r="Y226">
        <v>21999.999614400196</v>
      </c>
      <c r="Z226">
        <v>7636.363531549182</v>
      </c>
      <c r="AB226">
        <v>21999.999763024261</v>
      </c>
      <c r="AC226">
        <v>7636.3634018422845</v>
      </c>
      <c r="AE226">
        <v>21999.999745014753</v>
      </c>
      <c r="AF226">
        <v>7636.3634170915711</v>
      </c>
      <c r="AH226">
        <v>21999.999855773203</v>
      </c>
      <c r="AI226">
        <v>7636.363324359897</v>
      </c>
      <c r="AK226">
        <v>21999.97149358979</v>
      </c>
      <c r="AL226">
        <v>7636.3752923482843</v>
      </c>
      <c r="AZ226">
        <v>49999.999999357642</v>
      </c>
      <c r="BA226">
        <v>3.5614906097990186E-8</v>
      </c>
      <c r="BC226">
        <v>49999.999996848412</v>
      </c>
      <c r="BD226">
        <v>2.0985950659581561E-7</v>
      </c>
      <c r="BF226">
        <v>49999.999999694628</v>
      </c>
      <c r="BG226">
        <v>1.2134359711525755E-8</v>
      </c>
      <c r="BI226">
        <v>49999.999996232378</v>
      </c>
      <c r="BJ226">
        <v>2.5370165197426604E-7</v>
      </c>
      <c r="BL226">
        <v>49999.999996625644</v>
      </c>
      <c r="BM226">
        <v>2.2999497401885366E-7</v>
      </c>
      <c r="BO226">
        <v>49999.999996261758</v>
      </c>
      <c r="BP226">
        <v>2.5238291161151164E-7</v>
      </c>
      <c r="BR226">
        <v>49999.999996284459</v>
      </c>
      <c r="BS226">
        <v>2.5117050383642922E-7</v>
      </c>
      <c r="BU226">
        <v>49999.999996223785</v>
      </c>
      <c r="BV226">
        <v>2.5312842586702641E-7</v>
      </c>
      <c r="BX226">
        <v>49999.99999987999</v>
      </c>
      <c r="BY226">
        <v>8.4759313676726748E-12</v>
      </c>
    </row>
    <row r="227" spans="13:77" x14ac:dyDescent="0.35">
      <c r="M227">
        <v>22000.0016009592</v>
      </c>
      <c r="N227">
        <v>7636.3627950722903</v>
      </c>
      <c r="P227">
        <v>22000.000111812642</v>
      </c>
      <c r="Q227">
        <v>7636.3632882628672</v>
      </c>
      <c r="S227">
        <v>22000.002440724304</v>
      </c>
      <c r="T227">
        <v>7636.3619778341963</v>
      </c>
      <c r="V227">
        <v>21999.999891655283</v>
      </c>
      <c r="W227">
        <v>7636.3633584969466</v>
      </c>
      <c r="Y227">
        <v>21999.999698932883</v>
      </c>
      <c r="Z227">
        <v>7636.3635013433613</v>
      </c>
      <c r="AB227">
        <v>21999.999854775906</v>
      </c>
      <c r="AC227">
        <v>7636.3633850814722</v>
      </c>
      <c r="AE227">
        <v>21999.999836001127</v>
      </c>
      <c r="AF227">
        <v>7636.3633987065195</v>
      </c>
      <c r="AH227">
        <v>21999.999951219987</v>
      </c>
      <c r="AI227">
        <v>7636.3633159527717</v>
      </c>
      <c r="AK227">
        <v>21999.973202640322</v>
      </c>
      <c r="AL227">
        <v>7636.3728536768604</v>
      </c>
      <c r="AZ227">
        <v>49999.999999425891</v>
      </c>
      <c r="BA227">
        <v>3.1880297151955895E-8</v>
      </c>
      <c r="BC227">
        <v>49999.999997177634</v>
      </c>
      <c r="BD227">
        <v>1.8785346259154522E-7</v>
      </c>
      <c r="BF227">
        <v>49999.999999727843</v>
      </c>
      <c r="BG227">
        <v>1.0861940567475985E-8</v>
      </c>
      <c r="BI227">
        <v>49999.999996625498</v>
      </c>
      <c r="BJ227">
        <v>2.2709828380684436E-7</v>
      </c>
      <c r="BL227">
        <v>49999.999996977291</v>
      </c>
      <c r="BM227">
        <v>2.0587750800002464E-7</v>
      </c>
      <c r="BO227">
        <v>49999.999996651713</v>
      </c>
      <c r="BP227">
        <v>2.2591782766541969E-7</v>
      </c>
      <c r="BR227">
        <v>49999.999996671992</v>
      </c>
      <c r="BS227">
        <v>2.2483255398726945E-7</v>
      </c>
      <c r="BU227">
        <v>49999.999996617989</v>
      </c>
      <c r="BV227">
        <v>2.265851666703337E-7</v>
      </c>
      <c r="BX227">
        <v>49999.999999893807</v>
      </c>
      <c r="BY227">
        <v>7.5871380903828594E-12</v>
      </c>
    </row>
    <row r="228" spans="13:77" x14ac:dyDescent="0.35">
      <c r="M228">
        <v>22000.001548654462</v>
      </c>
      <c r="N228">
        <v>7636.3629340094158</v>
      </c>
      <c r="P228">
        <v>22000.000175859448</v>
      </c>
      <c r="Q228">
        <v>7636.3633010325266</v>
      </c>
      <c r="S228">
        <v>22000.002448946903</v>
      </c>
      <c r="T228">
        <v>7636.3621936330846</v>
      </c>
      <c r="V228">
        <v>21999.999973530677</v>
      </c>
      <c r="W228">
        <v>7636.3633526422418</v>
      </c>
      <c r="Y228">
        <v>21999.999777377729</v>
      </c>
      <c r="Z228">
        <v>7636.3634783229591</v>
      </c>
      <c r="AB228">
        <v>21999.99993617045</v>
      </c>
      <c r="AC228">
        <v>7636.3633759498916</v>
      </c>
      <c r="AE228">
        <v>21999.999917129528</v>
      </c>
      <c r="AF228">
        <v>7636.3633879057597</v>
      </c>
      <c r="AH228">
        <v>22000.000033780045</v>
      </c>
      <c r="AI228">
        <v>7636.3633153864557</v>
      </c>
      <c r="AK228">
        <v>21999.975216313498</v>
      </c>
      <c r="AL228">
        <v>7636.3705796493659</v>
      </c>
      <c r="AZ228">
        <v>49999.999999486878</v>
      </c>
      <c r="BA228">
        <v>2.8537302434572414E-8</v>
      </c>
      <c r="BC228">
        <v>49999.999997472478</v>
      </c>
      <c r="BD228">
        <v>1.6815499083221572E-7</v>
      </c>
      <c r="BF228">
        <v>49999.999999757434</v>
      </c>
      <c r="BG228">
        <v>9.722948362848477E-9</v>
      </c>
      <c r="BI228">
        <v>49999.999996977625</v>
      </c>
      <c r="BJ228">
        <v>2.0328456715494499E-7</v>
      </c>
      <c r="BL228">
        <v>49999.999997292311</v>
      </c>
      <c r="BM228">
        <v>1.8428901971082428E-7</v>
      </c>
      <c r="BO228">
        <v>49999.99999700101</v>
      </c>
      <c r="BP228">
        <v>2.0222789463532825E-7</v>
      </c>
      <c r="BR228">
        <v>49999.999997019127</v>
      </c>
      <c r="BS228">
        <v>2.0125642366599264E-7</v>
      </c>
      <c r="BU228">
        <v>49999.999996971063</v>
      </c>
      <c r="BV228">
        <v>2.0282525591204174E-7</v>
      </c>
      <c r="BX228">
        <v>49999.999999906031</v>
      </c>
      <c r="BY228">
        <v>6.791544422137916E-12</v>
      </c>
    </row>
    <row r="229" spans="13:77" x14ac:dyDescent="0.35">
      <c r="M229">
        <v>22000.001471981515</v>
      </c>
      <c r="N229">
        <v>7636.363067226308</v>
      </c>
      <c r="P229">
        <v>22000.000226951241</v>
      </c>
      <c r="Q229">
        <v>7636.3633188684353</v>
      </c>
      <c r="S229">
        <v>22000.002405397918</v>
      </c>
      <c r="T229">
        <v>7636.3624078129824</v>
      </c>
      <c r="V229">
        <v>22000.000044034172</v>
      </c>
      <c r="W229">
        <v>7636.3633534990968</v>
      </c>
      <c r="Y229">
        <v>21999.999849000924</v>
      </c>
      <c r="Z229">
        <v>7636.3634619174081</v>
      </c>
      <c r="AB229">
        <v>22000.00000703464</v>
      </c>
      <c r="AC229">
        <v>7636.3633735255435</v>
      </c>
      <c r="AE229">
        <v>21999.999988159539</v>
      </c>
      <c r="AF229">
        <v>7636.363383808306</v>
      </c>
      <c r="AH229">
        <v>22000.000103624294</v>
      </c>
      <c r="AI229">
        <v>7636.3633215312648</v>
      </c>
      <c r="AK229">
        <v>21999.977448680042</v>
      </c>
      <c r="AL229">
        <v>7636.3684932609212</v>
      </c>
      <c r="AZ229">
        <v>49999.999999541382</v>
      </c>
      <c r="BA229">
        <v>2.5544856949128494E-8</v>
      </c>
      <c r="BC229">
        <v>49999.99999773653</v>
      </c>
      <c r="BD229">
        <v>1.5052211735533702E-7</v>
      </c>
      <c r="BF229">
        <v>49999.999999783802</v>
      </c>
      <c r="BG229">
        <v>8.7033918367862036E-9</v>
      </c>
      <c r="BI229">
        <v>49999.999997293024</v>
      </c>
      <c r="BJ229">
        <v>1.8196797681910754E-7</v>
      </c>
      <c r="BL229">
        <v>49999.999997574523</v>
      </c>
      <c r="BM229">
        <v>1.6496431842379304E-7</v>
      </c>
      <c r="BO229">
        <v>49999.999997313884</v>
      </c>
      <c r="BP229">
        <v>1.8102210786681504E-7</v>
      </c>
      <c r="BR229">
        <v>49999.999997330073</v>
      </c>
      <c r="BS229">
        <v>1.8015250615872518E-7</v>
      </c>
      <c r="BU229">
        <v>49999.99999728729</v>
      </c>
      <c r="BV229">
        <v>1.8155682933864738E-7</v>
      </c>
      <c r="BX229">
        <v>49999.99999991685</v>
      </c>
      <c r="BY229">
        <v>6.0793773737083793E-12</v>
      </c>
    </row>
    <row r="230" spans="13:77" x14ac:dyDescent="0.35">
      <c r="M230">
        <v>22000.001376071035</v>
      </c>
      <c r="N230">
        <v>7636.363192804517</v>
      </c>
      <c r="P230">
        <v>22000.000265918741</v>
      </c>
      <c r="Q230">
        <v>7636.3633406647641</v>
      </c>
      <c r="S230">
        <v>22000.002318513049</v>
      </c>
      <c r="T230">
        <v>7636.3626161864104</v>
      </c>
      <c r="V230">
        <v>22000.000103365157</v>
      </c>
      <c r="W230">
        <v>7636.3633600728199</v>
      </c>
      <c r="Y230">
        <v>21999.999913316362</v>
      </c>
      <c r="Z230">
        <v>7636.3634515025897</v>
      </c>
      <c r="AB230">
        <v>22000.000067437912</v>
      </c>
      <c r="AC230">
        <v>7636.3633768821283</v>
      </c>
      <c r="AE230">
        <v>22000.000049094298</v>
      </c>
      <c r="AF230">
        <v>7636.3633855229828</v>
      </c>
      <c r="AH230">
        <v>22000.000161161366</v>
      </c>
      <c r="AI230">
        <v>7636.3633332833651</v>
      </c>
      <c r="AK230">
        <v>21999.979821803001</v>
      </c>
      <c r="AL230">
        <v>7636.3666102841999</v>
      </c>
      <c r="AZ230">
        <v>49999.999999590087</v>
      </c>
      <c r="BA230">
        <v>2.2866201808935509E-8</v>
      </c>
      <c r="BC230">
        <v>49999.999997973013</v>
      </c>
      <c r="BD230">
        <v>1.3473824179123656E-7</v>
      </c>
      <c r="BF230">
        <v>49999.999999807296</v>
      </c>
      <c r="BG230">
        <v>7.7907468637889333E-9</v>
      </c>
      <c r="BI230">
        <v>49999.999997575527</v>
      </c>
      <c r="BJ230">
        <v>1.6288666203783388E-7</v>
      </c>
      <c r="BL230">
        <v>49999.999997827341</v>
      </c>
      <c r="BM230">
        <v>1.476660215337528E-7</v>
      </c>
      <c r="BO230">
        <v>49999.999997594139</v>
      </c>
      <c r="BP230">
        <v>1.6203997769779083E-7</v>
      </c>
      <c r="BR230">
        <v>49999.999997608604</v>
      </c>
      <c r="BS230">
        <v>1.6126156315470692E-7</v>
      </c>
      <c r="BU230">
        <v>49999.999997570521</v>
      </c>
      <c r="BV230">
        <v>1.6251862782726195E-7</v>
      </c>
      <c r="BX230">
        <v>49999.999999926426</v>
      </c>
      <c r="BY230">
        <v>5.4418887597181387E-12</v>
      </c>
    </row>
    <row r="231" spans="13:77" x14ac:dyDescent="0.35">
      <c r="M231">
        <v>22000.001265704119</v>
      </c>
      <c r="N231">
        <v>7636.3633092626105</v>
      </c>
      <c r="P231">
        <v>22000.000293722132</v>
      </c>
      <c r="Q231">
        <v>7636.3633653948691</v>
      </c>
      <c r="S231">
        <v>22000.002196394973</v>
      </c>
      <c r="T231">
        <v>7636.3628152953706</v>
      </c>
      <c r="V231">
        <v>22000.000151924727</v>
      </c>
      <c r="W231">
        <v>7636.3633713954541</v>
      </c>
      <c r="Y231">
        <v>21999.999970059609</v>
      </c>
      <c r="Z231">
        <v>7636.3634464215211</v>
      </c>
      <c r="AB231">
        <v>22000.000117655629</v>
      </c>
      <c r="AC231">
        <v>7636.3633851088016</v>
      </c>
      <c r="AE231">
        <v>22000.00010014496</v>
      </c>
      <c r="AF231">
        <v>7636.3633921683113</v>
      </c>
      <c r="AH231">
        <v>22000.00020699458</v>
      </c>
      <c r="AI231">
        <v>7636.3633495838094</v>
      </c>
      <c r="AK231">
        <v>21999.982266183844</v>
      </c>
      <c r="AL231">
        <v>7636.3649399950755</v>
      </c>
      <c r="AZ231">
        <v>49999.999999633619</v>
      </c>
      <c r="BA231">
        <v>2.0468432695016153E-8</v>
      </c>
      <c r="BC231">
        <v>49999.999998184794</v>
      </c>
      <c r="BD231">
        <v>1.2060947666681668E-7</v>
      </c>
      <c r="BF231">
        <v>49999.999999828236</v>
      </c>
      <c r="BG231">
        <v>6.9738026086682929E-9</v>
      </c>
      <c r="BI231">
        <v>49999.999997828563</v>
      </c>
      <c r="BJ231">
        <v>1.4580622994027305E-7</v>
      </c>
      <c r="BL231">
        <v>49999.99999805382</v>
      </c>
      <c r="BM231">
        <v>1.3218163857476069E-7</v>
      </c>
      <c r="BO231">
        <v>49999.999997845167</v>
      </c>
      <c r="BP231">
        <v>1.4504832963078686E-7</v>
      </c>
      <c r="BR231">
        <v>49999.999997858089</v>
      </c>
      <c r="BS231">
        <v>1.4435154029004739E-7</v>
      </c>
      <c r="BU231">
        <v>49999.99999782419</v>
      </c>
      <c r="BV231">
        <v>1.4547678810592279E-7</v>
      </c>
      <c r="BX231">
        <v>49999.999999934895</v>
      </c>
      <c r="BY231">
        <v>4.8712477368522273E-12</v>
      </c>
    </row>
    <row r="232" spans="13:77" x14ac:dyDescent="0.35">
      <c r="M232">
        <v>22000.001145264428</v>
      </c>
      <c r="N232">
        <v>7636.3634155231521</v>
      </c>
      <c r="P232">
        <v>22000.000311412379</v>
      </c>
      <c r="Q232">
        <v>7636.3633921209675</v>
      </c>
      <c r="S232">
        <v>22000.002046694492</v>
      </c>
      <c r="T232">
        <v>7636.36300237657</v>
      </c>
      <c r="V232">
        <v>22000.000190278035</v>
      </c>
      <c r="W232">
        <v>7636.3633865418742</v>
      </c>
      <c r="Y232">
        <v>22000.000019161107</v>
      </c>
      <c r="Z232">
        <v>7636.3634460027042</v>
      </c>
      <c r="AB232">
        <v>22000.000158133422</v>
      </c>
      <c r="AC232">
        <v>7636.3633973267351</v>
      </c>
      <c r="AE232">
        <v>22000.000141696066</v>
      </c>
      <c r="AF232">
        <v>7636.3634028893048</v>
      </c>
      <c r="AH232">
        <v>22000.000241881127</v>
      </c>
      <c r="AI232">
        <v>7636.3633694338687</v>
      </c>
      <c r="AK232">
        <v>21999.984720969318</v>
      </c>
      <c r="AL232">
        <v>7636.363485926805</v>
      </c>
      <c r="AZ232">
        <v>49999.999999672524</v>
      </c>
      <c r="BA232">
        <v>1.8322095662898904E-8</v>
      </c>
      <c r="BC232">
        <v>49999.999998374456</v>
      </c>
      <c r="BD232">
        <v>1.0796226571215377E-7</v>
      </c>
      <c r="BF232">
        <v>49999.999999846892</v>
      </c>
      <c r="BG232">
        <v>6.2425238138233705E-9</v>
      </c>
      <c r="BI232">
        <v>49999.999998055202</v>
      </c>
      <c r="BJ232">
        <v>1.3051686628875826E-7</v>
      </c>
      <c r="BL232">
        <v>49999.99999825671</v>
      </c>
      <c r="BM232">
        <v>1.1832096100949325E-7</v>
      </c>
      <c r="BO232">
        <v>49999.999998070016</v>
      </c>
      <c r="BP232">
        <v>1.2983844004186287E-7</v>
      </c>
      <c r="BR232">
        <v>49999.999998081563</v>
      </c>
      <c r="BS232">
        <v>1.2921471661623726E-7</v>
      </c>
      <c r="BU232">
        <v>49999.999998051389</v>
      </c>
      <c r="BV232">
        <v>1.3022197000166745E-7</v>
      </c>
      <c r="BX232">
        <v>49999.999999942389</v>
      </c>
      <c r="BY232">
        <v>4.3604446105983378E-12</v>
      </c>
    </row>
    <row r="233" spans="13:77" x14ac:dyDescent="0.35">
      <c r="M233">
        <v>22000.00101870552</v>
      </c>
      <c r="N233">
        <v>7636.3635108761418</v>
      </c>
      <c r="P233">
        <v>22000.000320096315</v>
      </c>
      <c r="Q233">
        <v>7636.3634200005681</v>
      </c>
      <c r="S233">
        <v>22000.001876518301</v>
      </c>
      <c r="T233">
        <v>7636.3631753173549</v>
      </c>
      <c r="V233">
        <v>22000.000219118741</v>
      </c>
      <c r="W233">
        <v>7636.3634046426578</v>
      </c>
      <c r="Y233">
        <v>22000.000060719234</v>
      </c>
      <c r="Z233">
        <v>7636.3634495761089</v>
      </c>
      <c r="AB233">
        <v>22000.000189453189</v>
      </c>
      <c r="AC233">
        <v>7636.3634127026044</v>
      </c>
      <c r="AE233">
        <v>22000.000174272365</v>
      </c>
      <c r="AF233">
        <v>7636.363416871267</v>
      </c>
      <c r="AH233">
        <v>22000.000266694038</v>
      </c>
      <c r="AI233">
        <v>7636.3633919068934</v>
      </c>
      <c r="AK233">
        <v>21999.987133949664</v>
      </c>
      <c r="AL233">
        <v>7636.3622466330153</v>
      </c>
      <c r="AZ233">
        <v>49999.999999707288</v>
      </c>
      <c r="BA233">
        <v>1.6400825333451278E-8</v>
      </c>
      <c r="BC233">
        <v>49999.999998544306</v>
      </c>
      <c r="BD233">
        <v>9.6641251913466835E-8</v>
      </c>
      <c r="BF233">
        <v>49999.999999863518</v>
      </c>
      <c r="BG233">
        <v>5.5879275271881878E-9</v>
      </c>
      <c r="BI233">
        <v>49999.999998258201</v>
      </c>
      <c r="BJ233">
        <v>1.168307581426988E-7</v>
      </c>
      <c r="BL233">
        <v>49999.999998438463</v>
      </c>
      <c r="BM233">
        <v>1.0591372572750735E-7</v>
      </c>
      <c r="BO233">
        <v>49999.999998271414</v>
      </c>
      <c r="BP233">
        <v>1.1622347224148376E-7</v>
      </c>
      <c r="BR233">
        <v>49999.999998281732</v>
      </c>
      <c r="BS233">
        <v>1.1566515297778498E-7</v>
      </c>
      <c r="BU233">
        <v>49999.999998254869</v>
      </c>
      <c r="BV233">
        <v>1.165667849277868E-7</v>
      </c>
      <c r="BX233">
        <v>49999.999999949025</v>
      </c>
      <c r="BY233">
        <v>3.9032047288941564E-12</v>
      </c>
    </row>
    <row r="234" spans="13:77" x14ac:dyDescent="0.35">
      <c r="M234">
        <v>22000.000889531802</v>
      </c>
      <c r="N234">
        <v>7636.3635949401933</v>
      </c>
      <c r="P234">
        <v>22000.000320905641</v>
      </c>
      <c r="Q234">
        <v>7636.3634482899979</v>
      </c>
      <c r="S234">
        <v>22000.001692361442</v>
      </c>
      <c r="T234">
        <v>7636.3633326046329</v>
      </c>
      <c r="V234">
        <v>22000.000239235982</v>
      </c>
      <c r="W234">
        <v>7636.3634248939297</v>
      </c>
      <c r="Y234">
        <v>22000.000094973831</v>
      </c>
      <c r="Z234">
        <v>7636.3634564867943</v>
      </c>
      <c r="AB234">
        <v>22000.000212301256</v>
      </c>
      <c r="AC234">
        <v>7636.3634304591751</v>
      </c>
      <c r="AE234">
        <v>22000.000198507561</v>
      </c>
      <c r="AF234">
        <v>7636.3634333507507</v>
      </c>
      <c r="AH234">
        <v>22000.0002823873</v>
      </c>
      <c r="AI234">
        <v>7636.363416156958</v>
      </c>
      <c r="AK234">
        <v>21999.989461378613</v>
      </c>
      <c r="AL234">
        <v>7636.3612164424594</v>
      </c>
      <c r="AZ234">
        <v>49999.999999738364</v>
      </c>
      <c r="BA234">
        <v>1.4681021023326006E-8</v>
      </c>
      <c r="BC234">
        <v>49999.999998696418</v>
      </c>
      <c r="BD234">
        <v>8.6507369123841719E-8</v>
      </c>
      <c r="BF234">
        <v>49999.999999878339</v>
      </c>
      <c r="BG234">
        <v>5.0019727565900738E-9</v>
      </c>
      <c r="BI234">
        <v>49999.99999844002</v>
      </c>
      <c r="BJ234">
        <v>1.0457978678410001E-7</v>
      </c>
      <c r="BL234">
        <v>49999.999998601277</v>
      </c>
      <c r="BM234">
        <v>9.4807523551034823E-8</v>
      </c>
      <c r="BO234">
        <v>49999.999998451807</v>
      </c>
      <c r="BP234">
        <v>1.0403618139220535E-7</v>
      </c>
      <c r="BR234">
        <v>49999.999998461026</v>
      </c>
      <c r="BS234">
        <v>1.0353640795511668E-7</v>
      </c>
      <c r="BU234">
        <v>49999.99999843711</v>
      </c>
      <c r="BV234">
        <v>1.043434940220636E-7</v>
      </c>
      <c r="BX234">
        <v>49999.999999954896</v>
      </c>
      <c r="BY234">
        <v>3.493911404959117E-12</v>
      </c>
    </row>
    <row r="235" spans="13:77" x14ac:dyDescent="0.35">
      <c r="M235">
        <v>22000.000760791554</v>
      </c>
      <c r="N235">
        <v>7636.3636676225706</v>
      </c>
      <c r="P235">
        <v>22000.000314969944</v>
      </c>
      <c r="Q235">
        <v>7636.3634763453774</v>
      </c>
      <c r="S235">
        <v>22000.001500062201</v>
      </c>
      <c r="T235">
        <v>7636.3634732688406</v>
      </c>
      <c r="V235">
        <v>22000.000251484173</v>
      </c>
      <c r="W235">
        <v>7636.3634465644254</v>
      </c>
      <c r="Y235">
        <v>22000.000122280653</v>
      </c>
      <c r="Z235">
        <v>7636.3634661062388</v>
      </c>
      <c r="AB235">
        <v>22000.000227438992</v>
      </c>
      <c r="AC235">
        <v>7636.3634498831898</v>
      </c>
      <c r="AE235">
        <v>22000.000215115364</v>
      </c>
      <c r="AF235">
        <v>7636.3634516238671</v>
      </c>
      <c r="AH235">
        <v>22000.000289964362</v>
      </c>
      <c r="AI235">
        <v>7636.3634414245771</v>
      </c>
      <c r="AK235">
        <v>21999.991667644768</v>
      </c>
      <c r="AL235">
        <v>7636.3603861911515</v>
      </c>
      <c r="AZ235">
        <v>49999.999999766136</v>
      </c>
      <c r="BA235">
        <v>1.3141556836640479E-8</v>
      </c>
      <c r="BC235">
        <v>49999.999998832638</v>
      </c>
      <c r="BD235">
        <v>7.7436133789256776E-8</v>
      </c>
      <c r="BF235">
        <v>49999.999999891545</v>
      </c>
      <c r="BG235">
        <v>4.4774616950446282E-9</v>
      </c>
      <c r="BI235">
        <v>49999.999998602863</v>
      </c>
      <c r="BJ235">
        <v>9.3613462564850182E-8</v>
      </c>
      <c r="BL235">
        <v>49999.999998747124</v>
      </c>
      <c r="BM235">
        <v>8.4865927056615444E-8</v>
      </c>
      <c r="BO235">
        <v>49999.999998613384</v>
      </c>
      <c r="BP235">
        <v>9.3126860090618251E-8</v>
      </c>
      <c r="BR235">
        <v>49999.999998621621</v>
      </c>
      <c r="BS235">
        <v>9.2679493315620987E-8</v>
      </c>
      <c r="BU235">
        <v>49999.999998600331</v>
      </c>
      <c r="BV235">
        <v>9.3401947660167855E-8</v>
      </c>
      <c r="BX235">
        <v>49999.999999960091</v>
      </c>
      <c r="BY235">
        <v>3.1275369225027046E-12</v>
      </c>
    </row>
    <row r="236" spans="13:77" x14ac:dyDescent="0.35">
      <c r="M236">
        <v>22000.000635080367</v>
      </c>
      <c r="N236">
        <v>7636.3637290790894</v>
      </c>
      <c r="P236">
        <v>22000.000303393674</v>
      </c>
      <c r="Q236">
        <v>7636.3635036213891</v>
      </c>
      <c r="S236">
        <v>22000.001304777139</v>
      </c>
      <c r="T236">
        <v>7636.3635968248445</v>
      </c>
      <c r="V236">
        <v>22000.000256755855</v>
      </c>
      <c r="W236">
        <v>7636.363469000019</v>
      </c>
      <c r="Y236">
        <v>22000.000143087156</v>
      </c>
      <c r="Z236">
        <v>7636.3634778414735</v>
      </c>
      <c r="AB236">
        <v>22000.000235676165</v>
      </c>
      <c r="AC236">
        <v>7636.3634703307835</v>
      </c>
      <c r="AE236">
        <v>22000.00022486311</v>
      </c>
      <c r="AF236">
        <v>7636.3634710521501</v>
      </c>
      <c r="AH236">
        <v>22000.000290450214</v>
      </c>
      <c r="AI236">
        <v>7636.3634670398096</v>
      </c>
      <c r="AK236">
        <v>21999.99372482286</v>
      </c>
      <c r="AL236">
        <v>7636.3597439200521</v>
      </c>
      <c r="AZ236">
        <v>49999.999999790954</v>
      </c>
      <c r="BA236">
        <v>1.1763522156685999E-8</v>
      </c>
      <c r="BC236">
        <v>49999.999998954634</v>
      </c>
      <c r="BD236">
        <v>6.9316115805651567E-8</v>
      </c>
      <c r="BF236">
        <v>49999.999999903317</v>
      </c>
      <c r="BG236">
        <v>4.0079513036491697E-9</v>
      </c>
      <c r="BI236">
        <v>49999.999998748717</v>
      </c>
      <c r="BJ236">
        <v>8.3797076307654559E-8</v>
      </c>
      <c r="BL236">
        <v>49999.999998877771</v>
      </c>
      <c r="BM236">
        <v>7.5966814714925051E-8</v>
      </c>
      <c r="BO236">
        <v>49999.999998758103</v>
      </c>
      <c r="BP236">
        <v>8.3361499377293923E-8</v>
      </c>
      <c r="BR236">
        <v>49999.999998765466</v>
      </c>
      <c r="BS236">
        <v>8.2961043857813819E-8</v>
      </c>
      <c r="BU236">
        <v>49999.999998746513</v>
      </c>
      <c r="BV236">
        <v>8.3607741033407446E-8</v>
      </c>
      <c r="BX236">
        <v>49999.999999964683</v>
      </c>
      <c r="BY236">
        <v>2.7995807757845296E-12</v>
      </c>
    </row>
    <row r="237" spans="13:77" x14ac:dyDescent="0.35">
      <c r="M237">
        <v>22000.000514553438</v>
      </c>
      <c r="N237">
        <v>7636.3637796747134</v>
      </c>
      <c r="P237">
        <v>22000.000287236991</v>
      </c>
      <c r="Q237">
        <v>7636.3635296681923</v>
      </c>
      <c r="S237">
        <v>22000.001110973844</v>
      </c>
      <c r="T237">
        <v>7636.3637032114448</v>
      </c>
      <c r="V237">
        <v>22000.00025595773</v>
      </c>
      <c r="W237">
        <v>7636.3634916260053</v>
      </c>
      <c r="Y237">
        <v>22000.000157909897</v>
      </c>
      <c r="Z237">
        <v>7636.3634911421532</v>
      </c>
      <c r="AB237">
        <v>22000.000237847176</v>
      </c>
      <c r="AC237">
        <v>7636.3634912306788</v>
      </c>
      <c r="AE237">
        <v>22000.000228548106</v>
      </c>
      <c r="AF237">
        <v>7636.3634910662176</v>
      </c>
      <c r="AH237">
        <v>22000.000284867088</v>
      </c>
      <c r="AI237">
        <v>7636.3634924230591</v>
      </c>
      <c r="AK237">
        <v>21999.99561213157</v>
      </c>
      <c r="AL237">
        <v>7636.3592755289164</v>
      </c>
      <c r="AZ237">
        <v>49999.999999813139</v>
      </c>
      <c r="BA237">
        <v>1.0529989349894243E-8</v>
      </c>
      <c r="BC237">
        <v>49999.999999063883</v>
      </c>
      <c r="BD237">
        <v>6.2047569723207026E-8</v>
      </c>
      <c r="BF237">
        <v>49999.999999913809</v>
      </c>
      <c r="BG237">
        <v>3.5876741659681824E-9</v>
      </c>
      <c r="BI237">
        <v>49999.99999887935</v>
      </c>
      <c r="BJ237">
        <v>7.5010044552619325E-8</v>
      </c>
      <c r="BL237">
        <v>49999.999998994805</v>
      </c>
      <c r="BM237">
        <v>6.8000870762708163E-8</v>
      </c>
      <c r="BO237">
        <v>49999.999998887732</v>
      </c>
      <c r="BP237">
        <v>7.462014258477155E-8</v>
      </c>
      <c r="BR237">
        <v>49999.999998894309</v>
      </c>
      <c r="BS237">
        <v>7.4261679167180382E-8</v>
      </c>
      <c r="BU237">
        <v>49999.999998877436</v>
      </c>
      <c r="BV237">
        <v>7.4840563134144017E-8</v>
      </c>
      <c r="BX237">
        <v>49999.99999996875</v>
      </c>
      <c r="BY237">
        <v>2.5060143858735382E-12</v>
      </c>
    </row>
    <row r="238" spans="13:77" x14ac:dyDescent="0.35">
      <c r="M238">
        <v>22000.00040094517</v>
      </c>
      <c r="N238">
        <v>7636.3638199455736</v>
      </c>
      <c r="P238">
        <v>22000.000267500327</v>
      </c>
      <c r="Q238">
        <v>7636.3635541268141</v>
      </c>
      <c r="S238">
        <v>22000.000922438965</v>
      </c>
      <c r="T238">
        <v>7636.3637927309237</v>
      </c>
      <c r="V238">
        <v>22000.000249989855</v>
      </c>
      <c r="W238">
        <v>7636.3635139474072</v>
      </c>
      <c r="Y238">
        <v>22000.000167313814</v>
      </c>
      <c r="Z238">
        <v>7636.3635055057175</v>
      </c>
      <c r="AB238">
        <v>22000.000234790234</v>
      </c>
      <c r="AC238">
        <v>7636.3635120854196</v>
      </c>
      <c r="AE238">
        <v>22000.000226976801</v>
      </c>
      <c r="AF238">
        <v>7636.3635111674757</v>
      </c>
      <c r="AH238">
        <v>22000.000274213737</v>
      </c>
      <c r="AI238">
        <v>7636.3635170838916</v>
      </c>
      <c r="AK238">
        <v>21999.997315322769</v>
      </c>
      <c r="AL238">
        <v>7636.3589653791769</v>
      </c>
      <c r="AZ238">
        <v>49999.999999832966</v>
      </c>
      <c r="BA238">
        <v>9.425805828560762E-9</v>
      </c>
      <c r="BC238">
        <v>49999.999999161715</v>
      </c>
      <c r="BD238">
        <v>5.5541209483693788E-8</v>
      </c>
      <c r="BF238">
        <v>49999.999999923159</v>
      </c>
      <c r="BG238">
        <v>3.2114676416943394E-9</v>
      </c>
      <c r="BI238">
        <v>49999.999998996354</v>
      </c>
      <c r="BJ238">
        <v>6.7144428322667884E-8</v>
      </c>
      <c r="BL238">
        <v>49999.999999099637</v>
      </c>
      <c r="BM238">
        <v>6.0870242379399007E-8</v>
      </c>
      <c r="BO238">
        <v>49999.999999003834</v>
      </c>
      <c r="BP238">
        <v>6.6795411802426861E-8</v>
      </c>
      <c r="BR238">
        <v>49999.999999009713</v>
      </c>
      <c r="BS238">
        <v>6.6474537159674796E-8</v>
      </c>
      <c r="BU238">
        <v>49999.999998994688</v>
      </c>
      <c r="BV238">
        <v>6.699271886798426E-8</v>
      </c>
      <c r="BX238">
        <v>49999.999999972344</v>
      </c>
      <c r="BY238">
        <v>2.2432316140066837E-12</v>
      </c>
    </row>
    <row r="239" spans="13:77" x14ac:dyDescent="0.35">
      <c r="M239">
        <v>22000.000295594611</v>
      </c>
      <c r="N239">
        <v>7636.3638505629806</v>
      </c>
      <c r="P239">
        <v>22000.000245112406</v>
      </c>
      <c r="Q239">
        <v>7636.3635767233354</v>
      </c>
      <c r="S239">
        <v>22000.000742299126</v>
      </c>
      <c r="T239">
        <v>7636.3638659898952</v>
      </c>
      <c r="V239">
        <v>22000.000239728033</v>
      </c>
      <c r="W239">
        <v>7636.3635355475899</v>
      </c>
      <c r="Y239">
        <v>22000.000171893516</v>
      </c>
      <c r="Z239">
        <v>7636.3635204808124</v>
      </c>
      <c r="AB239">
        <v>22000.000227329496</v>
      </c>
      <c r="AC239">
        <v>7636.3635324708948</v>
      </c>
      <c r="AE239">
        <v>22000.000220946797</v>
      </c>
      <c r="AF239">
        <v>7636.3635309281099</v>
      </c>
      <c r="AH239">
        <v>22000.000259448236</v>
      </c>
      <c r="AI239">
        <v>7636.3635406181829</v>
      </c>
      <c r="AK239">
        <v>21999.998826024719</v>
      </c>
      <c r="AL239">
        <v>7636.3587968408356</v>
      </c>
      <c r="AZ239">
        <v>49999.99999985069</v>
      </c>
      <c r="BA239">
        <v>8.4374079180458391E-9</v>
      </c>
      <c r="BC239">
        <v>49999.999999249332</v>
      </c>
      <c r="BD239">
        <v>4.9717111639890696E-8</v>
      </c>
      <c r="BF239">
        <v>49999.99999993149</v>
      </c>
      <c r="BG239">
        <v>2.8747104493160925E-9</v>
      </c>
      <c r="BI239">
        <v>49999.99999910115</v>
      </c>
      <c r="BJ239">
        <v>6.0103607212459021E-8</v>
      </c>
      <c r="BL239">
        <v>49999.999999193547</v>
      </c>
      <c r="BM239">
        <v>5.4487337673329328E-8</v>
      </c>
      <c r="BO239">
        <v>49999.999999107822</v>
      </c>
      <c r="BP239">
        <v>5.9791188857471824E-8</v>
      </c>
      <c r="BR239">
        <v>49999.999999113075</v>
      </c>
      <c r="BS239">
        <v>5.9503961399079453E-8</v>
      </c>
      <c r="BU239">
        <v>49999.999999099695</v>
      </c>
      <c r="BV239">
        <v>5.996780613852739E-8</v>
      </c>
      <c r="BX239">
        <v>49999.999999975531</v>
      </c>
      <c r="BY239">
        <v>2.0080044641583425E-12</v>
      </c>
    </row>
    <row r="240" spans="13:77" x14ac:dyDescent="0.35">
      <c r="M240">
        <v>22000.000199475347</v>
      </c>
      <c r="N240">
        <v>7636.3638722998821</v>
      </c>
      <c r="P240">
        <v>22000.000220921516</v>
      </c>
      <c r="Q240">
        <v>7636.3635972621669</v>
      </c>
      <c r="S240">
        <v>22000.000573052439</v>
      </c>
      <c r="T240">
        <v>7636.3639238424739</v>
      </c>
      <c r="V240">
        <v>22000.000226009251</v>
      </c>
      <c r="W240">
        <v>7636.3635560854636</v>
      </c>
      <c r="Y240">
        <v>22000.000172256681</v>
      </c>
      <c r="Z240">
        <v>7636.3635356691593</v>
      </c>
      <c r="AB240">
        <v>22000.000216260098</v>
      </c>
      <c r="AC240">
        <v>7636.3635520344233</v>
      </c>
      <c r="AE240">
        <v>22000.000211231676</v>
      </c>
      <c r="AF240">
        <v>7636.3635499896154</v>
      </c>
      <c r="AH240">
        <v>22000.000241474121</v>
      </c>
      <c r="AI240">
        <v>7636.3635627039021</v>
      </c>
      <c r="AK240">
        <v>22000.000141059547</v>
      </c>
      <c r="AL240">
        <v>7636.3587527802192</v>
      </c>
      <c r="AZ240">
        <v>49999.99999986653</v>
      </c>
      <c r="BA240">
        <v>7.5526542420168845E-9</v>
      </c>
      <c r="BC240">
        <v>49999.999999327789</v>
      </c>
      <c r="BD240">
        <v>4.45037335843358E-8</v>
      </c>
      <c r="BF240">
        <v>49999.999999938918</v>
      </c>
      <c r="BG240">
        <v>2.5732658987799666E-9</v>
      </c>
      <c r="BI240">
        <v>49999.999999195003</v>
      </c>
      <c r="BJ240">
        <v>5.380109251345417E-8</v>
      </c>
      <c r="BL240">
        <v>49999.999999277665</v>
      </c>
      <c r="BM240">
        <v>4.8773749712111412E-8</v>
      </c>
      <c r="BO240">
        <v>49999.999999200962</v>
      </c>
      <c r="BP240">
        <v>5.3521434609393956E-8</v>
      </c>
      <c r="BR240">
        <v>49999.999999205655</v>
      </c>
      <c r="BS240">
        <v>5.3264326063367922E-8</v>
      </c>
      <c r="BU240">
        <v>49999.999999193737</v>
      </c>
      <c r="BV240">
        <v>5.3679531654116536E-8</v>
      </c>
      <c r="BX240">
        <v>49999.999999978347</v>
      </c>
      <c r="BY240">
        <v>1.7974434306754837E-12</v>
      </c>
    </row>
    <row r="241" spans="13:77" x14ac:dyDescent="0.35">
      <c r="M241">
        <v>22000.000113228605</v>
      </c>
      <c r="N241">
        <v>7636.3638860001038</v>
      </c>
      <c r="P241">
        <v>22000.000195689696</v>
      </c>
      <c r="Q241">
        <v>7636.3636156186849</v>
      </c>
      <c r="S241">
        <v>22000.000416608411</v>
      </c>
      <c r="T241">
        <v>7636.3639673366079</v>
      </c>
      <c r="V241">
        <v>22000.000209620051</v>
      </c>
      <c r="W241">
        <v>7636.363575291527</v>
      </c>
      <c r="Y241">
        <v>22000.000169009607</v>
      </c>
      <c r="Z241">
        <v>7636.3635507260515</v>
      </c>
      <c r="AB241">
        <v>22000.000202335948</v>
      </c>
      <c r="AC241">
        <v>7636.3635704916369</v>
      </c>
      <c r="AE241">
        <v>22000.000198568508</v>
      </c>
      <c r="AF241">
        <v>7636.3635680601137</v>
      </c>
      <c r="AH241">
        <v>22000.00022112966</v>
      </c>
      <c r="AI241">
        <v>7636.3635830958119</v>
      </c>
      <c r="AK241">
        <v>22000.001261752815</v>
      </c>
      <c r="AL241">
        <v>7636.3588159871342</v>
      </c>
      <c r="AZ241">
        <v>49999.999999880689</v>
      </c>
      <c r="BA241">
        <v>6.760676579054171E-9</v>
      </c>
      <c r="BC241">
        <v>49999.999999398053</v>
      </c>
      <c r="BD241">
        <v>3.9837034727434594E-8</v>
      </c>
      <c r="BF241">
        <v>49999.999999945539</v>
      </c>
      <c r="BG241">
        <v>2.3034310768235355E-9</v>
      </c>
      <c r="BI241">
        <v>49999.999999279062</v>
      </c>
      <c r="BJ241">
        <v>4.815946479568635E-8</v>
      </c>
      <c r="BL241">
        <v>49999.999999353015</v>
      </c>
      <c r="BM241">
        <v>4.365929338009835E-8</v>
      </c>
      <c r="BO241">
        <v>49999.99999928438</v>
      </c>
      <c r="BP241">
        <v>4.7909132054171798E-8</v>
      </c>
      <c r="BR241">
        <v>49999.999999288571</v>
      </c>
      <c r="BS241">
        <v>4.7678984126081424E-8</v>
      </c>
      <c r="BU241">
        <v>49999.999999277963</v>
      </c>
      <c r="BV241">
        <v>4.805065091008819E-8</v>
      </c>
      <c r="BX241">
        <v>49999.999999980842</v>
      </c>
      <c r="BY241">
        <v>1.608962003893093E-12</v>
      </c>
    </row>
    <row r="242" spans="13:77" x14ac:dyDescent="0.35">
      <c r="M242">
        <v>22000.000037198377</v>
      </c>
      <c r="N242">
        <v>7636.3638925506075</v>
      </c>
      <c r="P242">
        <v>22000.000170089548</v>
      </c>
      <c r="Q242">
        <v>7636.3636317314758</v>
      </c>
      <c r="S242">
        <v>22000.000274334187</v>
      </c>
      <c r="T242">
        <v>7636.3639976642207</v>
      </c>
      <c r="V242">
        <v>22000.000191287629</v>
      </c>
      <c r="W242">
        <v>7636.3635929630154</v>
      </c>
      <c r="Y242">
        <v>22000.000162744891</v>
      </c>
      <c r="Z242">
        <v>7636.3635653596757</v>
      </c>
      <c r="AB242">
        <v>22000.000186260171</v>
      </c>
      <c r="AC242">
        <v>7636.3635876224098</v>
      </c>
      <c r="AE242">
        <v>22000.000183647953</v>
      </c>
      <c r="AF242">
        <v>7636.3635849106804</v>
      </c>
      <c r="AH242">
        <v>22000.000199180045</v>
      </c>
      <c r="AI242">
        <v>7636.3636016193532</v>
      </c>
      <c r="AK242">
        <v>22000.002193250573</v>
      </c>
      <c r="AL242">
        <v>7636.3589695414212</v>
      </c>
      <c r="AZ242">
        <v>49999.999999893342</v>
      </c>
      <c r="BA242">
        <v>6.0517463585580664E-9</v>
      </c>
      <c r="BC242">
        <v>49999.999999460975</v>
      </c>
      <c r="BD242">
        <v>3.5659689829569497E-8</v>
      </c>
      <c r="BF242">
        <v>49999.99999995144</v>
      </c>
      <c r="BG242">
        <v>2.06189136077703E-9</v>
      </c>
      <c r="BI242">
        <v>49999.999999354346</v>
      </c>
      <c r="BJ242">
        <v>4.3109422895596702E-8</v>
      </c>
      <c r="BL242">
        <v>49999.999999420506</v>
      </c>
      <c r="BM242">
        <v>3.9081143231779482E-8</v>
      </c>
      <c r="BO242">
        <v>49999.999999359097</v>
      </c>
      <c r="BP242">
        <v>4.2885340255469563E-8</v>
      </c>
      <c r="BR242">
        <v>49999.999999362837</v>
      </c>
      <c r="BS242">
        <v>4.2679325832289077E-8</v>
      </c>
      <c r="BU242">
        <v>49999.999999353393</v>
      </c>
      <c r="BV242">
        <v>4.3012019325372809E-8</v>
      </c>
      <c r="BX242">
        <v>49999.999999983047</v>
      </c>
      <c r="BY242">
        <v>1.4402448977205571E-12</v>
      </c>
    </row>
    <row r="243" spans="13:77" x14ac:dyDescent="0.35">
      <c r="M243">
        <v>21999.999971467601</v>
      </c>
      <c r="N243">
        <v>7636.3638928568926</v>
      </c>
      <c r="P243">
        <v>22000.000144703376</v>
      </c>
      <c r="Q243">
        <v>7636.3636455944024</v>
      </c>
      <c r="S243">
        <v>22000.000147105267</v>
      </c>
      <c r="T243">
        <v>7636.3640161156391</v>
      </c>
      <c r="V243">
        <v>22000.000171673451</v>
      </c>
      <c r="W243">
        <v>7636.3636089583715</v>
      </c>
      <c r="Y243">
        <v>22000.000154031186</v>
      </c>
      <c r="Z243">
        <v>7636.3635793294397</v>
      </c>
      <c r="AB243">
        <v>22000.000168677961</v>
      </c>
      <c r="AC243">
        <v>7636.3636032660543</v>
      </c>
      <c r="AE243">
        <v>22000.000167106751</v>
      </c>
      <c r="AF243">
        <v>7636.3636003709089</v>
      </c>
      <c r="AH243">
        <v>22000.000176312235</v>
      </c>
      <c r="AI243">
        <v>7636.3636181639622</v>
      </c>
      <c r="AK243">
        <v>22000.002943856947</v>
      </c>
      <c r="AL243">
        <v>7636.3591971201595</v>
      </c>
      <c r="AZ243">
        <v>49999.999999904649</v>
      </c>
      <c r="BA243">
        <v>5.4171551560074923E-9</v>
      </c>
      <c r="BC243">
        <v>49999.99999951732</v>
      </c>
      <c r="BD243">
        <v>3.1920384823864724E-8</v>
      </c>
      <c r="BF243">
        <v>49999.999999956701</v>
      </c>
      <c r="BG243">
        <v>1.8456797020858872E-9</v>
      </c>
      <c r="BI243">
        <v>49999.999999421772</v>
      </c>
      <c r="BJ243">
        <v>3.8588932627804734E-8</v>
      </c>
      <c r="BL243">
        <v>49999.999999480962</v>
      </c>
      <c r="BM243">
        <v>3.4983061750592495E-8</v>
      </c>
      <c r="BO243">
        <v>49999.999999426014</v>
      </c>
      <c r="BP243">
        <v>3.8388347481400853E-8</v>
      </c>
      <c r="BR243">
        <v>49999.999999429354</v>
      </c>
      <c r="BS243">
        <v>3.82039359035493E-8</v>
      </c>
      <c r="BU243">
        <v>49999.999999420943</v>
      </c>
      <c r="BV243">
        <v>3.8501742877707968E-8</v>
      </c>
      <c r="BX243">
        <v>49999.999999984997</v>
      </c>
      <c r="BY243">
        <v>1.2892196089100065E-12</v>
      </c>
    </row>
    <row r="244" spans="13:77" x14ac:dyDescent="0.35">
      <c r="M244">
        <v>21999.999915894441</v>
      </c>
      <c r="N244">
        <v>7636.3638878216007</v>
      </c>
      <c r="P244">
        <v>22000.000120024291</v>
      </c>
      <c r="Q244">
        <v>7636.3636572486848</v>
      </c>
      <c r="S244">
        <v>22000.000035359</v>
      </c>
      <c r="T244">
        <v>7636.3640240386194</v>
      </c>
      <c r="V244">
        <v>22000.000151369164</v>
      </c>
      <c r="W244">
        <v>7636.3636231912596</v>
      </c>
      <c r="Y244">
        <v>22000.000143404941</v>
      </c>
      <c r="Z244">
        <v>7636.3635924434839</v>
      </c>
      <c r="AB244">
        <v>22000.000150171712</v>
      </c>
      <c r="AC244">
        <v>7636.3636173159839</v>
      </c>
      <c r="AE244">
        <v>22000.000149522417</v>
      </c>
      <c r="AF244">
        <v>7636.3636143239119</v>
      </c>
      <c r="AH244">
        <v>22000.000153132147</v>
      </c>
      <c r="AI244">
        <v>7636.3636326760388</v>
      </c>
      <c r="AK244">
        <v>22000.003524402931</v>
      </c>
      <c r="AL244">
        <v>7636.3594832478229</v>
      </c>
      <c r="AZ244">
        <v>49999.999999914762</v>
      </c>
      <c r="BA244">
        <v>4.8491077195858846E-9</v>
      </c>
      <c r="BC244">
        <v>49999.999999567779</v>
      </c>
      <c r="BD244">
        <v>2.857318647956703E-8</v>
      </c>
      <c r="BF244">
        <v>49999.999999961394</v>
      </c>
      <c r="BG244">
        <v>1.6521401793973024E-9</v>
      </c>
      <c r="BI244">
        <v>49999.999999482163</v>
      </c>
      <c r="BJ244">
        <v>3.4542464763676893E-8</v>
      </c>
      <c r="BL244">
        <v>49999.999999535117</v>
      </c>
      <c r="BM244">
        <v>3.1314708533164266E-8</v>
      </c>
      <c r="BO244">
        <v>49999.999999485946</v>
      </c>
      <c r="BP244">
        <v>3.4362913144082174E-8</v>
      </c>
      <c r="BR244">
        <v>49999.999999488929</v>
      </c>
      <c r="BS244">
        <v>3.4197839119066347E-8</v>
      </c>
      <c r="BU244">
        <v>49999.999999481443</v>
      </c>
      <c r="BV244">
        <v>3.4464417803955989E-8</v>
      </c>
      <c r="BX244">
        <v>49999.999999986721</v>
      </c>
      <c r="BY244">
        <v>1.1540309586436505E-12</v>
      </c>
    </row>
    <row r="245" spans="13:77" x14ac:dyDescent="0.35">
      <c r="M245">
        <v>21999.999870147931</v>
      </c>
      <c r="N245">
        <v>7636.3638783262868</v>
      </c>
      <c r="P245">
        <v>22000.000096459029</v>
      </c>
      <c r="Q245">
        <v>7636.3636667751534</v>
      </c>
      <c r="S245">
        <v>21999.999939149326</v>
      </c>
      <c r="T245">
        <v>7636.3640228021559</v>
      </c>
      <c r="V245">
        <v>22000.000130894543</v>
      </c>
      <c r="W245">
        <v>7636.3636356243087</v>
      </c>
      <c r="Y245">
        <v>22000.00013136401</v>
      </c>
      <c r="Z245">
        <v>7636.3636045555477</v>
      </c>
      <c r="AB245">
        <v>22000.000131258119</v>
      </c>
      <c r="AC245">
        <v>7636.3636297140411</v>
      </c>
      <c r="AE245">
        <v>22000.000131409946</v>
      </c>
      <c r="AF245">
        <v>7636.3636267009433</v>
      </c>
      <c r="AH245">
        <v>22000.000130163942</v>
      </c>
      <c r="AI245">
        <v>7636.3636451517596</v>
      </c>
      <c r="AK245">
        <v>22000.00394765487</v>
      </c>
      <c r="AL245">
        <v>7636.3598134925151</v>
      </c>
      <c r="AZ245">
        <v>49999.999999923799</v>
      </c>
      <c r="BA245">
        <v>4.340626214124945E-9</v>
      </c>
      <c r="BC245">
        <v>49999.999999612963</v>
      </c>
      <c r="BD245">
        <v>2.5576978163053506E-8</v>
      </c>
      <c r="BF245">
        <v>49999.999999965577</v>
      </c>
      <c r="BG245">
        <v>1.4788953735007137E-9</v>
      </c>
      <c r="BI245">
        <v>49999.999999536245</v>
      </c>
      <c r="BJ245">
        <v>3.0920312916102127E-8</v>
      </c>
      <c r="BL245">
        <v>49999.999999583626</v>
      </c>
      <c r="BM245">
        <v>2.8031021913072084E-8</v>
      </c>
      <c r="BO245">
        <v>49999.999999539621</v>
      </c>
      <c r="BP245">
        <v>3.0759589230041195E-8</v>
      </c>
      <c r="BR245">
        <v>49999.999999542291</v>
      </c>
      <c r="BS245">
        <v>3.0611825005840077E-8</v>
      </c>
      <c r="BU245">
        <v>49999.999999535619</v>
      </c>
      <c r="BV245">
        <v>3.0850450026084478E-8</v>
      </c>
      <c r="BX245">
        <v>49999.999999988249</v>
      </c>
      <c r="BY245">
        <v>1.0330183037116337E-12</v>
      </c>
    </row>
    <row r="246" spans="13:77" x14ac:dyDescent="0.35">
      <c r="M246">
        <v>21999.999833742353</v>
      </c>
      <c r="N246">
        <v>7636.3638652162854</v>
      </c>
      <c r="P246">
        <v>22000.000074332111</v>
      </c>
      <c r="Q246">
        <v>7636.3636742868157</v>
      </c>
      <c r="S246">
        <v>21999.999858201478</v>
      </c>
      <c r="T246">
        <v>7636.3640137651155</v>
      </c>
      <c r="V246">
        <v>22000.000110697216</v>
      </c>
      <c r="W246">
        <v>7636.3636462627574</v>
      </c>
      <c r="Y246">
        <v>22000.00011836299</v>
      </c>
      <c r="Z246">
        <v>7636.3636155613558</v>
      </c>
      <c r="AB246">
        <v>22000.000112387075</v>
      </c>
      <c r="AC246">
        <v>7636.3636404446479</v>
      </c>
      <c r="AE246">
        <v>22000.000113220271</v>
      </c>
      <c r="AF246">
        <v>7636.3636374758098</v>
      </c>
      <c r="AH246">
        <v>22000.000107851109</v>
      </c>
      <c r="AI246">
        <v>7636.3636556299107</v>
      </c>
      <c r="AK246">
        <v>22000.004227769095</v>
      </c>
      <c r="AL246">
        <v>7636.3601746120912</v>
      </c>
      <c r="AZ246">
        <v>49999.999999931875</v>
      </c>
      <c r="BA246">
        <v>3.8854645061088195E-9</v>
      </c>
      <c r="BC246">
        <v>49999.999999653424</v>
      </c>
      <c r="BD246">
        <v>2.2894954765413672E-8</v>
      </c>
      <c r="BF246">
        <v>49999.999999969303</v>
      </c>
      <c r="BG246">
        <v>1.3238171633594119E-9</v>
      </c>
      <c r="BI246">
        <v>49999.999999584681</v>
      </c>
      <c r="BJ246">
        <v>2.7677982951442383E-8</v>
      </c>
      <c r="BL246">
        <v>49999.999999627071</v>
      </c>
      <c r="BM246">
        <v>2.5091665428056295E-8</v>
      </c>
      <c r="BO246">
        <v>49999.999999587693</v>
      </c>
      <c r="BP246">
        <v>2.7534112886001971E-8</v>
      </c>
      <c r="BR246">
        <v>49999.99999959008</v>
      </c>
      <c r="BS246">
        <v>2.7401843342373446E-8</v>
      </c>
      <c r="BU246">
        <v>49999.999999584143</v>
      </c>
      <c r="BV246">
        <v>2.7615445942709791E-8</v>
      </c>
      <c r="BX246">
        <v>49999.999999989603</v>
      </c>
      <c r="BY246">
        <v>9.2469513734490839E-13</v>
      </c>
    </row>
    <row r="247" spans="13:77" x14ac:dyDescent="0.35">
      <c r="M247">
        <v>21999.999806069787</v>
      </c>
      <c r="N247">
        <v>7636.3638492885266</v>
      </c>
      <c r="P247">
        <v>22000.000053891115</v>
      </c>
      <c r="Q247">
        <v>7636.3636799218384</v>
      </c>
      <c r="S247">
        <v>21999.999791965503</v>
      </c>
      <c r="T247">
        <v>7636.3639982496516</v>
      </c>
      <c r="V247">
        <v>22000.000091153921</v>
      </c>
      <c r="W247">
        <v>7636.3636551481432</v>
      </c>
      <c r="Y247">
        <v>22000.000104810137</v>
      </c>
      <c r="Z247">
        <v>7636.3636253946579</v>
      </c>
      <c r="AB247">
        <v>22000.000093942101</v>
      </c>
      <c r="AC247">
        <v>7636.3636495289302</v>
      </c>
      <c r="AE247">
        <v>22000.00009534027</v>
      </c>
      <c r="AF247">
        <v>7636.3636466592206</v>
      </c>
      <c r="AH247">
        <v>22000.000086559041</v>
      </c>
      <c r="AI247">
        <v>7636.3636641848871</v>
      </c>
      <c r="AK247">
        <v>22000.004379797236</v>
      </c>
      <c r="AL247">
        <v>7636.3605546544395</v>
      </c>
      <c r="AZ247">
        <v>49999.999999939093</v>
      </c>
      <c r="BA247">
        <v>3.4780314368246836E-9</v>
      </c>
      <c r="BC247">
        <v>49999.999999689659</v>
      </c>
      <c r="BD247">
        <v>2.0494170592349267E-8</v>
      </c>
      <c r="BF247">
        <v>49999.999999972628</v>
      </c>
      <c r="BG247">
        <v>1.185000584494787E-9</v>
      </c>
      <c r="BI247">
        <v>49999.99999962806</v>
      </c>
      <c r="BJ247">
        <v>2.4775646428258531E-8</v>
      </c>
      <c r="BL247">
        <v>49999.99999966599</v>
      </c>
      <c r="BM247">
        <v>2.2460532331145689E-8</v>
      </c>
      <c r="BO247">
        <v>49999.999999630752</v>
      </c>
      <c r="BP247">
        <v>2.4646862698634573E-8</v>
      </c>
      <c r="BR247">
        <v>49999.999999632884</v>
      </c>
      <c r="BS247">
        <v>2.4528463050368614E-8</v>
      </c>
      <c r="BU247">
        <v>49999.999999627595</v>
      </c>
      <c r="BV247">
        <v>2.4719667102750631E-8</v>
      </c>
      <c r="BX247">
        <v>49999.999999990803</v>
      </c>
      <c r="BY247">
        <v>8.2773082912189382E-13</v>
      </c>
    </row>
    <row r="248" spans="13:77" x14ac:dyDescent="0.35">
      <c r="M248">
        <v>21999.999786430461</v>
      </c>
      <c r="N248">
        <v>7636.3638312821222</v>
      </c>
      <c r="P248">
        <v>22000.000035312762</v>
      </c>
      <c r="Q248">
        <v>7636.3636838370294</v>
      </c>
      <c r="S248">
        <v>21999.999739667688</v>
      </c>
      <c r="T248">
        <v>7636.3639775192414</v>
      </c>
      <c r="V248">
        <v>22000.000072573057</v>
      </c>
      <c r="W248">
        <v>7636.3636623521606</v>
      </c>
      <c r="Y248">
        <v>22000.000091065667</v>
      </c>
      <c r="Z248">
        <v>7636.3636340230614</v>
      </c>
      <c r="AB248">
        <v>22000.000076242093</v>
      </c>
      <c r="AC248">
        <v>7636.3636570189365</v>
      </c>
      <c r="AE248">
        <v>22000.000078094123</v>
      </c>
      <c r="AF248">
        <v>7636.363654293189</v>
      </c>
      <c r="AH248">
        <v>22000.000066578861</v>
      </c>
      <c r="AI248">
        <v>7636.36367091997</v>
      </c>
      <c r="AK248">
        <v>22000.00441924504</v>
      </c>
      <c r="AL248">
        <v>7636.3609430165179</v>
      </c>
      <c r="AZ248">
        <v>49999.999999945547</v>
      </c>
      <c r="BA248">
        <v>3.1133221411551558E-9</v>
      </c>
      <c r="BC248">
        <v>49999.999999722102</v>
      </c>
      <c r="BD248">
        <v>1.8345134662718627E-8</v>
      </c>
      <c r="BF248">
        <v>49999.999999975589</v>
      </c>
      <c r="BG248">
        <v>1.0607404286023446E-9</v>
      </c>
      <c r="BI248">
        <v>49999.999999666914</v>
      </c>
      <c r="BJ248">
        <v>2.2177651348910228E-8</v>
      </c>
      <c r="BL248">
        <v>49999.999999700849</v>
      </c>
      <c r="BM248">
        <v>2.0105302059162142E-8</v>
      </c>
      <c r="BO248">
        <v>49999.999999669315</v>
      </c>
      <c r="BP248">
        <v>2.2062371989266566E-8</v>
      </c>
      <c r="BR248">
        <v>49999.999999671221</v>
      </c>
      <c r="BS248">
        <v>2.1956387827494014E-8</v>
      </c>
      <c r="BU248">
        <v>49999.999999666506</v>
      </c>
      <c r="BV248">
        <v>2.2127542062460038E-8</v>
      </c>
      <c r="BX248">
        <v>49999.999999991865</v>
      </c>
      <c r="BY248">
        <v>7.4093427964384992E-13</v>
      </c>
    </row>
    <row r="249" spans="13:77" x14ac:dyDescent="0.35">
      <c r="M249">
        <v>21999.999774060565</v>
      </c>
      <c r="N249">
        <v>7636.3638118715198</v>
      </c>
      <c r="P249">
        <v>22000.000018709579</v>
      </c>
      <c r="Q249">
        <v>7636.3636862018884</v>
      </c>
      <c r="S249">
        <v>21999.999700359094</v>
      </c>
      <c r="T249">
        <v>7636.3639527611367</v>
      </c>
      <c r="V249">
        <v>22000.000055198245</v>
      </c>
      <c r="W249">
        <v>7636.3636679707915</v>
      </c>
      <c r="Y249">
        <v>22000.000077441317</v>
      </c>
      <c r="Z249">
        <v>7636.3636414437715</v>
      </c>
      <c r="AB249">
        <v>22000.000059544142</v>
      </c>
      <c r="AC249">
        <v>7636.3636629920638</v>
      </c>
      <c r="AE249">
        <v>22000.000061745715</v>
      </c>
      <c r="AF249">
        <v>7636.3636604456142</v>
      </c>
      <c r="AH249">
        <v>22000.00004813222</v>
      </c>
      <c r="AI249">
        <v>7636.3636759609899</v>
      </c>
      <c r="AK249">
        <v>22000.004361686071</v>
      </c>
      <c r="AL249">
        <v>7636.3613304669434</v>
      </c>
      <c r="AZ249">
        <v>49999.999999951317</v>
      </c>
      <c r="BA249">
        <v>2.7868565683397871E-9</v>
      </c>
      <c r="BC249">
        <v>49999.999999751155</v>
      </c>
      <c r="BD249">
        <v>1.6421448444415399E-8</v>
      </c>
      <c r="BF249">
        <v>49999.99999997823</v>
      </c>
      <c r="BG249">
        <v>9.4951029695162733E-10</v>
      </c>
      <c r="BI249">
        <v>49999.999999701708</v>
      </c>
      <c r="BJ249">
        <v>1.9852084214153707E-8</v>
      </c>
      <c r="BL249">
        <v>49999.99999973207</v>
      </c>
      <c r="BM249">
        <v>1.7997043210310167E-8</v>
      </c>
      <c r="BO249">
        <v>49999.999999703854</v>
      </c>
      <c r="BP249">
        <v>1.9748893144919561E-8</v>
      </c>
      <c r="BR249">
        <v>49999.999999705557</v>
      </c>
      <c r="BS249">
        <v>1.9654022571306014E-8</v>
      </c>
      <c r="BU249">
        <v>49999.999999701358</v>
      </c>
      <c r="BV249">
        <v>1.9807229429538752E-8</v>
      </c>
      <c r="BX249">
        <v>49999.999999992804</v>
      </c>
      <c r="BY249">
        <v>6.6323928919470991E-13</v>
      </c>
    </row>
    <row r="250" spans="13:77" x14ac:dyDescent="0.35">
      <c r="M250">
        <v>21999.999768157351</v>
      </c>
      <c r="N250">
        <v>7636.3637916619873</v>
      </c>
      <c r="P250">
        <v>22000.000004136924</v>
      </c>
      <c r="Q250">
        <v>7636.3636871932586</v>
      </c>
      <c r="S250">
        <v>21999.999672960679</v>
      </c>
      <c r="T250">
        <v>7636.3639250729393</v>
      </c>
      <c r="V250">
        <v>22000.000039212737</v>
      </c>
      <c r="W250">
        <v>7636.363672118785</v>
      </c>
      <c r="Y250">
        <v>22000.000064200965</v>
      </c>
      <c r="Z250">
        <v>7636.3636476793426</v>
      </c>
      <c r="AB250">
        <v>22000.000044047218</v>
      </c>
      <c r="AC250">
        <v>7636.3636675457692</v>
      </c>
      <c r="AE250">
        <v>22000.000046501984</v>
      </c>
      <c r="AF250">
        <v>7636.3636652051046</v>
      </c>
      <c r="AH250">
        <v>22000.000031376836</v>
      </c>
      <c r="AI250">
        <v>7636.3636794504446</v>
      </c>
      <c r="AK250">
        <v>22000.004222430198</v>
      </c>
      <c r="AL250">
        <v>7636.3617091369633</v>
      </c>
      <c r="AZ250">
        <v>49999.999999956475</v>
      </c>
      <c r="BA250">
        <v>2.4946244495011005E-9</v>
      </c>
      <c r="BC250">
        <v>49999.999999777174</v>
      </c>
      <c r="BD250">
        <v>1.4699481577567076E-8</v>
      </c>
      <c r="BF250">
        <v>49999.999999980588</v>
      </c>
      <c r="BG250">
        <v>8.4994385026420102E-10</v>
      </c>
      <c r="BI250">
        <v>49999.99999973287</v>
      </c>
      <c r="BJ250">
        <v>1.7770378001062012E-8</v>
      </c>
      <c r="BL250">
        <v>49999.999999760032</v>
      </c>
      <c r="BM250">
        <v>1.6109858153869664E-8</v>
      </c>
      <c r="BO250">
        <v>49999.999999734784</v>
      </c>
      <c r="BP250">
        <v>1.7678007633958964E-8</v>
      </c>
      <c r="BR250">
        <v>49999.999999736305</v>
      </c>
      <c r="BS250">
        <v>1.7593085268322093E-8</v>
      </c>
      <c r="BU250">
        <v>49999.999999732565</v>
      </c>
      <c r="BV250">
        <v>1.7730226726809604E-8</v>
      </c>
      <c r="BX250">
        <v>49999.999999993634</v>
      </c>
      <c r="BY250">
        <v>5.9369146065552365E-13</v>
      </c>
    </row>
    <row r="251" spans="13:77" x14ac:dyDescent="0.35">
      <c r="M251">
        <v>21999.99976790138</v>
      </c>
      <c r="N251">
        <v>7636.3637711871825</v>
      </c>
      <c r="P251">
        <v>21999.999991600165</v>
      </c>
      <c r="Q251">
        <v>7636.3636869906031</v>
      </c>
      <c r="S251">
        <v>21999.99965630451</v>
      </c>
      <c r="T251">
        <v>7636.3638954529852</v>
      </c>
      <c r="V251">
        <v>22000.000024744422</v>
      </c>
      <c r="W251">
        <v>7636.3636749245579</v>
      </c>
      <c r="Y251">
        <v>22000.00005156215</v>
      </c>
      <c r="Z251">
        <v>7636.3636527735198</v>
      </c>
      <c r="AB251">
        <v>22000.000029896521</v>
      </c>
      <c r="AC251">
        <v>7636.3636707926353</v>
      </c>
      <c r="AE251">
        <v>22000.000032516931</v>
      </c>
      <c r="AF251">
        <v>7636.3636686761383</v>
      </c>
      <c r="AH251">
        <v>22000.000016412538</v>
      </c>
      <c r="AI251">
        <v>7636.3636815421314</v>
      </c>
      <c r="AK251">
        <v>22000.004016245821</v>
      </c>
      <c r="AL251">
        <v>7636.3620724845996</v>
      </c>
      <c r="AZ251">
        <v>49999.999999961088</v>
      </c>
      <c r="BA251">
        <v>2.2330360359220398E-9</v>
      </c>
      <c r="BC251">
        <v>49999.999999800471</v>
      </c>
      <c r="BD251">
        <v>1.3158081601671116E-8</v>
      </c>
      <c r="BF251">
        <v>49999.999999982683</v>
      </c>
      <c r="BG251">
        <v>7.6081802474517363E-10</v>
      </c>
      <c r="BI251">
        <v>49999.999999760781</v>
      </c>
      <c r="BJ251">
        <v>1.5906961248709582E-8</v>
      </c>
      <c r="BL251">
        <v>49999.999999785075</v>
      </c>
      <c r="BM251">
        <v>1.4420564906414581E-8</v>
      </c>
      <c r="BO251">
        <v>49999.999999762484</v>
      </c>
      <c r="BP251">
        <v>1.5824276915830021E-8</v>
      </c>
      <c r="BR251">
        <v>49999.999999763844</v>
      </c>
      <c r="BS251">
        <v>1.5748259580731562E-8</v>
      </c>
      <c r="BU251">
        <v>49999.999999760512</v>
      </c>
      <c r="BV251">
        <v>1.587102027077532E-8</v>
      </c>
      <c r="BX251">
        <v>49999.999999994368</v>
      </c>
      <c r="BY251">
        <v>5.3143647579028483E-13</v>
      </c>
    </row>
    <row r="252" spans="13:77" x14ac:dyDescent="0.35">
      <c r="M252">
        <v>21999.999772475876</v>
      </c>
      <c r="N252">
        <v>7636.3637509085584</v>
      </c>
      <c r="P252">
        <v>21999.999981061843</v>
      </c>
      <c r="Q252">
        <v>7636.3636857719212</v>
      </c>
      <c r="S252">
        <v>21999.999649170819</v>
      </c>
      <c r="T252">
        <v>7636.363864794178</v>
      </c>
      <c r="V252">
        <v>22000.000011871238</v>
      </c>
      <c r="W252">
        <v>7636.3636765255533</v>
      </c>
      <c r="Y252">
        <v>22000.000039698316</v>
      </c>
      <c r="Z252">
        <v>7636.3636567872518</v>
      </c>
      <c r="AB252">
        <v>22000.000017188318</v>
      </c>
      <c r="AC252">
        <v>7636.363672855844</v>
      </c>
      <c r="AE252">
        <v>22000.000019896142</v>
      </c>
      <c r="AF252">
        <v>7636.3636709745924</v>
      </c>
      <c r="AH252">
        <v>22000.000003287634</v>
      </c>
      <c r="AI252">
        <v>7636.3636823963261</v>
      </c>
      <c r="AK252">
        <v>22000.003757133694</v>
      </c>
      <c r="AL252">
        <v>7636.3624152366156</v>
      </c>
      <c r="AZ252">
        <v>49999.999999965214</v>
      </c>
      <c r="BA252">
        <v>1.9988780029489951E-9</v>
      </c>
      <c r="BC252">
        <v>49999.999999821332</v>
      </c>
      <c r="BD252">
        <v>1.1778314120987212E-8</v>
      </c>
      <c r="BF252">
        <v>49999.999999984553</v>
      </c>
      <c r="BG252">
        <v>6.8103800809573571E-10</v>
      </c>
      <c r="BI252">
        <v>49999.999999785774</v>
      </c>
      <c r="BJ252">
        <v>1.423894394102649E-8</v>
      </c>
      <c r="BL252">
        <v>49999.999999807507</v>
      </c>
      <c r="BM252">
        <v>1.2908412366758321E-8</v>
      </c>
      <c r="BO252">
        <v>49999.999999787295</v>
      </c>
      <c r="BP252">
        <v>1.4164929956691962E-8</v>
      </c>
      <c r="BR252">
        <v>49999.99999978851</v>
      </c>
      <c r="BS252">
        <v>1.4096883863155402E-8</v>
      </c>
      <c r="BU252">
        <v>49999.999999785541</v>
      </c>
      <c r="BV252">
        <v>1.420677176420464E-8</v>
      </c>
      <c r="BX252">
        <v>49999.999999995016</v>
      </c>
      <c r="BY252">
        <v>4.7570960089026684E-13</v>
      </c>
    </row>
    <row r="253" spans="13:77" x14ac:dyDescent="0.35">
      <c r="M253">
        <v>21999.999781083199</v>
      </c>
      <c r="N253">
        <v>7636.3637312163428</v>
      </c>
      <c r="P253">
        <v>21999.999972448677</v>
      </c>
      <c r="Q253">
        <v>7636.3636837102822</v>
      </c>
      <c r="S253">
        <v>21999.999650320751</v>
      </c>
      <c r="T253">
        <v>7636.363833880896</v>
      </c>
      <c r="V253">
        <v>22000.000000626831</v>
      </c>
      <c r="W253">
        <v>7636.363677064086</v>
      </c>
      <c r="Y253">
        <v>22000.000028741659</v>
      </c>
      <c r="Z253">
        <v>7636.363659794928</v>
      </c>
      <c r="AB253">
        <v>22000.000005975075</v>
      </c>
      <c r="AC253">
        <v>7636.3636738650912</v>
      </c>
      <c r="AE253">
        <v>22000.000008701667</v>
      </c>
      <c r="AF253">
        <v>7636.3636722236915</v>
      </c>
      <c r="AH253">
        <v>21999.999992005418</v>
      </c>
      <c r="AI253">
        <v>7636.3636821755281</v>
      </c>
      <c r="AK253">
        <v>22000.003458149542</v>
      </c>
      <c r="AL253">
        <v>7636.3627333127251</v>
      </c>
      <c r="AZ253">
        <v>49999.999999968895</v>
      </c>
      <c r="BA253">
        <v>1.7892739778485648E-9</v>
      </c>
      <c r="BC253">
        <v>49999.999999840016</v>
      </c>
      <c r="BD253">
        <v>1.0543230216404622E-8</v>
      </c>
      <c r="BF253">
        <v>49999.999999986219</v>
      </c>
      <c r="BG253">
        <v>6.0962379095363651E-10</v>
      </c>
      <c r="BI253">
        <v>49999.999999808155</v>
      </c>
      <c r="BJ253">
        <v>1.2745836328240238E-8</v>
      </c>
      <c r="BL253">
        <v>49999.999999827603</v>
      </c>
      <c r="BM253">
        <v>1.1554825411601769E-8</v>
      </c>
      <c r="BO253">
        <v>49999.999999809515</v>
      </c>
      <c r="BP253">
        <v>1.267958351242503E-8</v>
      </c>
      <c r="BR253">
        <v>49999.9999998106</v>
      </c>
      <c r="BS253">
        <v>1.2618672789369689E-8</v>
      </c>
      <c r="BU253">
        <v>49999.999999807958</v>
      </c>
      <c r="BV253">
        <v>1.2717037752882895E-8</v>
      </c>
      <c r="BX253">
        <v>49999.999999995591</v>
      </c>
      <c r="BY253">
        <v>4.2582629286530135E-13</v>
      </c>
    </row>
    <row r="254" spans="13:77" x14ac:dyDescent="0.35">
      <c r="M254">
        <v>21999.999792958541</v>
      </c>
      <c r="N254">
        <v>7636.3637124318484</v>
      </c>
      <c r="P254">
        <v>21999.999965658302</v>
      </c>
      <c r="Q254">
        <v>7636.3636809709715</v>
      </c>
      <c r="S254">
        <v>21999.999658524721</v>
      </c>
      <c r="T254">
        <v>7636.36380338859</v>
      </c>
      <c r="V254">
        <v>21999.99999100632</v>
      </c>
      <c r="W254">
        <v>7636.3636766836962</v>
      </c>
      <c r="Y254">
        <v>22000.000018786392</v>
      </c>
      <c r="Z254">
        <v>7636.363661880886</v>
      </c>
      <c r="AB254">
        <v>21999.999996270737</v>
      </c>
      <c r="AC254">
        <v>7636.3636739529584</v>
      </c>
      <c r="AE254">
        <v>21999.999998957057</v>
      </c>
      <c r="AF254">
        <v>7636.3636725503929</v>
      </c>
      <c r="AH254">
        <v>21999.999982530644</v>
      </c>
      <c r="AI254">
        <v>7636.3636810407834</v>
      </c>
      <c r="AK254">
        <v>22000.003131271995</v>
      </c>
      <c r="AL254">
        <v>7636.363023736204</v>
      </c>
      <c r="AZ254">
        <v>49999.999999972191</v>
      </c>
      <c r="BA254">
        <v>1.6016492067463903E-9</v>
      </c>
      <c r="BC254">
        <v>49999.999999856744</v>
      </c>
      <c r="BD254">
        <v>9.4376582466963078E-9</v>
      </c>
      <c r="BF254">
        <v>49999.999999987711</v>
      </c>
      <c r="BG254">
        <v>5.4569812856089871E-10</v>
      </c>
      <c r="BI254">
        <v>49999.9999998282</v>
      </c>
      <c r="BJ254">
        <v>1.1409297232937169E-8</v>
      </c>
      <c r="BL254">
        <v>49999.999999845597</v>
      </c>
      <c r="BM254">
        <v>1.0343176720665642E-8</v>
      </c>
      <c r="BO254">
        <v>49999.999999829415</v>
      </c>
      <c r="BP254">
        <v>1.1349991742996168E-8</v>
      </c>
      <c r="BR254">
        <v>49999.999999830383</v>
      </c>
      <c r="BS254">
        <v>1.1295468169484463E-8</v>
      </c>
      <c r="BU254">
        <v>49999.999999828033</v>
      </c>
      <c r="BV254">
        <v>1.1383518500363208E-8</v>
      </c>
      <c r="BX254">
        <v>49999.9999999961</v>
      </c>
      <c r="BY254">
        <v>3.8117379038821026E-13</v>
      </c>
    </row>
    <row r="255" spans="13:77" x14ac:dyDescent="0.35">
      <c r="M255">
        <v>21999.999807380933</v>
      </c>
      <c r="N255">
        <v>7636.3636948108679</v>
      </c>
      <c r="P255">
        <v>21999.999960565605</v>
      </c>
      <c r="Q255">
        <v>7636.3636777092079</v>
      </c>
      <c r="S255">
        <v>21999.999672586451</v>
      </c>
      <c r="T255">
        <v>7636.3637738856942</v>
      </c>
      <c r="V255">
        <v>21999.999982971989</v>
      </c>
      <c r="W255">
        <v>7636.3636755260059</v>
      </c>
      <c r="Y255">
        <v>22000.000009892334</v>
      </c>
      <c r="Z255">
        <v>7636.3636631362215</v>
      </c>
      <c r="AB255">
        <v>21999.999988056068</v>
      </c>
      <c r="AC255">
        <v>7636.3636732517562</v>
      </c>
      <c r="AE255">
        <v>21999.999990652501</v>
      </c>
      <c r="AF255">
        <v>7636.3636720822233</v>
      </c>
      <c r="AH255">
        <v>21999.999974795875</v>
      </c>
      <c r="AI255">
        <v>7636.3636791485687</v>
      </c>
      <c r="AK255">
        <v>22000.002787312013</v>
      </c>
      <c r="AL255">
        <v>7636.3632845347147</v>
      </c>
      <c r="AZ255">
        <v>49999.999999975138</v>
      </c>
      <c r="BA255">
        <v>1.4336989266204387E-9</v>
      </c>
      <c r="BC255">
        <v>49999.999999871725</v>
      </c>
      <c r="BD255">
        <v>8.448017481668319E-9</v>
      </c>
      <c r="BF255">
        <v>49999.999999989035</v>
      </c>
      <c r="BG255">
        <v>4.8847576478116172E-10</v>
      </c>
      <c r="BI255">
        <v>49999.99999984615</v>
      </c>
      <c r="BJ255">
        <v>1.0212908748961546E-8</v>
      </c>
      <c r="BL255">
        <v>49999.999999861713</v>
      </c>
      <c r="BM255">
        <v>9.2585825284309616E-9</v>
      </c>
      <c r="BO255">
        <v>49999.999999847234</v>
      </c>
      <c r="BP255">
        <v>1.0159822082472492E-8</v>
      </c>
      <c r="BR255">
        <v>49999.9999998481</v>
      </c>
      <c r="BS255">
        <v>1.0111015896642359E-8</v>
      </c>
      <c r="BU255">
        <v>49999.999999846004</v>
      </c>
      <c r="BV255">
        <v>1.0189833195922068E-8</v>
      </c>
      <c r="BX255">
        <v>49999.999999996551</v>
      </c>
      <c r="BY255">
        <v>3.4120358679889027E-13</v>
      </c>
    </row>
    <row r="256" spans="13:77" x14ac:dyDescent="0.35">
      <c r="M256">
        <v>21999.999823681756</v>
      </c>
      <c r="N256">
        <v>7636.3636785479312</v>
      </c>
      <c r="P256">
        <v>21999.999957028631</v>
      </c>
      <c r="Q256">
        <v>7636.3636740684051</v>
      </c>
      <c r="S256">
        <v>21999.999691362835</v>
      </c>
      <c r="T256">
        <v>7636.3637458374624</v>
      </c>
      <c r="V256">
        <v>21999.999976458865</v>
      </c>
      <c r="W256">
        <v>7636.3636737280749</v>
      </c>
      <c r="Y256">
        <v>22000.000002088684</v>
      </c>
      <c r="Z256">
        <v>7636.3636636559222</v>
      </c>
      <c r="AB256">
        <v>21999.999981283861</v>
      </c>
      <c r="AC256">
        <v>7636.3636718908292</v>
      </c>
      <c r="AE256">
        <v>21999.999983749873</v>
      </c>
      <c r="AF256">
        <v>7636.3636709445591</v>
      </c>
      <c r="AH256">
        <v>21999.999968707554</v>
      </c>
      <c r="AI256">
        <v>7636.3636766482259</v>
      </c>
      <c r="AK256">
        <v>22000.002435859587</v>
      </c>
      <c r="AL256">
        <v>7636.3635146348361</v>
      </c>
      <c r="AZ256">
        <v>49999.999999977772</v>
      </c>
      <c r="BA256">
        <v>1.2833600538336178E-9</v>
      </c>
      <c r="BC256">
        <v>49999.999999885142</v>
      </c>
      <c r="BD256">
        <v>7.5621512778935588E-9</v>
      </c>
      <c r="BF256">
        <v>49999.999999990221</v>
      </c>
      <c r="BG256">
        <v>4.3725378609561005E-10</v>
      </c>
      <c r="BI256">
        <v>49999.99999986223</v>
      </c>
      <c r="BJ256">
        <v>9.1419745655771768E-9</v>
      </c>
      <c r="BL256">
        <v>49999.999999876149</v>
      </c>
      <c r="BM256">
        <v>8.2877197935234648E-9</v>
      </c>
      <c r="BO256">
        <v>49999.999999863197</v>
      </c>
      <c r="BP256">
        <v>9.0944546114932622E-9</v>
      </c>
      <c r="BR256">
        <v>49999.999999863969</v>
      </c>
      <c r="BS256">
        <v>9.0507662832736448E-9</v>
      </c>
      <c r="BU256">
        <v>49999.999999862099</v>
      </c>
      <c r="BV256">
        <v>9.1213187343973447E-9</v>
      </c>
      <c r="BX256">
        <v>49999.999999996951</v>
      </c>
      <c r="BY256">
        <v>3.0542469230599252E-13</v>
      </c>
    </row>
    <row r="257" spans="13:77" x14ac:dyDescent="0.35">
      <c r="M257">
        <v>21999.999841250934</v>
      </c>
      <c r="N257">
        <v>7636.3636637812042</v>
      </c>
      <c r="P257">
        <v>21999.99995489396</v>
      </c>
      <c r="Q257">
        <v>7636.3636701789274</v>
      </c>
      <c r="S257">
        <v>21999.999713779802</v>
      </c>
      <c r="T257">
        <v>7636.3637196113805</v>
      </c>
      <c r="V257">
        <v>21999.999971380013</v>
      </c>
      <c r="W257">
        <v>7636.3636714202321</v>
      </c>
      <c r="Y257">
        <v>21999.999995377872</v>
      </c>
      <c r="Z257">
        <v>7636.3636635363418</v>
      </c>
      <c r="AB257">
        <v>21999.999975883999</v>
      </c>
      <c r="AC257">
        <v>7636.3636699943181</v>
      </c>
      <c r="AE257">
        <v>21999.999978187643</v>
      </c>
      <c r="AF257">
        <v>7636.3636692583532</v>
      </c>
      <c r="AH257">
        <v>21999.999964151742</v>
      </c>
      <c r="AI257">
        <v>7636.3636736799153</v>
      </c>
      <c r="AK257">
        <v>22000.002085263437</v>
      </c>
      <c r="AL257">
        <v>7636.3637137533733</v>
      </c>
      <c r="AZ257">
        <v>49999.999999980122</v>
      </c>
      <c r="BA257">
        <v>1.1487858414306225E-9</v>
      </c>
      <c r="BC257">
        <v>49999.999999897154</v>
      </c>
      <c r="BD257">
        <v>6.769177747778128E-9</v>
      </c>
      <c r="BF257">
        <v>49999.999999991276</v>
      </c>
      <c r="BG257">
        <v>3.9140298708698524E-10</v>
      </c>
      <c r="BI257">
        <v>49999.999999876629</v>
      </c>
      <c r="BJ257">
        <v>8.1833394395267282E-9</v>
      </c>
      <c r="BL257">
        <v>49999.999999889078</v>
      </c>
      <c r="BM257">
        <v>7.4186625398698235E-9</v>
      </c>
      <c r="BO257">
        <v>49999.999999877487</v>
      </c>
      <c r="BP257">
        <v>8.1408024677128492E-9</v>
      </c>
      <c r="BR257">
        <v>49999.999999878179</v>
      </c>
      <c r="BS257">
        <v>8.1016953342591467E-9</v>
      </c>
      <c r="BU257">
        <v>49999.999999876512</v>
      </c>
      <c r="BV257">
        <v>8.1648495961414017E-9</v>
      </c>
      <c r="BX257">
        <v>49999.999999997301</v>
      </c>
      <c r="BY257">
        <v>2.7339760271978985E-13</v>
      </c>
    </row>
    <row r="258" spans="13:77" x14ac:dyDescent="0.35">
      <c r="M258">
        <v>21999.999859541</v>
      </c>
      <c r="N258">
        <v>7636.3636505978411</v>
      </c>
      <c r="P258">
        <v>21999.999954001541</v>
      </c>
      <c r="Q258">
        <v>7636.3636661572982</v>
      </c>
      <c r="S258">
        <v>21999.99973884445</v>
      </c>
      <c r="T258">
        <v>7636.3636954838103</v>
      </c>
      <c r="V258">
        <v>21999.999967631535</v>
      </c>
      <c r="W258">
        <v>7636.3636687243661</v>
      </c>
      <c r="Y258">
        <v>21999.999989739401</v>
      </c>
      <c r="Z258">
        <v>7636.3636628730092</v>
      </c>
      <c r="AB258">
        <v>21999.999971768222</v>
      </c>
      <c r="AC258">
        <v>7636.363667679354</v>
      </c>
      <c r="AE258">
        <v>21999.999973885566</v>
      </c>
      <c r="AF258">
        <v>7636.3636671382783</v>
      </c>
      <c r="AH258">
        <v>21999.999960999441</v>
      </c>
      <c r="AI258">
        <v>7636.363670373059</v>
      </c>
      <c r="AK258">
        <v>22000.001742639281</v>
      </c>
      <c r="AL258">
        <v>7636.363882288174</v>
      </c>
      <c r="AZ258">
        <v>49999.999999982225</v>
      </c>
      <c r="BA258">
        <v>1.0283231938919058E-9</v>
      </c>
      <c r="BC258">
        <v>49999.999999907908</v>
      </c>
      <c r="BD258">
        <v>6.0593560875947095E-9</v>
      </c>
      <c r="BF258">
        <v>49999.999999992215</v>
      </c>
      <c r="BG258">
        <v>3.5036014134619144E-10</v>
      </c>
      <c r="BI258">
        <v>49999.999999889522</v>
      </c>
      <c r="BJ258">
        <v>7.325227597402418E-9</v>
      </c>
      <c r="BL258">
        <v>49999.999999900661</v>
      </c>
      <c r="BM258">
        <v>6.6407353592575801E-9</v>
      </c>
      <c r="BO258">
        <v>49999.999999890286</v>
      </c>
      <c r="BP258">
        <v>7.2871510881553811E-9</v>
      </c>
      <c r="BR258">
        <v>49999.999999890904</v>
      </c>
      <c r="BS258">
        <v>7.2521447615393135E-9</v>
      </c>
      <c r="BU258">
        <v>49999.99999988942</v>
      </c>
      <c r="BV258">
        <v>7.3086766145134933E-9</v>
      </c>
      <c r="BX258">
        <v>49999.999999997613</v>
      </c>
      <c r="BY258">
        <v>2.4472890062877735E-13</v>
      </c>
    </row>
    <row r="259" spans="13:77" x14ac:dyDescent="0.35">
      <c r="M259">
        <v>21999.999878069299</v>
      </c>
      <c r="N259">
        <v>7636.3636390396105</v>
      </c>
      <c r="P259">
        <v>21999.999954188974</v>
      </c>
      <c r="Q259">
        <v>7636.3636621058085</v>
      </c>
      <c r="S259">
        <v>21999.999765653734</v>
      </c>
      <c r="T259">
        <v>7636.3636736475446</v>
      </c>
      <c r="V259">
        <v>21999.99996509718</v>
      </c>
      <c r="W259">
        <v>7636.3636657526349</v>
      </c>
      <c r="Y259">
        <v>21999.999985133614</v>
      </c>
      <c r="Z259">
        <v>7636.3636617587763</v>
      </c>
      <c r="AB259">
        <v>21999.999968834607</v>
      </c>
      <c r="AC259">
        <v>7636.3636650546578</v>
      </c>
      <c r="AE259">
        <v>21999.999970749042</v>
      </c>
      <c r="AF259">
        <v>7636.3636646912764</v>
      </c>
      <c r="AH259">
        <v>21999.999959111443</v>
      </c>
      <c r="AI259">
        <v>7636.36366684523</v>
      </c>
      <c r="AK259">
        <v>22000.001413902373</v>
      </c>
      <c r="AL259">
        <v>7636.3640212107757</v>
      </c>
      <c r="AZ259">
        <v>49999.999999984109</v>
      </c>
      <c r="BA259">
        <v>9.2049236068158768E-10</v>
      </c>
      <c r="BC259">
        <v>49999.999999917542</v>
      </c>
      <c r="BD259">
        <v>5.4239669224705719E-9</v>
      </c>
      <c r="BF259">
        <v>49999.999999993051</v>
      </c>
      <c r="BG259">
        <v>3.1362108285812145E-10</v>
      </c>
      <c r="BI259">
        <v>49999.999999901069</v>
      </c>
      <c r="BJ259">
        <v>6.5570980832797576E-9</v>
      </c>
      <c r="BL259">
        <v>49999.999999911037</v>
      </c>
      <c r="BM259">
        <v>5.9443822757396194E-9</v>
      </c>
      <c r="BO259">
        <v>49999.999999901753</v>
      </c>
      <c r="BP259">
        <v>6.5230143087510129E-9</v>
      </c>
      <c r="BR259">
        <v>49999.999999902306</v>
      </c>
      <c r="BS259">
        <v>6.4916787749256638E-9</v>
      </c>
      <c r="BU259">
        <v>49999.999999900981</v>
      </c>
      <c r="BV259">
        <v>6.5422826503482454E-9</v>
      </c>
      <c r="BX259">
        <v>49999.99999999789</v>
      </c>
      <c r="BY259">
        <v>2.1906642270142608E-13</v>
      </c>
    </row>
    <row r="260" spans="13:77" x14ac:dyDescent="0.35">
      <c r="M260">
        <v>21999.999896418511</v>
      </c>
      <c r="N260">
        <v>7636.3636291086386</v>
      </c>
      <c r="P260">
        <v>21999.999955295189</v>
      </c>
      <c r="Q260">
        <v>7636.3636581124747</v>
      </c>
      <c r="S260">
        <v>21999.999793400035</v>
      </c>
      <c r="T260">
        <v>7636.3636542199947</v>
      </c>
      <c r="V260">
        <v>21999.999963652546</v>
      </c>
      <c r="W260">
        <v>7636.3636626065663</v>
      </c>
      <c r="Y260">
        <v>21999.999981505305</v>
      </c>
      <c r="Z260">
        <v>7636.3636602822917</v>
      </c>
      <c r="AB260">
        <v>21999.999966971653</v>
      </c>
      <c r="AC260">
        <v>7636.3636622195218</v>
      </c>
      <c r="AE260">
        <v>21999.999968673179</v>
      </c>
      <c r="AF260">
        <v>7636.3636620154721</v>
      </c>
      <c r="AH260">
        <v>21999.999958342691</v>
      </c>
      <c r="AI260">
        <v>7636.3636632014513</v>
      </c>
      <c r="AK260">
        <v>22000.001103820101</v>
      </c>
      <c r="AL260">
        <v>7636.3641319628287</v>
      </c>
      <c r="AZ260">
        <v>49999.99999998579</v>
      </c>
      <c r="BA260">
        <v>8.239687591469747E-10</v>
      </c>
      <c r="BC260">
        <v>49999.999999926164</v>
      </c>
      <c r="BD260">
        <v>4.855205198500561E-9</v>
      </c>
      <c r="BF260">
        <v>49999.999999993801</v>
      </c>
      <c r="BG260">
        <v>2.8073451287917216E-10</v>
      </c>
      <c r="BI260">
        <v>49999.999999911408</v>
      </c>
      <c r="BJ260">
        <v>5.8695152747198343E-9</v>
      </c>
      <c r="BL260">
        <v>49999.999999920328</v>
      </c>
      <c r="BM260">
        <v>5.3210493610272458E-9</v>
      </c>
      <c r="BO260">
        <v>49999.999999912019</v>
      </c>
      <c r="BP260">
        <v>5.8390055533956082E-9</v>
      </c>
      <c r="BR260">
        <v>49999.999999912514</v>
      </c>
      <c r="BS260">
        <v>5.8109558899479448E-9</v>
      </c>
      <c r="BU260">
        <v>49999.999999911335</v>
      </c>
      <c r="BV260">
        <v>5.8562534005205069E-9</v>
      </c>
      <c r="BX260">
        <v>49999.99999999813</v>
      </c>
      <c r="BY260">
        <v>1.9609493374873128E-13</v>
      </c>
    </row>
    <row r="261" spans="13:77" x14ac:dyDescent="0.35">
      <c r="M261">
        <v>21999.999914235763</v>
      </c>
      <c r="N261">
        <v>7636.3636207731379</v>
      </c>
      <c r="P261">
        <v>21999.9999571636</v>
      </c>
      <c r="Q261">
        <v>7636.3636542512986</v>
      </c>
      <c r="S261">
        <v>21999.999821373945</v>
      </c>
      <c r="T261">
        <v>7636.3636372517349</v>
      </c>
      <c r="V261">
        <v>21999.999963168841</v>
      </c>
      <c r="W261">
        <v>7636.3636593765104</v>
      </c>
      <c r="Y261">
        <v>21999.999978787109</v>
      </c>
      <c r="Z261">
        <v>7636.3636585267795</v>
      </c>
      <c r="AB261">
        <v>21999.999966061972</v>
      </c>
      <c r="AC261">
        <v>7636.3636592631292</v>
      </c>
      <c r="AE261">
        <v>21999.999967546442</v>
      </c>
      <c r="AF261">
        <v>7636.3636591994309</v>
      </c>
      <c r="AH261">
        <v>21999.999958546134</v>
      </c>
      <c r="AI261">
        <v>7636.3636595338512</v>
      </c>
      <c r="AK261">
        <v>22000.000816080614</v>
      </c>
      <c r="AL261">
        <v>7636.3642163578897</v>
      </c>
      <c r="AZ261">
        <v>49999.999999987296</v>
      </c>
      <c r="BA261">
        <v>7.3756670348409265E-10</v>
      </c>
      <c r="BC261">
        <v>49999.999999933883</v>
      </c>
      <c r="BD261">
        <v>4.34608430628302E-9</v>
      </c>
      <c r="BF261">
        <v>49999.99999999447</v>
      </c>
      <c r="BG261">
        <v>2.5129645623078171E-10</v>
      </c>
      <c r="BI261">
        <v>49999.99999992067</v>
      </c>
      <c r="BJ261">
        <v>5.2540329765722698E-9</v>
      </c>
      <c r="BL261">
        <v>49999.999999928652</v>
      </c>
      <c r="BM261">
        <v>4.7630796589316745E-9</v>
      </c>
      <c r="BO261">
        <v>49999.999999921216</v>
      </c>
      <c r="BP261">
        <v>5.2267225302337338E-9</v>
      </c>
      <c r="BR261">
        <v>49999.999999921652</v>
      </c>
      <c r="BS261">
        <v>5.2016141780380308E-9</v>
      </c>
      <c r="BU261">
        <v>49999.999999920605</v>
      </c>
      <c r="BV261">
        <v>5.2421617536325266E-9</v>
      </c>
      <c r="BX261">
        <v>49999.999999998348</v>
      </c>
      <c r="BY261">
        <v>1.755322544081924E-13</v>
      </c>
    </row>
    <row r="262" spans="13:77" x14ac:dyDescent="0.35">
      <c r="M262">
        <v>21999.999931230541</v>
      </c>
      <c r="N262">
        <v>7636.363613972997</v>
      </c>
      <c r="P262">
        <v>21999.999959644669</v>
      </c>
      <c r="Q262">
        <v>7636.3636505827826</v>
      </c>
      <c r="S262">
        <v>21999.999848964628</v>
      </c>
      <c r="T262">
        <v>7636.3636227351899</v>
      </c>
      <c r="V262">
        <v>21999.999963516169</v>
      </c>
      <c r="W262">
        <v>7636.3636561413987</v>
      </c>
      <c r="Y262">
        <v>21999.99997690268</v>
      </c>
      <c r="Z262">
        <v>7636.3636565691122</v>
      </c>
      <c r="AB262">
        <v>21999.999965985589</v>
      </c>
      <c r="AC262">
        <v>7636.363656264185</v>
      </c>
      <c r="AE262">
        <v>21999.999967253942</v>
      </c>
      <c r="AF262">
        <v>7636.3636563217233</v>
      </c>
      <c r="AH262">
        <v>21999.999959576049</v>
      </c>
      <c r="AI262">
        <v>7636.3636559216393</v>
      </c>
      <c r="AK262">
        <v>22000.000553373764</v>
      </c>
      <c r="AL262">
        <v>7636.3642764898323</v>
      </c>
      <c r="AZ262">
        <v>49999.999999988642</v>
      </c>
      <c r="BA262">
        <v>6.6022483989754993E-10</v>
      </c>
      <c r="BC262">
        <v>49999.999999940796</v>
      </c>
      <c r="BD262">
        <v>3.8903502581422105E-9</v>
      </c>
      <c r="BF262">
        <v>49999.999999995067</v>
      </c>
      <c r="BG262">
        <v>2.249452989106793E-10</v>
      </c>
      <c r="BI262">
        <v>49999.999999928965</v>
      </c>
      <c r="BJ262">
        <v>4.7030906687992866E-9</v>
      </c>
      <c r="BL262">
        <v>49999.999999936103</v>
      </c>
      <c r="BM262">
        <v>4.2636191281167776E-9</v>
      </c>
      <c r="BO262">
        <v>49999.999999929452</v>
      </c>
      <c r="BP262">
        <v>4.6786440187862022E-9</v>
      </c>
      <c r="BR262">
        <v>49999.999999929838</v>
      </c>
      <c r="BS262">
        <v>4.6561685494758558E-9</v>
      </c>
      <c r="BU262">
        <v>49999.999999928907</v>
      </c>
      <c r="BV262">
        <v>4.6924642722608372E-9</v>
      </c>
      <c r="BX262">
        <v>49999.999999998538</v>
      </c>
      <c r="BY262">
        <v>1.5712579488210133E-13</v>
      </c>
    </row>
    <row r="263" spans="13:77" x14ac:dyDescent="0.35">
      <c r="M263">
        <v>21999.9999471716</v>
      </c>
      <c r="N263">
        <v>7636.363608625149</v>
      </c>
      <c r="P263">
        <v>21999.999962597969</v>
      </c>
      <c r="Q263">
        <v>7636.3636471546415</v>
      </c>
      <c r="S263">
        <v>21999.999875658075</v>
      </c>
      <c r="T263">
        <v>7636.3636106132553</v>
      </c>
      <c r="V263">
        <v>21999.999964566385</v>
      </c>
      <c r="W263">
        <v>7636.3636529687774</v>
      </c>
      <c r="Y263">
        <v>21999.999975769559</v>
      </c>
      <c r="Z263">
        <v>7636.3636544791461</v>
      </c>
      <c r="AB263">
        <v>21999.999966622774</v>
      </c>
      <c r="AC263">
        <v>7636.3636532908167</v>
      </c>
      <c r="AE263">
        <v>21999.99996768028</v>
      </c>
      <c r="AF263">
        <v>7636.363653450755</v>
      </c>
      <c r="AH263">
        <v>21999.999961290861</v>
      </c>
      <c r="AI263">
        <v>7636.3636524313497</v>
      </c>
      <c r="AK263">
        <v>22000.000317480888</v>
      </c>
      <c r="AL263">
        <v>7636.3643146487975</v>
      </c>
      <c r="AZ263">
        <v>49999.999999989843</v>
      </c>
      <c r="BA263">
        <v>5.9099310904176218E-10</v>
      </c>
      <c r="BC263">
        <v>49999.999999946987</v>
      </c>
      <c r="BD263">
        <v>3.4824048647992172E-9</v>
      </c>
      <c r="BF263">
        <v>49999.999999995598</v>
      </c>
      <c r="BG263">
        <v>2.0135734606438448E-10</v>
      </c>
      <c r="BI263">
        <v>49999.999999936386</v>
      </c>
      <c r="BJ263">
        <v>4.2099206338400296E-9</v>
      </c>
      <c r="BL263">
        <v>49999.999999942775</v>
      </c>
      <c r="BM263">
        <v>3.816532447773723E-9</v>
      </c>
      <c r="BO263">
        <v>49999.999999936823</v>
      </c>
      <c r="BP263">
        <v>4.1880374800660469E-9</v>
      </c>
      <c r="BR263">
        <v>49999.999999937172</v>
      </c>
      <c r="BS263">
        <v>4.167918807331848E-9</v>
      </c>
      <c r="BU263">
        <v>49999.999999936343</v>
      </c>
      <c r="BV263">
        <v>4.2004085301616181E-9</v>
      </c>
      <c r="BX263">
        <v>49999.999999998705</v>
      </c>
      <c r="BY263">
        <v>1.4064945215094293E-13</v>
      </c>
    </row>
    <row r="264" spans="13:77" x14ac:dyDescent="0.35">
      <c r="M264">
        <v>21999.999961883124</v>
      </c>
      <c r="N264">
        <v>7636.3636046286265</v>
      </c>
      <c r="P264">
        <v>21999.99996589377</v>
      </c>
      <c r="Q264">
        <v>7636.3636440026803</v>
      </c>
      <c r="S264">
        <v>21999.99990103364</v>
      </c>
      <c r="T264">
        <v>7636.3636007876867</v>
      </c>
      <c r="V264">
        <v>21999.999966195483</v>
      </c>
      <c r="W264">
        <v>7636.3636499150698</v>
      </c>
      <c r="Y264">
        <v>21999.999975301784</v>
      </c>
      <c r="Z264">
        <v>7636.3636523192999</v>
      </c>
      <c r="AB264">
        <v>21999.9999678565</v>
      </c>
      <c r="AC264">
        <v>7636.3636504007063</v>
      </c>
      <c r="AE264">
        <v>21999.999968712011</v>
      </c>
      <c r="AF264">
        <v>7636.3636506448356</v>
      </c>
      <c r="AH264">
        <v>21999.999963555452</v>
      </c>
      <c r="AI264">
        <v>7636.3636491173147</v>
      </c>
      <c r="AK264">
        <v>22000.000109370259</v>
      </c>
      <c r="AL264">
        <v>7636.3643332453303</v>
      </c>
      <c r="AZ264">
        <v>49999.99999999092</v>
      </c>
      <c r="BA264">
        <v>5.2902107559153312E-10</v>
      </c>
      <c r="BC264">
        <v>49999.999999952532</v>
      </c>
      <c r="BD264">
        <v>3.1172369678016292E-9</v>
      </c>
      <c r="BF264">
        <v>49999.999999996071</v>
      </c>
      <c r="BG264">
        <v>1.8024284575154327E-10</v>
      </c>
      <c r="BI264">
        <v>49999.999999943037</v>
      </c>
      <c r="BJ264">
        <v>3.7684648226774099E-9</v>
      </c>
      <c r="BL264">
        <v>49999.999999948748</v>
      </c>
      <c r="BM264">
        <v>3.4163276519832391E-9</v>
      </c>
      <c r="BO264">
        <v>49999.999999943422</v>
      </c>
      <c r="BP264">
        <v>3.7488763547752844E-9</v>
      </c>
      <c r="BR264">
        <v>49999.999999943735</v>
      </c>
      <c r="BS264">
        <v>3.7308673429501344E-9</v>
      </c>
      <c r="BU264">
        <v>49999.999999943</v>
      </c>
      <c r="BV264">
        <v>3.7599501661744772E-9</v>
      </c>
      <c r="BX264">
        <v>49999.99999999885</v>
      </c>
      <c r="BY264">
        <v>1.2590083254760263E-13</v>
      </c>
    </row>
    <row r="265" spans="13:77" x14ac:dyDescent="0.35">
      <c r="M265">
        <v>21999.999975240276</v>
      </c>
      <c r="N265">
        <v>7636.3636018692523</v>
      </c>
      <c r="P265">
        <v>21999.999969414155</v>
      </c>
      <c r="Q265">
        <v>7636.3636411517891</v>
      </c>
      <c r="S265">
        <v>21999.999924759115</v>
      </c>
      <c r="T265">
        <v>7636.3635931271174</v>
      </c>
      <c r="V265">
        <v>21999.999968285549</v>
      </c>
      <c r="W265">
        <v>7636.363647026029</v>
      </c>
      <c r="Y265">
        <v>21999.99997541216</v>
      </c>
      <c r="Z265">
        <v>7636.3636501443516</v>
      </c>
      <c r="AB265">
        <v>21999.999969574445</v>
      </c>
      <c r="AC265">
        <v>7636.3636476414194</v>
      </c>
      <c r="AE265">
        <v>21999.9999702397</v>
      </c>
      <c r="AF265">
        <v>7636.3636479524421</v>
      </c>
      <c r="AH265">
        <v>21999.999966243027</v>
      </c>
      <c r="AI265">
        <v>7636.3636460223179</v>
      </c>
      <c r="AK265">
        <v>21999.999929295456</v>
      </c>
      <c r="AL265">
        <v>7636.3643347430698</v>
      </c>
      <c r="AZ265">
        <v>49999.99999999188</v>
      </c>
      <c r="BA265">
        <v>4.7354748158365964E-10</v>
      </c>
      <c r="BC265">
        <v>49999.999999957494</v>
      </c>
      <c r="BD265">
        <v>2.7903608829783598E-9</v>
      </c>
      <c r="BF265">
        <v>49999.999999996493</v>
      </c>
      <c r="BG265">
        <v>1.6134242966346369E-10</v>
      </c>
      <c r="BI265">
        <v>49999.999999948988</v>
      </c>
      <c r="BJ265">
        <v>3.3733004383989611E-9</v>
      </c>
      <c r="BL265">
        <v>49999.999999954103</v>
      </c>
      <c r="BM265">
        <v>3.0580886669819097E-9</v>
      </c>
      <c r="BO265">
        <v>49999.999999949338</v>
      </c>
      <c r="BP265">
        <v>3.3557660336821777E-9</v>
      </c>
      <c r="BR265">
        <v>49999.999999949614</v>
      </c>
      <c r="BS265">
        <v>3.3396454619524579E-9</v>
      </c>
      <c r="BU265">
        <v>49999.999999948959</v>
      </c>
      <c r="BV265">
        <v>3.3656786359235026E-9</v>
      </c>
      <c r="BX265">
        <v>49999.999999998981</v>
      </c>
      <c r="BY265">
        <v>1.1269876557477382E-13</v>
      </c>
    </row>
    <row r="266" spans="13:77" x14ac:dyDescent="0.35">
      <c r="M266">
        <v>21999.999987164367</v>
      </c>
      <c r="N266">
        <v>7636.3636002239218</v>
      </c>
      <c r="P266">
        <v>21999.999973053724</v>
      </c>
      <c r="Q266">
        <v>7636.3636386170174</v>
      </c>
      <c r="S266">
        <v>21999.999946584736</v>
      </c>
      <c r="T266">
        <v>7636.3635874745933</v>
      </c>
      <c r="V266">
        <v>21999.99997072632</v>
      </c>
      <c r="W266">
        <v>7636.363644337348</v>
      </c>
      <c r="Y266">
        <v>21999.999976014245</v>
      </c>
      <c r="Z266">
        <v>7636.3636480014147</v>
      </c>
      <c r="AB266">
        <v>21999.999971670648</v>
      </c>
      <c r="AC266">
        <v>7636.3636450508957</v>
      </c>
      <c r="AE266">
        <v>21999.9999721596</v>
      </c>
      <c r="AF266">
        <v>7636.3636454126508</v>
      </c>
      <c r="AH266">
        <v>21999.999969236509</v>
      </c>
      <c r="AI266">
        <v>7636.3636431783898</v>
      </c>
      <c r="AK266">
        <v>21999.999776894154</v>
      </c>
      <c r="AL266">
        <v>7636.3643216001428</v>
      </c>
      <c r="AZ266">
        <v>49999.999999992739</v>
      </c>
      <c r="BA266">
        <v>4.2389089520390413E-10</v>
      </c>
      <c r="BC266">
        <v>49999.999999961939</v>
      </c>
      <c r="BD266">
        <v>2.4977612987654605E-9</v>
      </c>
      <c r="BF266">
        <v>49999.999999996871</v>
      </c>
      <c r="BG266">
        <v>1.4442392706999791E-10</v>
      </c>
      <c r="BI266">
        <v>49999.999999954322</v>
      </c>
      <c r="BJ266">
        <v>3.0195733231279624E-9</v>
      </c>
      <c r="BL266">
        <v>49999.999999958898</v>
      </c>
      <c r="BM266">
        <v>2.7374149226273469E-9</v>
      </c>
      <c r="BO266">
        <v>49999.999999954634</v>
      </c>
      <c r="BP266">
        <v>3.0038775908068754E-9</v>
      </c>
      <c r="BR266">
        <v>49999.999999954882</v>
      </c>
      <c r="BS266">
        <v>2.98944743575916E-9</v>
      </c>
      <c r="BU266">
        <v>49999.9999999543</v>
      </c>
      <c r="BV266">
        <v>3.0127507492572611E-9</v>
      </c>
      <c r="BX266">
        <v>49999.999999999098</v>
      </c>
      <c r="BY266">
        <v>1.0088107842555867E-13</v>
      </c>
    </row>
    <row r="267" spans="13:77" x14ac:dyDescent="0.35">
      <c r="M267">
        <v>21999.999997617753</v>
      </c>
      <c r="N267">
        <v>7636.3635995644427</v>
      </c>
      <c r="P267">
        <v>21999.99997671997</v>
      </c>
      <c r="Q267">
        <v>7636.3636364046943</v>
      </c>
      <c r="S267">
        <v>21999.999966336331</v>
      </c>
      <c r="T267">
        <v>7636.3635836545391</v>
      </c>
      <c r="V267">
        <v>21999.999973416339</v>
      </c>
      <c r="W267">
        <v>7636.3636418753867</v>
      </c>
      <c r="Y267">
        <v>21999.999977024032</v>
      </c>
      <c r="Z267">
        <v>7636.3636459300851</v>
      </c>
      <c r="AB267">
        <v>21999.999974046754</v>
      </c>
      <c r="AC267">
        <v>7636.3636426580661</v>
      </c>
      <c r="AE267">
        <v>21999.999974374969</v>
      </c>
      <c r="AF267">
        <v>7636.363643055698</v>
      </c>
      <c r="AH267">
        <v>21999.999972429549</v>
      </c>
      <c r="AI267">
        <v>7636.3636406077148</v>
      </c>
      <c r="AK267">
        <v>21999.99965128527</v>
      </c>
      <c r="AL267">
        <v>7636.3642962192016</v>
      </c>
      <c r="AZ267">
        <v>49999.99999999351</v>
      </c>
      <c r="BA267">
        <v>3.7944134015001376E-10</v>
      </c>
      <c r="BC267">
        <v>49999.999999965919</v>
      </c>
      <c r="BD267">
        <v>2.2358439525397398E-9</v>
      </c>
      <c r="BF267">
        <v>49999.999999997206</v>
      </c>
      <c r="BG267">
        <v>1.2927951285862841E-10</v>
      </c>
      <c r="BI267">
        <v>49999.999999959095</v>
      </c>
      <c r="BJ267">
        <v>2.7029383300568749E-9</v>
      </c>
      <c r="BL267">
        <v>49999.999999963191</v>
      </c>
      <c r="BM267">
        <v>2.4503672962558129E-9</v>
      </c>
      <c r="BO267">
        <v>49999.999999959378</v>
      </c>
      <c r="BP267">
        <v>2.6888884654008239E-9</v>
      </c>
      <c r="BR267">
        <v>49999.999999959597</v>
      </c>
      <c r="BS267">
        <v>2.6759714685230259E-9</v>
      </c>
      <c r="BU267">
        <v>49999.99999995908</v>
      </c>
      <c r="BV267">
        <v>2.696831177008622E-9</v>
      </c>
      <c r="BX267">
        <v>49999.9999999992</v>
      </c>
      <c r="BY267">
        <v>9.030260386970656E-14</v>
      </c>
    </row>
    <row r="268" spans="13:77" x14ac:dyDescent="0.35">
      <c r="M268">
        <v>22000.000006598646</v>
      </c>
      <c r="N268">
        <v>7636.3635997609254</v>
      </c>
      <c r="P268">
        <v>21999.99998033329</v>
      </c>
      <c r="Q268">
        <v>7636.3636345135692</v>
      </c>
      <c r="S268">
        <v>21999.99998390791</v>
      </c>
      <c r="T268">
        <v>7636.3635814790932</v>
      </c>
      <c r="V268">
        <v>21999.999976263771</v>
      </c>
      <c r="W268">
        <v>7636.3636396579841</v>
      </c>
      <c r="Y268">
        <v>21999.999978361313</v>
      </c>
      <c r="Z268">
        <v>7636.3636439627144</v>
      </c>
      <c r="AB268">
        <v>21999.999976612948</v>
      </c>
      <c r="AC268">
        <v>7636.3636404835688</v>
      </c>
      <c r="AE268">
        <v>21999.999976797048</v>
      </c>
      <c r="AF268">
        <v>7636.3636409036435</v>
      </c>
      <c r="AH268">
        <v>21999.999975727151</v>
      </c>
      <c r="AI268">
        <v>7636.3636383236035</v>
      </c>
      <c r="AK268">
        <v>21999.99955116268</v>
      </c>
      <c r="AL268">
        <v>7636.3642609058797</v>
      </c>
      <c r="AZ268">
        <v>49999.999999994194</v>
      </c>
      <c r="BA268">
        <v>3.3965280274675918E-10</v>
      </c>
      <c r="BC268">
        <v>49999.999999969485</v>
      </c>
      <c r="BD268">
        <v>2.0013914790734372E-9</v>
      </c>
      <c r="BF268">
        <v>49999.999999997504</v>
      </c>
      <c r="BG268">
        <v>1.1572315463256934E-10</v>
      </c>
      <c r="BI268">
        <v>49999.999999963373</v>
      </c>
      <c r="BJ268">
        <v>2.4195059481193995E-9</v>
      </c>
      <c r="BL268">
        <v>49999.999999967033</v>
      </c>
      <c r="BM268">
        <v>2.1934197249123039E-9</v>
      </c>
      <c r="BO268">
        <v>49999.999999963627</v>
      </c>
      <c r="BP268">
        <v>2.406929364063608E-9</v>
      </c>
      <c r="BR268">
        <v>49999.999999963817</v>
      </c>
      <c r="BS268">
        <v>2.395366854319995E-9</v>
      </c>
      <c r="BU268">
        <v>49999.999999963358</v>
      </c>
      <c r="BV268">
        <v>2.4140391962656818E-9</v>
      </c>
      <c r="BX268">
        <v>49999.999999999294</v>
      </c>
      <c r="BY268">
        <v>8.0833397034573636E-14</v>
      </c>
    </row>
    <row r="269" spans="13:77" x14ac:dyDescent="0.35">
      <c r="M269">
        <v>22000.000014135927</v>
      </c>
      <c r="N269">
        <v>7636.36360068471</v>
      </c>
      <c r="P269">
        <v>21999.999983826772</v>
      </c>
      <c r="Q269">
        <v>7636.3636329359406</v>
      </c>
      <c r="S269">
        <v>21999.999999253934</v>
      </c>
      <c r="T269">
        <v>7636.3635807537776</v>
      </c>
      <c r="V269">
        <v>21999.999979186894</v>
      </c>
      <c r="W269">
        <v>7636.3636376953336</v>
      </c>
      <c r="Y269">
        <v>21999.9999799508</v>
      </c>
      <c r="Z269">
        <v>7636.3636421247993</v>
      </c>
      <c r="AB269">
        <v>21999.999979288561</v>
      </c>
      <c r="AC269">
        <v>7636.363638540528</v>
      </c>
      <c r="AE269">
        <v>21999.999979345725</v>
      </c>
      <c r="AF269">
        <v>7636.3636389711037</v>
      </c>
      <c r="AH269">
        <v>21999.999979045999</v>
      </c>
      <c r="AI269">
        <v>7636.3636363315118</v>
      </c>
      <c r="AK269">
        <v>21999.999474884055</v>
      </c>
      <c r="AL269">
        <v>7636.364217835302</v>
      </c>
      <c r="AZ269">
        <v>49999.999999994805</v>
      </c>
      <c r="BA269">
        <v>3.040365247711794E-10</v>
      </c>
      <c r="BC269">
        <v>49999.999999972679</v>
      </c>
      <c r="BD269">
        <v>1.7915238887569969E-9</v>
      </c>
      <c r="BF269">
        <v>49999.999999997774</v>
      </c>
      <c r="BG269">
        <v>1.0358832750830378E-10</v>
      </c>
      <c r="BI269">
        <v>49999.9999999672</v>
      </c>
      <c r="BJ269">
        <v>2.1657945236442225E-9</v>
      </c>
      <c r="BL269">
        <v>49999.999999970474</v>
      </c>
      <c r="BM269">
        <v>1.9634158915627985E-9</v>
      </c>
      <c r="BO269">
        <v>49999.999999967433</v>
      </c>
      <c r="BP269">
        <v>2.154536730748383E-9</v>
      </c>
      <c r="BR269">
        <v>49999.9999999676</v>
      </c>
      <c r="BS269">
        <v>2.1441866754812073E-9</v>
      </c>
      <c r="BU269">
        <v>49999.999999967193</v>
      </c>
      <c r="BV269">
        <v>2.1609010199782752E-9</v>
      </c>
      <c r="BX269">
        <v>49999.999999999374</v>
      </c>
      <c r="BY269">
        <v>7.2357139175927642E-14</v>
      </c>
    </row>
    <row r="270" spans="13:77" x14ac:dyDescent="0.35">
      <c r="M270">
        <v>22000.000020284082</v>
      </c>
      <c r="N270">
        <v>7636.3636022108467</v>
      </c>
      <c r="P270">
        <v>21999.999987145715</v>
      </c>
      <c r="Q270">
        <v>7636.3636316587526</v>
      </c>
      <c r="S270">
        <v>22000.000012381461</v>
      </c>
      <c r="T270">
        <v>7636.3635812824768</v>
      </c>
      <c r="V270">
        <v>21999.999982114325</v>
      </c>
      <c r="W270">
        <v>7636.3636359908833</v>
      </c>
      <c r="Y270">
        <v>21999.999981722955</v>
      </c>
      <c r="Z270">
        <v>7636.3636404354511</v>
      </c>
      <c r="AB270">
        <v>21999.999982002413</v>
      </c>
      <c r="AC270">
        <v>7636.3636368353782</v>
      </c>
      <c r="AE270">
        <v>21999.999981949935</v>
      </c>
      <c r="AF270">
        <v>7636.363637266033</v>
      </c>
      <c r="AH270">
        <v>21999.999982314457</v>
      </c>
      <c r="AI270">
        <v>7636.3636346300709</v>
      </c>
      <c r="AK270">
        <v>21999.999420553722</v>
      </c>
      <c r="AL270">
        <v>7636.364169026162</v>
      </c>
      <c r="AZ270">
        <v>49999.999999995358</v>
      </c>
      <c r="BA270">
        <v>2.7215499959780088E-10</v>
      </c>
      <c r="BC270">
        <v>49999.999999975538</v>
      </c>
      <c r="BD270">
        <v>1.6036631901085751E-9</v>
      </c>
      <c r="BF270">
        <v>49999.999999998014</v>
      </c>
      <c r="BG270">
        <v>9.2725968541369081E-11</v>
      </c>
      <c r="BI270">
        <v>49999.999999970627</v>
      </c>
      <c r="BJ270">
        <v>1.9386874920862511E-9</v>
      </c>
      <c r="BL270">
        <v>49999.999999973559</v>
      </c>
      <c r="BM270">
        <v>1.7575304532266446E-9</v>
      </c>
      <c r="BO270">
        <v>49999.999999970838</v>
      </c>
      <c r="BP270">
        <v>1.9286102008024344E-9</v>
      </c>
      <c r="BR270">
        <v>49999.999999970983</v>
      </c>
      <c r="BS270">
        <v>1.919345461017651E-9</v>
      </c>
      <c r="BU270">
        <v>49999.999999970627</v>
      </c>
      <c r="BV270">
        <v>1.9343071253219623E-9</v>
      </c>
      <c r="BX270">
        <v>49999.999999999447</v>
      </c>
      <c r="BY270">
        <v>6.4769708830685919E-14</v>
      </c>
    </row>
    <row r="271" spans="13:77" x14ac:dyDescent="0.35">
      <c r="M271">
        <v>22000.000025118356</v>
      </c>
      <c r="N271">
        <v>7636.3636042201333</v>
      </c>
      <c r="P271">
        <v>21999.999990246983</v>
      </c>
      <c r="Q271">
        <v>7636.3636306646476</v>
      </c>
      <c r="S271">
        <v>22000.000023342327</v>
      </c>
      <c r="T271">
        <v>7636.363582871727</v>
      </c>
      <c r="V271">
        <v>21999.999984984977</v>
      </c>
      <c r="W271">
        <v>7636.3636345422465</v>
      </c>
      <c r="Y271">
        <v>21999.999983614587</v>
      </c>
      <c r="Z271">
        <v>7636.3636389079302</v>
      </c>
      <c r="AB271">
        <v>21999.999984692891</v>
      </c>
      <c r="AC271">
        <v>7636.3636353687034</v>
      </c>
      <c r="AE271">
        <v>21999.999984547816</v>
      </c>
      <c r="AF271">
        <v>7636.3636357905325</v>
      </c>
      <c r="AH271">
        <v>21999.999985472365</v>
      </c>
      <c r="AI271">
        <v>7636.3636332121077</v>
      </c>
      <c r="AK271">
        <v>21999.999386098694</v>
      </c>
      <c r="AL271">
        <v>7636.3641163218035</v>
      </c>
      <c r="AZ271">
        <v>49999.999999995845</v>
      </c>
      <c r="BA271">
        <v>2.4361659791310808E-10</v>
      </c>
      <c r="BC271">
        <v>49999.999999978099</v>
      </c>
      <c r="BD271">
        <v>1.4355017219968916E-9</v>
      </c>
      <c r="BF271">
        <v>49999.999999998225</v>
      </c>
      <c r="BG271">
        <v>8.3002645652771447E-11</v>
      </c>
      <c r="BI271">
        <v>49999.999999973697</v>
      </c>
      <c r="BJ271">
        <v>1.7353950944744084E-9</v>
      </c>
      <c r="BL271">
        <v>49999.999999976324</v>
      </c>
      <c r="BM271">
        <v>1.5732343347595292E-9</v>
      </c>
      <c r="BO271">
        <v>49999.999999973887</v>
      </c>
      <c r="BP271">
        <v>1.7263745164127511E-9</v>
      </c>
      <c r="BR271">
        <v>49999.999999974018</v>
      </c>
      <c r="BS271">
        <v>1.7180812850179421E-9</v>
      </c>
      <c r="BU271">
        <v>49999.999999973697</v>
      </c>
      <c r="BV271">
        <v>1.7314740566455807E-9</v>
      </c>
      <c r="BX271">
        <v>49999.999999999513</v>
      </c>
      <c r="BY271">
        <v>5.7977902799776514E-14</v>
      </c>
    </row>
    <row r="272" spans="13:77" x14ac:dyDescent="0.35">
      <c r="M272">
        <v>22000.000028730177</v>
      </c>
      <c r="N272">
        <v>7636.3636066007439</v>
      </c>
      <c r="P272">
        <v>21999.999993098216</v>
      </c>
      <c r="Q272">
        <v>7636.3636299329464</v>
      </c>
      <c r="S272">
        <v>22000.000032225573</v>
      </c>
      <c r="T272">
        <v>7636.3635853343239</v>
      </c>
      <c r="V272">
        <v>21999.999987747837</v>
      </c>
      <c r="W272">
        <v>7636.3636333421009</v>
      </c>
      <c r="Y272">
        <v>21999.999985569244</v>
      </c>
      <c r="Z272">
        <v>7636.3636375502256</v>
      </c>
      <c r="AB272">
        <v>21999.999987307834</v>
      </c>
      <c r="AC272">
        <v>7636.363634136078</v>
      </c>
      <c r="AE272">
        <v>21999.999987086638</v>
      </c>
      <c r="AF272">
        <v>7636.3636345416544</v>
      </c>
      <c r="AH272">
        <v>21999.999988470598</v>
      </c>
      <c r="AI272">
        <v>7636.3636320656406</v>
      </c>
      <c r="AK272">
        <v>21999.999369337289</v>
      </c>
      <c r="AL272">
        <v>7636.3640613776788</v>
      </c>
      <c r="AZ272">
        <v>49999.999999996282</v>
      </c>
      <c r="BA272">
        <v>2.1807075698210554E-10</v>
      </c>
      <c r="BC272">
        <v>49999.999999980391</v>
      </c>
      <c r="BD272">
        <v>1.2849738065737749E-9</v>
      </c>
      <c r="BF272">
        <v>49999.999999998414</v>
      </c>
      <c r="BG272">
        <v>7.4298918563313422E-11</v>
      </c>
      <c r="BI272">
        <v>49999.999999976448</v>
      </c>
      <c r="BJ272">
        <v>1.553420108304845E-9</v>
      </c>
      <c r="BL272">
        <v>49999.999999978798</v>
      </c>
      <c r="BM272">
        <v>1.4082636619594929E-9</v>
      </c>
      <c r="BO272">
        <v>49999.999999976615</v>
      </c>
      <c r="BP272">
        <v>1.5453454356299438E-9</v>
      </c>
      <c r="BR272">
        <v>49999.999999976731</v>
      </c>
      <c r="BS272">
        <v>1.5379218394399234E-9</v>
      </c>
      <c r="BU272">
        <v>49999.999999976448</v>
      </c>
      <c r="BV272">
        <v>1.549910233793779E-9</v>
      </c>
      <c r="BX272">
        <v>49999.999999999571</v>
      </c>
      <c r="BY272">
        <v>5.1898291249810088E-14</v>
      </c>
    </row>
    <row r="273" spans="13:77" x14ac:dyDescent="0.35">
      <c r="M273">
        <v>22000.000031222902</v>
      </c>
      <c r="N273">
        <v>7636.3636092494626</v>
      </c>
      <c r="P273">
        <v>21999.999995676932</v>
      </c>
      <c r="Q273">
        <v>7636.3636294405624</v>
      </c>
      <c r="S273">
        <v>22000.000039150182</v>
      </c>
      <c r="T273">
        <v>7636.3635884922787</v>
      </c>
      <c r="V273">
        <v>21999.999990361535</v>
      </c>
      <c r="W273">
        <v>7636.3636323790588</v>
      </c>
      <c r="Y273">
        <v>21999.99998753738</v>
      </c>
      <c r="Z273">
        <v>7636.363636365656</v>
      </c>
      <c r="AB273">
        <v>21999.999989804233</v>
      </c>
      <c r="AC273">
        <v>7636.3636331288872</v>
      </c>
      <c r="AE273">
        <v>21999.999989522566</v>
      </c>
      <c r="AF273">
        <v>7636.3636335122019</v>
      </c>
      <c r="AH273">
        <v>21999.999991270481</v>
      </c>
      <c r="AI273">
        <v>7636.3636311748241</v>
      </c>
      <c r="AK273">
        <v>21999.999368040011</v>
      </c>
      <c r="AL273">
        <v>7636.3640056545119</v>
      </c>
      <c r="AZ273">
        <v>49999.999999996675</v>
      </c>
      <c r="BA273">
        <v>1.9520367437242607E-10</v>
      </c>
      <c r="BC273">
        <v>49999.999999982443</v>
      </c>
      <c r="BD273">
        <v>1.1502303747039917E-9</v>
      </c>
      <c r="BF273">
        <v>49999.999999998581</v>
      </c>
      <c r="BG273">
        <v>6.6507871601723583E-11</v>
      </c>
      <c r="BI273">
        <v>49999.999999978907</v>
      </c>
      <c r="BJ273">
        <v>1.3905271719214514E-9</v>
      </c>
      <c r="BL273">
        <v>49999.99999998101</v>
      </c>
      <c r="BM273">
        <v>1.2605919523735243E-9</v>
      </c>
      <c r="BO273">
        <v>49999.99999997906</v>
      </c>
      <c r="BP273">
        <v>1.3832992162005272E-9</v>
      </c>
      <c r="BR273">
        <v>49999.999999979162</v>
      </c>
      <c r="BS273">
        <v>1.3766540645378135E-9</v>
      </c>
      <c r="BU273">
        <v>49999.999999978914</v>
      </c>
      <c r="BV273">
        <v>1.3873853457975462E-9</v>
      </c>
      <c r="BX273">
        <v>49999.999999999622</v>
      </c>
      <c r="BY273">
        <v>4.6456192869751355E-14</v>
      </c>
    </row>
    <row r="274" spans="13:77" x14ac:dyDescent="0.35">
      <c r="M274">
        <v>22000.000032707962</v>
      </c>
      <c r="N274">
        <v>7636.3636120725596</v>
      </c>
      <c r="P274">
        <v>21999.999997969542</v>
      </c>
      <c r="Q274">
        <v>7636.3636291628272</v>
      </c>
      <c r="S274">
        <v>22000.000044258268</v>
      </c>
      <c r="T274">
        <v>7636.363592179152</v>
      </c>
      <c r="V274">
        <v>21999.999992793808</v>
      </c>
      <c r="W274">
        <v>7636.3636316384936</v>
      </c>
      <c r="Y274">
        <v>21999.99998947639</v>
      </c>
      <c r="Z274">
        <v>7636.3636353534812</v>
      </c>
      <c r="AB274">
        <v>21999.999992147794</v>
      </c>
      <c r="AC274">
        <v>7636.3636323351147</v>
      </c>
      <c r="AE274">
        <v>21999.999991820274</v>
      </c>
      <c r="AF274">
        <v>7636.3636326914921</v>
      </c>
      <c r="AH274">
        <v>21999.999993843063</v>
      </c>
      <c r="AI274">
        <v>7636.3636305208402</v>
      </c>
      <c r="AK274">
        <v>21999.999379982553</v>
      </c>
      <c r="AL274">
        <v>7636.3639504164785</v>
      </c>
      <c r="AZ274">
        <v>49999.999999997024</v>
      </c>
      <c r="BA274">
        <v>1.7473445323814318E-10</v>
      </c>
      <c r="BC274">
        <v>49999.999999984277</v>
      </c>
      <c r="BD274">
        <v>1.0296162521938028E-9</v>
      </c>
      <c r="BF274">
        <v>49999.999999998734</v>
      </c>
      <c r="BG274">
        <v>5.9533800363757169E-11</v>
      </c>
      <c r="BI274">
        <v>49999.999999981112</v>
      </c>
      <c r="BJ274">
        <v>1.244715325567577E-9</v>
      </c>
      <c r="BL274">
        <v>49999.999999982996</v>
      </c>
      <c r="BM274">
        <v>1.1284052221995161E-9</v>
      </c>
      <c r="BO274">
        <v>49999.99999998125</v>
      </c>
      <c r="BP274">
        <v>1.2382452993501637E-9</v>
      </c>
      <c r="BR274">
        <v>49999.999999981337</v>
      </c>
      <c r="BS274">
        <v>1.232296963868254E-9</v>
      </c>
      <c r="BU274">
        <v>49999.999999981119</v>
      </c>
      <c r="BV274">
        <v>1.2419029539680422E-9</v>
      </c>
      <c r="BX274">
        <v>49999.999999999665</v>
      </c>
      <c r="BY274">
        <v>4.1584757493522186E-14</v>
      </c>
    </row>
    <row r="275" spans="13:77" x14ac:dyDescent="0.35">
      <c r="M275">
        <v>22000.00003330137</v>
      </c>
      <c r="N275">
        <v>7636.3636149863496</v>
      </c>
      <c r="P275">
        <v>21999.999999970354</v>
      </c>
      <c r="Q275">
        <v>7636.3636290742297</v>
      </c>
      <c r="S275">
        <v>22000.000047708771</v>
      </c>
      <c r="T275">
        <v>7636.3635962418093</v>
      </c>
      <c r="V275">
        <v>21999.999995020837</v>
      </c>
      <c r="W275">
        <v>7636.3636311033133</v>
      </c>
      <c r="Y275">
        <v>21999.999991350469</v>
      </c>
      <c r="Z275">
        <v>7636.3636345095092</v>
      </c>
      <c r="AB275">
        <v>21999.999994312366</v>
      </c>
      <c r="AC275">
        <v>7636.3636317400869</v>
      </c>
      <c r="AE275">
        <v>21999.999993952431</v>
      </c>
      <c r="AF275">
        <v>7636.363632066088</v>
      </c>
      <c r="AH275">
        <v>21999.99999616831</v>
      </c>
      <c r="AI275">
        <v>7636.3636300827193</v>
      </c>
      <c r="AK275">
        <v>21999.999402990969</v>
      </c>
      <c r="AL275">
        <v>7636.363896733712</v>
      </c>
      <c r="AZ275">
        <v>49999.999999997337</v>
      </c>
      <c r="BA275">
        <v>1.5641165181235832E-10</v>
      </c>
      <c r="BC275">
        <v>49999.999999985921</v>
      </c>
      <c r="BD275">
        <v>9.2164982780465612E-10</v>
      </c>
      <c r="BF275">
        <v>49999.999999998872</v>
      </c>
      <c r="BG275">
        <v>5.3291036089325756E-11</v>
      </c>
      <c r="BI275">
        <v>49999.999999983083</v>
      </c>
      <c r="BJ275">
        <v>1.1141934318061129E-9</v>
      </c>
      <c r="BL275">
        <v>49999.999999984771</v>
      </c>
      <c r="BM275">
        <v>1.0100797034993752E-9</v>
      </c>
      <c r="BO275">
        <v>49999.999999983207</v>
      </c>
      <c r="BP275">
        <v>1.108401857968322E-9</v>
      </c>
      <c r="BR275">
        <v>49999.999999983287</v>
      </c>
      <c r="BS275">
        <v>1.1030772699376408E-9</v>
      </c>
      <c r="BU275">
        <v>49999.999999983091</v>
      </c>
      <c r="BV275">
        <v>1.1116759678530032E-9</v>
      </c>
      <c r="BX275">
        <v>49999.999999999702</v>
      </c>
      <c r="BY275">
        <v>3.7224144919568515E-14</v>
      </c>
    </row>
    <row r="276" spans="13:77" x14ac:dyDescent="0.35">
      <c r="M276">
        <v>22000.000033120672</v>
      </c>
      <c r="N276">
        <v>7636.3636179174564</v>
      </c>
      <c r="P276">
        <v>22000.000001680521</v>
      </c>
      <c r="Q276">
        <v>7636.3636291490666</v>
      </c>
      <c r="S276">
        <v>22000.000049671726</v>
      </c>
      <c r="T276">
        <v>7636.3636005416483</v>
      </c>
      <c r="V276">
        <v>21999.999997026505</v>
      </c>
      <c r="W276">
        <v>7636.3636307546731</v>
      </c>
      <c r="Y276">
        <v>21999.999993130365</v>
      </c>
      <c r="Z276">
        <v>7636.3636338266842</v>
      </c>
      <c r="AB276">
        <v>21999.999996279301</v>
      </c>
      <c r="AC276">
        <v>7636.36363132716</v>
      </c>
      <c r="AE276">
        <v>21999.999995899103</v>
      </c>
      <c r="AF276">
        <v>7636.3636316204747</v>
      </c>
      <c r="AH276">
        <v>21999.999998234201</v>
      </c>
      <c r="AI276">
        <v>7636.3636298380861</v>
      </c>
      <c r="AK276">
        <v>21999.999434979251</v>
      </c>
      <c r="AL276">
        <v>7636.3638454884467</v>
      </c>
      <c r="AZ276">
        <v>49999.999999997621</v>
      </c>
      <c r="BA276">
        <v>1.4001019472289171E-10</v>
      </c>
      <c r="BC276">
        <v>49999.999999987391</v>
      </c>
      <c r="BD276">
        <v>8.2500485329603054E-10</v>
      </c>
      <c r="BF276">
        <v>49999.999999998996</v>
      </c>
      <c r="BG276">
        <v>4.7702893316427846E-11</v>
      </c>
      <c r="BI276">
        <v>49999.999999984851</v>
      </c>
      <c r="BJ276">
        <v>9.973581733749555E-10</v>
      </c>
      <c r="BL276">
        <v>49999.999999986365</v>
      </c>
      <c r="BM276">
        <v>9.0416189800386883E-10</v>
      </c>
      <c r="BO276">
        <v>49999.999999984961</v>
      </c>
      <c r="BP276">
        <v>9.9217390883081654E-10</v>
      </c>
      <c r="BR276">
        <v>49999.999999985033</v>
      </c>
      <c r="BS276">
        <v>9.8740766157010019E-10</v>
      </c>
      <c r="BU276">
        <v>49999.999999984859</v>
      </c>
      <c r="BV276">
        <v>9.9510469280494279E-10</v>
      </c>
      <c r="BX276">
        <v>49999.999999999738</v>
      </c>
      <c r="BY276">
        <v>3.3320789840096689E-14</v>
      </c>
    </row>
    <row r="277" spans="13:77" x14ac:dyDescent="0.35">
      <c r="M277">
        <v>22000.000032282285</v>
      </c>
      <c r="N277">
        <v>7636.3636208028274</v>
      </c>
      <c r="P277">
        <v>22000.000003107034</v>
      </c>
      <c r="Q277">
        <v>7636.363629362002</v>
      </c>
      <c r="S277">
        <v>22000.000050323135</v>
      </c>
      <c r="T277">
        <v>7636.3636049553443</v>
      </c>
      <c r="V277">
        <v>21999.999998801621</v>
      </c>
      <c r="W277">
        <v>7636.3636305726177</v>
      </c>
      <c r="Y277">
        <v>21999.99999479303</v>
      </c>
      <c r="Z277">
        <v>7636.3636332956494</v>
      </c>
      <c r="AB277">
        <v>21999.99999803675</v>
      </c>
      <c r="AC277">
        <v>7636.363631078354</v>
      </c>
      <c r="AE277">
        <v>21999.99999764709</v>
      </c>
      <c r="AF277">
        <v>7636.3636313376828</v>
      </c>
      <c r="AH277">
        <v>22000.00000003583</v>
      </c>
      <c r="AI277">
        <v>7636.3636297638268</v>
      </c>
      <c r="AK277">
        <v>21999.999473979598</v>
      </c>
      <c r="AL277">
        <v>7636.3637973841542</v>
      </c>
      <c r="AZ277">
        <v>49999.999999997875</v>
      </c>
      <c r="BA277">
        <v>1.2532860819000198E-10</v>
      </c>
      <c r="BC277">
        <v>49999.999999988708</v>
      </c>
      <c r="BD277">
        <v>7.3849415193106139E-10</v>
      </c>
      <c r="BF277">
        <v>49999.999999999105</v>
      </c>
      <c r="BG277">
        <v>4.2700727884971545E-11</v>
      </c>
      <c r="BI277">
        <v>49999.999999986438</v>
      </c>
      <c r="BJ277">
        <v>8.9277435820581216E-10</v>
      </c>
      <c r="BL277">
        <v>49999.999999987791</v>
      </c>
      <c r="BM277">
        <v>8.0935072249223615E-10</v>
      </c>
      <c r="BO277">
        <v>49999.999999986532</v>
      </c>
      <c r="BP277">
        <v>8.8813371999306206E-10</v>
      </c>
      <c r="BR277">
        <v>49999.999999986598</v>
      </c>
      <c r="BS277">
        <v>8.8386726542054181E-10</v>
      </c>
      <c r="BU277">
        <v>49999.999999986445</v>
      </c>
      <c r="BV277">
        <v>8.9075717949977678E-10</v>
      </c>
      <c r="BX277">
        <v>49999.999999999767</v>
      </c>
      <c r="BY277">
        <v>2.9826743850447071E-14</v>
      </c>
    </row>
    <row r="278" spans="13:77" x14ac:dyDescent="0.35">
      <c r="M278">
        <v>22000.00003089926</v>
      </c>
      <c r="N278">
        <v>7636.3636235895328</v>
      </c>
      <c r="P278">
        <v>22000.000004261725</v>
      </c>
      <c r="Q278">
        <v>7636.3636296885352</v>
      </c>
      <c r="S278">
        <v>22000.000049840466</v>
      </c>
      <c r="T278">
        <v>7636.3636093751729</v>
      </c>
      <c r="V278">
        <v>22000.00000034308</v>
      </c>
      <c r="W278">
        <v>7636.3636305366581</v>
      </c>
      <c r="Y278">
        <v>21999.999996321196</v>
      </c>
      <c r="Z278">
        <v>7636.3636329052761</v>
      </c>
      <c r="AB278">
        <v>21999.999999578911</v>
      </c>
      <c r="AC278">
        <v>7636.3636309749163</v>
      </c>
      <c r="AE278">
        <v>21999.999999189215</v>
      </c>
      <c r="AF278">
        <v>7636.3636311998507</v>
      </c>
      <c r="AH278">
        <v>22000.000001574455</v>
      </c>
      <c r="AI278">
        <v>7636.3636298366746</v>
      </c>
      <c r="AK278">
        <v>21999.999518165852</v>
      </c>
      <c r="AL278">
        <v>7636.3637529570351</v>
      </c>
      <c r="AZ278">
        <v>49999.999999998101</v>
      </c>
      <c r="BA278">
        <v>1.1218654514359379E-10</v>
      </c>
      <c r="BC278">
        <v>49999.999999989886</v>
      </c>
      <c r="BD278">
        <v>6.6105503532194076E-10</v>
      </c>
      <c r="BF278">
        <v>49999.9999999992</v>
      </c>
      <c r="BG278">
        <v>3.8223093719107062E-11</v>
      </c>
      <c r="BI278">
        <v>49999.999999987856</v>
      </c>
      <c r="BJ278">
        <v>7.9915728967526666E-10</v>
      </c>
      <c r="BL278">
        <v>49999.999999989064</v>
      </c>
      <c r="BM278">
        <v>7.2448152642227899E-10</v>
      </c>
      <c r="BO278">
        <v>49999.999999987944</v>
      </c>
      <c r="BP278">
        <v>7.9500327268051593E-10</v>
      </c>
      <c r="BR278">
        <v>49999.999999988002</v>
      </c>
      <c r="BS278">
        <v>7.911842021154182E-10</v>
      </c>
      <c r="BU278">
        <v>49999.999999987864</v>
      </c>
      <c r="BV278">
        <v>7.9735163402141751E-10</v>
      </c>
      <c r="BX278">
        <v>49999.999999999796</v>
      </c>
      <c r="BY278">
        <v>2.6699086455916998E-14</v>
      </c>
    </row>
    <row r="279" spans="13:77" x14ac:dyDescent="0.35">
      <c r="M279">
        <v>22000.000029079441</v>
      </c>
      <c r="N279">
        <v>7636.3636262343853</v>
      </c>
      <c r="P279">
        <v>22000.000005160317</v>
      </c>
      <c r="Q279">
        <v>7636.3636301053866</v>
      </c>
      <c r="S279">
        <v>22000.000048398775</v>
      </c>
      <c r="T279">
        <v>7636.3636137089652</v>
      </c>
      <c r="V279">
        <v>22000.000001653065</v>
      </c>
      <c r="W279">
        <v>7636.3636306262688</v>
      </c>
      <c r="Y279">
        <v>21999.999997702882</v>
      </c>
      <c r="Z279">
        <v>7636.3636326431497</v>
      </c>
      <c r="AB279">
        <v>22000.000000905278</v>
      </c>
      <c r="AC279">
        <v>7636.363630997821</v>
      </c>
      <c r="AE279">
        <v>22000.0000005236</v>
      </c>
      <c r="AF279">
        <v>7636.363631188723</v>
      </c>
      <c r="AH279">
        <v>22000.000002856592</v>
      </c>
      <c r="AI279">
        <v>7636.3636300337093</v>
      </c>
      <c r="AK279">
        <v>21999.999565870588</v>
      </c>
      <c r="AL279">
        <v>7636.3637125892965</v>
      </c>
      <c r="AZ279">
        <v>49999.999999998305</v>
      </c>
      <c r="BA279">
        <v>1.0042256985871198E-10</v>
      </c>
      <c r="BC279">
        <v>49999.999999990941</v>
      </c>
      <c r="BD279">
        <v>5.9173624947714897E-10</v>
      </c>
      <c r="BF279">
        <v>49999.999999999287</v>
      </c>
      <c r="BG279">
        <v>3.4214988030071506E-11</v>
      </c>
      <c r="BI279">
        <v>49999.99999998913</v>
      </c>
      <c r="BJ279">
        <v>7.1535698552611428E-10</v>
      </c>
      <c r="BL279">
        <v>49999.999999990207</v>
      </c>
      <c r="BM279">
        <v>6.4851178548517644E-10</v>
      </c>
      <c r="BO279">
        <v>49999.999999989202</v>
      </c>
      <c r="BP279">
        <v>7.1163856224000937E-10</v>
      </c>
      <c r="BR279">
        <v>49999.999999989253</v>
      </c>
      <c r="BS279">
        <v>7.0821996261981468E-10</v>
      </c>
      <c r="BU279">
        <v>49999.99999998913</v>
      </c>
      <c r="BV279">
        <v>7.1374067243966225E-10</v>
      </c>
      <c r="BX279">
        <v>49999.999999999818</v>
      </c>
      <c r="BY279">
        <v>2.3899397840902633E-14</v>
      </c>
    </row>
    <row r="280" spans="13:77" x14ac:dyDescent="0.35">
      <c r="M280">
        <v>22000.000026923997</v>
      </c>
      <c r="N280">
        <v>7636.3636287034133</v>
      </c>
      <c r="P280">
        <v>22000.000005821534</v>
      </c>
      <c r="Q280">
        <v>7636.3636305908003</v>
      </c>
      <c r="S280">
        <v>22000.000046167439</v>
      </c>
      <c r="T280">
        <v>7636.363617879746</v>
      </c>
      <c r="V280">
        <v>22000.000002738219</v>
      </c>
      <c r="W280">
        <v>7636.3636308213208</v>
      </c>
      <c r="Y280">
        <v>21999.999998930874</v>
      </c>
      <c r="Z280">
        <v>7636.3636324960144</v>
      </c>
      <c r="AB280">
        <v>22000.000002019871</v>
      </c>
      <c r="AC280">
        <v>7636.3636311282044</v>
      </c>
      <c r="AE280">
        <v>22000.000001652927</v>
      </c>
      <c r="AF280">
        <v>7636.3636312860854</v>
      </c>
      <c r="AH280">
        <v>22000.000003893096</v>
      </c>
      <c r="AI280">
        <v>7636.3636303327849</v>
      </c>
      <c r="AK280">
        <v>21999.999615596444</v>
      </c>
      <c r="AL280">
        <v>7636.3636765236761</v>
      </c>
      <c r="AZ280">
        <v>49999.999999998487</v>
      </c>
      <c r="BA280">
        <v>8.9892174896017485E-11</v>
      </c>
      <c r="BC280">
        <v>49999.999999991887</v>
      </c>
      <c r="BD280">
        <v>5.2968628969712986E-10</v>
      </c>
      <c r="BF280">
        <v>49999.999999999367</v>
      </c>
      <c r="BG280">
        <v>3.0627175667696972E-11</v>
      </c>
      <c r="BI280">
        <v>49999.999999990265</v>
      </c>
      <c r="BJ280">
        <v>6.4034405160585166E-10</v>
      </c>
      <c r="BL280">
        <v>49999.999999991232</v>
      </c>
      <c r="BM280">
        <v>5.8050829534614898E-10</v>
      </c>
      <c r="BO280">
        <v>49999.99999999033</v>
      </c>
      <c r="BP280">
        <v>6.3701554530649869E-10</v>
      </c>
      <c r="BR280">
        <v>49999.999999990374</v>
      </c>
      <c r="BS280">
        <v>6.3395542291179851E-10</v>
      </c>
      <c r="BU280">
        <v>49999.999999990265</v>
      </c>
      <c r="BV280">
        <v>6.388972264662592E-10</v>
      </c>
      <c r="BX280">
        <v>49999.99999999984</v>
      </c>
      <c r="BY280">
        <v>2.1393286923911115E-14</v>
      </c>
    </row>
    <row r="281" spans="13:77" x14ac:dyDescent="0.35">
      <c r="M281">
        <v>22000.000024526296</v>
      </c>
      <c r="N281">
        <v>7636.3636309712228</v>
      </c>
      <c r="P281">
        <v>22000.000006266273</v>
      </c>
      <c r="Q281">
        <v>7636.363631124771</v>
      </c>
      <c r="S281">
        <v>22000.000043307486</v>
      </c>
      <c r="T281">
        <v>7636.3636218251113</v>
      </c>
      <c r="V281">
        <v>22000.00000360886</v>
      </c>
      <c r="W281">
        <v>7636.3636311024366</v>
      </c>
      <c r="Y281">
        <v>22000.00000000219</v>
      </c>
      <c r="Z281">
        <v>7636.3636324501695</v>
      </c>
      <c r="AB281">
        <v>22000.000002930501</v>
      </c>
      <c r="AC281">
        <v>7636.3636313477273</v>
      </c>
      <c r="AE281">
        <v>22000.000002583722</v>
      </c>
      <c r="AF281">
        <v>7636.3636314741343</v>
      </c>
      <c r="AH281">
        <v>22000.000004698315</v>
      </c>
      <c r="AI281">
        <v>7636.3636307128709</v>
      </c>
      <c r="AK281">
        <v>21999.99966602229</v>
      </c>
      <c r="AL281">
        <v>7636.3636448787292</v>
      </c>
      <c r="AZ281">
        <v>49999.999999998647</v>
      </c>
      <c r="BA281">
        <v>8.0466005987549254E-11</v>
      </c>
      <c r="BC281">
        <v>49999.999999992739</v>
      </c>
      <c r="BD281">
        <v>4.741429407798134E-10</v>
      </c>
      <c r="BF281">
        <v>49999.999999999432</v>
      </c>
      <c r="BG281">
        <v>2.7415584320986517E-11</v>
      </c>
      <c r="BI281">
        <v>49999.999999991283</v>
      </c>
      <c r="BJ281">
        <v>5.7319703689680483E-10</v>
      </c>
      <c r="BL281">
        <v>49999.999999992149</v>
      </c>
      <c r="BM281">
        <v>5.1963570826022524E-10</v>
      </c>
      <c r="BO281">
        <v>49999.999999991342</v>
      </c>
      <c r="BP281">
        <v>5.7021756056170528E-10</v>
      </c>
      <c r="BR281">
        <v>49999.999999991378</v>
      </c>
      <c r="BS281">
        <v>5.6747832516975491E-10</v>
      </c>
      <c r="BU281">
        <v>49999.999999991283</v>
      </c>
      <c r="BV281">
        <v>5.7190192705570849E-10</v>
      </c>
      <c r="BX281">
        <v>49999.999999999862</v>
      </c>
      <c r="BY281">
        <v>1.9149968901120269E-14</v>
      </c>
    </row>
    <row r="282" spans="13:77" x14ac:dyDescent="0.35">
      <c r="M282">
        <v>22000.000021971118</v>
      </c>
      <c r="N282">
        <v>7636.3636330202717</v>
      </c>
      <c r="P282">
        <v>22000.000006516864</v>
      </c>
      <c r="Q282">
        <v>7636.3636316892025</v>
      </c>
      <c r="S282">
        <v>22000.000039969487</v>
      </c>
      <c r="T282">
        <v>7636.3636254963967</v>
      </c>
      <c r="V282">
        <v>22000.000004278234</v>
      </c>
      <c r="W282">
        <v>7636.3636314512833</v>
      </c>
      <c r="Y282">
        <v>22000.000000917509</v>
      </c>
      <c r="Z282">
        <v>7636.363632491818</v>
      </c>
      <c r="AB282">
        <v>22000.000003648052</v>
      </c>
      <c r="AC282">
        <v>7636.3636316388811</v>
      </c>
      <c r="AE282">
        <v>22000.000003325662</v>
      </c>
      <c r="AF282">
        <v>7636.363631735785</v>
      </c>
      <c r="AH282">
        <v>22000.000005289294</v>
      </c>
      <c r="AI282">
        <v>7636.363631154325</v>
      </c>
      <c r="AK282">
        <v>21999.999716004855</v>
      </c>
      <c r="AL282">
        <v>7636.3636176644613</v>
      </c>
      <c r="AZ282">
        <v>49999.999999998792</v>
      </c>
      <c r="BA282">
        <v>7.2028273062455071E-11</v>
      </c>
      <c r="BC282">
        <v>49999.999999993495</v>
      </c>
      <c r="BD282">
        <v>4.2442391404896583E-10</v>
      </c>
      <c r="BF282">
        <v>49999.999999999491</v>
      </c>
      <c r="BG282">
        <v>2.4540763138465389E-11</v>
      </c>
      <c r="BI282">
        <v>49999.999999992193</v>
      </c>
      <c r="BJ282">
        <v>5.1309111450841146E-10</v>
      </c>
      <c r="BL282">
        <v>49999.999999992971</v>
      </c>
      <c r="BM282">
        <v>4.6514627174810108E-10</v>
      </c>
      <c r="BO282">
        <v>49999.999999992244</v>
      </c>
      <c r="BP282">
        <v>5.104240685625636E-10</v>
      </c>
      <c r="BR282">
        <v>49999.99999999228</v>
      </c>
      <c r="BS282">
        <v>5.079720716929258E-10</v>
      </c>
      <c r="BU282">
        <v>49999.999999992193</v>
      </c>
      <c r="BV282">
        <v>5.1193181097227234E-10</v>
      </c>
      <c r="BX282">
        <v>49999.999999999876</v>
      </c>
      <c r="BY282">
        <v>1.7141887089075212E-14</v>
      </c>
    </row>
    <row r="283" spans="13:77" x14ac:dyDescent="0.35">
      <c r="M283">
        <v>22000.000019334158</v>
      </c>
      <c r="N283">
        <v>7636.3636348400878</v>
      </c>
      <c r="P283">
        <v>22000.000006596394</v>
      </c>
      <c r="Q283">
        <v>7636.3636322680049</v>
      </c>
      <c r="S283">
        <v>22000.000036291964</v>
      </c>
      <c r="T283">
        <v>7636.3636288576818</v>
      </c>
      <c r="V283">
        <v>22000.000004761816</v>
      </c>
      <c r="W283">
        <v>7636.3636318507961</v>
      </c>
      <c r="Y283">
        <v>22000.000001680637</v>
      </c>
      <c r="Z283">
        <v>7636.3636326073629</v>
      </c>
      <c r="AB283">
        <v>22000.000004185811</v>
      </c>
      <c r="AC283">
        <v>7636.3636319852258</v>
      </c>
      <c r="AE283">
        <v>22000.00000389092</v>
      </c>
      <c r="AF283">
        <v>7636.3636320549194</v>
      </c>
      <c r="AH283">
        <v>22000.000005685011</v>
      </c>
      <c r="AI283">
        <v>7636.3636316390985</v>
      </c>
      <c r="AK283">
        <v>21999.999764576449</v>
      </c>
      <c r="AL283">
        <v>7636.3635947979192</v>
      </c>
      <c r="AZ283">
        <v>49999.999999998923</v>
      </c>
      <c r="BA283">
        <v>6.4475327893897941E-11</v>
      </c>
      <c r="BC283">
        <v>49999.999999994179</v>
      </c>
      <c r="BD283">
        <v>3.7991846619160646E-10</v>
      </c>
      <c r="BF283">
        <v>49999.999999999549</v>
      </c>
      <c r="BG283">
        <v>2.1967398118056619E-11</v>
      </c>
      <c r="BI283">
        <v>49999.999999993008</v>
      </c>
      <c r="BJ283">
        <v>4.5928794959015273E-10</v>
      </c>
      <c r="BL283">
        <v>49999.999999993706</v>
      </c>
      <c r="BM283">
        <v>4.1637064328306081E-10</v>
      </c>
      <c r="BO283">
        <v>49999.999999993051</v>
      </c>
      <c r="BP283">
        <v>4.5690057232070856E-10</v>
      </c>
      <c r="BR283">
        <v>49999.999999993088</v>
      </c>
      <c r="BS283">
        <v>4.5470569390084672E-10</v>
      </c>
      <c r="BU283">
        <v>49999.999999993008</v>
      </c>
      <c r="BV283">
        <v>4.5825021159584719E-10</v>
      </c>
      <c r="BX283">
        <v>49999.999999999891</v>
      </c>
      <c r="BY283">
        <v>1.5344374421277184E-14</v>
      </c>
    </row>
    <row r="284" spans="13:77" x14ac:dyDescent="0.35">
      <c r="M284">
        <v>22000.000016681777</v>
      </c>
      <c r="N284">
        <v>7636.3636364264585</v>
      </c>
      <c r="P284">
        <v>22000.00000652812</v>
      </c>
      <c r="Q284">
        <v>7636.363632847133</v>
      </c>
      <c r="S284">
        <v>22000.000032400287</v>
      </c>
      <c r="T284">
        <v>7636.3636318846775</v>
      </c>
      <c r="V284">
        <v>22000.000005076665</v>
      </c>
      <c r="W284">
        <v>7636.363632285349</v>
      </c>
      <c r="Y284">
        <v>22000.000002297969</v>
      </c>
      <c r="Z284">
        <v>7636.3636327836612</v>
      </c>
      <c r="AB284">
        <v>22000.000004558846</v>
      </c>
      <c r="AC284">
        <v>7636.3636323715746</v>
      </c>
      <c r="AE284">
        <v>22000.000004293539</v>
      </c>
      <c r="AF284">
        <v>7636.36363241658</v>
      </c>
      <c r="AH284">
        <v>22000.00000590572</v>
      </c>
      <c r="AI284">
        <v>7636.3636321508729</v>
      </c>
      <c r="AK284">
        <v>21999.999810939385</v>
      </c>
      <c r="AL284">
        <v>7636.3635761184378</v>
      </c>
      <c r="AZ284">
        <v>49999.99999999904</v>
      </c>
      <c r="BA284">
        <v>5.77143908951017E-11</v>
      </c>
      <c r="BC284">
        <v>49999.99999999479</v>
      </c>
      <c r="BD284">
        <v>3.4007989695116679E-10</v>
      </c>
      <c r="BF284">
        <v>49999.9999999996</v>
      </c>
      <c r="BG284">
        <v>1.9663878313581E-11</v>
      </c>
      <c r="BI284">
        <v>49999.999999993743</v>
      </c>
      <c r="BJ284">
        <v>4.1112662970363927E-10</v>
      </c>
      <c r="BL284">
        <v>49999.999999994361</v>
      </c>
      <c r="BM284">
        <v>3.7270966815753705E-10</v>
      </c>
      <c r="BO284">
        <v>49999.999999993779</v>
      </c>
      <c r="BP284">
        <v>4.089895948184578E-10</v>
      </c>
      <c r="BR284">
        <v>49999.999999993808</v>
      </c>
      <c r="BS284">
        <v>4.0702487319192211E-10</v>
      </c>
      <c r="BU284">
        <v>49999.999999993743</v>
      </c>
      <c r="BV284">
        <v>4.1019770978641749E-10</v>
      </c>
      <c r="BX284">
        <v>49999.999999999905</v>
      </c>
      <c r="BY284">
        <v>1.3735350440524213E-14</v>
      </c>
    </row>
    <row r="285" spans="13:77" x14ac:dyDescent="0.35">
      <c r="M285">
        <v>22000.000014070996</v>
      </c>
      <c r="N285">
        <v>7636.3636377806051</v>
      </c>
      <c r="P285">
        <v>22000.000006334969</v>
      </c>
      <c r="Q285">
        <v>7636.3636334145785</v>
      </c>
      <c r="S285">
        <v>22000.000028406001</v>
      </c>
      <c r="T285">
        <v>7636.3636345635332</v>
      </c>
      <c r="V285">
        <v>22000.00000524084</v>
      </c>
      <c r="W285">
        <v>7636.3636327408676</v>
      </c>
      <c r="Y285">
        <v>22000.000002777982</v>
      </c>
      <c r="Z285">
        <v>7636.3636330082272</v>
      </c>
      <c r="AB285">
        <v>22000.000004783429</v>
      </c>
      <c r="AC285">
        <v>7636.363632784125</v>
      </c>
      <c r="AE285">
        <v>22000.000004548881</v>
      </c>
      <c r="AF285">
        <v>7636.363632807107</v>
      </c>
      <c r="AH285">
        <v>22000.000005972339</v>
      </c>
      <c r="AI285">
        <v>7636.3636326751484</v>
      </c>
      <c r="AK285">
        <v>21999.99985445771</v>
      </c>
      <c r="AL285">
        <v>7636.3635614022724</v>
      </c>
      <c r="AZ285">
        <v>49999.999999999141</v>
      </c>
      <c r="BA285">
        <v>5.1662411424631877E-11</v>
      </c>
      <c r="BC285">
        <v>49999.999999995336</v>
      </c>
      <c r="BD285">
        <v>3.0441883351884202E-10</v>
      </c>
      <c r="BF285">
        <v>49999.999999999643</v>
      </c>
      <c r="BG285">
        <v>1.7601907529207578E-11</v>
      </c>
      <c r="BI285">
        <v>49999.999999994398</v>
      </c>
      <c r="BJ285">
        <v>3.6801554624349259E-10</v>
      </c>
      <c r="BL285">
        <v>49999.99999999495</v>
      </c>
      <c r="BM285">
        <v>3.3362701952948439E-10</v>
      </c>
      <c r="BO285">
        <v>49999.999999994427</v>
      </c>
      <c r="BP285">
        <v>3.6610260263004103E-10</v>
      </c>
      <c r="BR285">
        <v>49999.999999994456</v>
      </c>
      <c r="BS285">
        <v>3.643439033623066E-10</v>
      </c>
      <c r="BU285">
        <v>49999.999999994398</v>
      </c>
      <c r="BV285">
        <v>3.6718403364845771E-10</v>
      </c>
      <c r="BX285">
        <v>49999.999999999913</v>
      </c>
      <c r="BY285">
        <v>1.2295050064889232E-14</v>
      </c>
    </row>
    <row r="286" spans="13:77" x14ac:dyDescent="0.35">
      <c r="M286">
        <v>22000.000011549677</v>
      </c>
      <c r="N286">
        <v>7636.3636389083667</v>
      </c>
      <c r="P286">
        <v>22000.000006039107</v>
      </c>
      <c r="Q286">
        <v>7636.3636339603245</v>
      </c>
      <c r="S286">
        <v>22000.00002440653</v>
      </c>
      <c r="T286">
        <v>7636.363636889605</v>
      </c>
      <c r="V286">
        <v>22000.000005272883</v>
      </c>
      <c r="W286">
        <v>7636.3636332048927</v>
      </c>
      <c r="Y286">
        <v>22000.00000313075</v>
      </c>
      <c r="Z286">
        <v>7636.3636332693986</v>
      </c>
      <c r="AB286">
        <v>22000.000004876536</v>
      </c>
      <c r="AC286">
        <v>7636.3636332105434</v>
      </c>
      <c r="AE286">
        <v>22000.000004673111</v>
      </c>
      <c r="AF286">
        <v>7636.3636332142332</v>
      </c>
      <c r="AH286">
        <v>22000.00000590592</v>
      </c>
      <c r="AI286">
        <v>7636.3636331992793</v>
      </c>
      <c r="AK286">
        <v>21999.999894646786</v>
      </c>
      <c r="AL286">
        <v>7636.3635503763971</v>
      </c>
      <c r="AZ286">
        <v>49999.999999999229</v>
      </c>
      <c r="BA286">
        <v>4.6245047601021419E-11</v>
      </c>
      <c r="BC286">
        <v>49999.999999995824</v>
      </c>
      <c r="BD286">
        <v>2.7249721912930226E-10</v>
      </c>
      <c r="BF286">
        <v>49999.99999999968</v>
      </c>
      <c r="BG286">
        <v>1.5756156731949981E-11</v>
      </c>
      <c r="BI286">
        <v>49999.999999994987</v>
      </c>
      <c r="BJ286">
        <v>3.2942512717924699E-10</v>
      </c>
      <c r="BL286">
        <v>49999.999999995482</v>
      </c>
      <c r="BM286">
        <v>2.9864261023966758E-10</v>
      </c>
      <c r="BO286">
        <v>49999.999999995009</v>
      </c>
      <c r="BP286">
        <v>3.2771277643868598E-10</v>
      </c>
      <c r="BR286">
        <v>49999.999999995038</v>
      </c>
      <c r="BS286">
        <v>3.2613849585228889E-10</v>
      </c>
      <c r="BU286">
        <v>49999.999999994987</v>
      </c>
      <c r="BV286">
        <v>3.286808076928379E-10</v>
      </c>
      <c r="BX286">
        <v>49999.99999999992</v>
      </c>
      <c r="BY286">
        <v>1.1005780795525399E-14</v>
      </c>
    </row>
    <row r="287" spans="13:77" x14ac:dyDescent="0.35">
      <c r="M287">
        <v>22000.000009156862</v>
      </c>
      <c r="N287">
        <v>7636.3636398194085</v>
      </c>
      <c r="P287">
        <v>22000.000005661597</v>
      </c>
      <c r="Q287">
        <v>7636.363634476259</v>
      </c>
      <c r="S287">
        <v>22000.000020485226</v>
      </c>
      <c r="T287">
        <v>7636.3636388662098</v>
      </c>
      <c r="V287">
        <v>22000.00000519137</v>
      </c>
      <c r="W287">
        <v>7636.3636336666032</v>
      </c>
      <c r="Y287">
        <v>22000.00000336751</v>
      </c>
      <c r="Z287">
        <v>7636.3636335564524</v>
      </c>
      <c r="AB287">
        <v>22000.000004855381</v>
      </c>
      <c r="AC287">
        <v>7636.363633640005</v>
      </c>
      <c r="AE287">
        <v>22000.000004682752</v>
      </c>
      <c r="AF287">
        <v>7636.3636336271338</v>
      </c>
      <c r="AH287">
        <v>22000.000005727205</v>
      </c>
      <c r="AI287">
        <v>7636.3636337124617</v>
      </c>
      <c r="AK287">
        <v>21999.999931161285</v>
      </c>
      <c r="AL287">
        <v>7636.363542731322</v>
      </c>
      <c r="AZ287">
        <v>49999.999999999309</v>
      </c>
      <c r="BA287">
        <v>4.1395753094891004E-11</v>
      </c>
      <c r="BC287">
        <v>49999.99999999626</v>
      </c>
      <c r="BD287">
        <v>2.4392293201730269E-10</v>
      </c>
      <c r="BF287">
        <v>49999.999999999716</v>
      </c>
      <c r="BG287">
        <v>1.4103952912480106E-11</v>
      </c>
      <c r="BI287">
        <v>49999.999999995511</v>
      </c>
      <c r="BJ287">
        <v>2.9488133184803517E-10</v>
      </c>
      <c r="BL287">
        <v>49999.999999995955</v>
      </c>
      <c r="BM287">
        <v>2.6732669547131868E-10</v>
      </c>
      <c r="BO287">
        <v>49999.999999995533</v>
      </c>
      <c r="BP287">
        <v>2.9334853964335052E-10</v>
      </c>
      <c r="BR287">
        <v>49999.999999995554</v>
      </c>
      <c r="BS287">
        <v>2.919393394405783E-10</v>
      </c>
      <c r="BU287">
        <v>49999.999999995511</v>
      </c>
      <c r="BV287">
        <v>2.9421506232769789E-10</v>
      </c>
      <c r="BX287">
        <v>49999.999999999927</v>
      </c>
      <c r="BY287">
        <v>9.8517053838647331E-15</v>
      </c>
    </row>
    <row r="288" spans="13:77" x14ac:dyDescent="0.35">
      <c r="M288">
        <v>22000.000006923266</v>
      </c>
      <c r="N288">
        <v>7636.3636405264633</v>
      </c>
      <c r="P288">
        <v>22000.000005222118</v>
      </c>
      <c r="Q288">
        <v>7636.3636349560666</v>
      </c>
      <c r="S288">
        <v>22000.000016711692</v>
      </c>
      <c r="T288">
        <v>7636.3636405034003</v>
      </c>
      <c r="V288">
        <v>22000.000005014514</v>
      </c>
      <c r="W288">
        <v>7636.3636341168012</v>
      </c>
      <c r="Y288">
        <v>22000.000003500259</v>
      </c>
      <c r="Z288">
        <v>7636.3636338596925</v>
      </c>
      <c r="AB288">
        <v>22000.000004737034</v>
      </c>
      <c r="AC288">
        <v>7636.3636340631974</v>
      </c>
      <c r="AE288">
        <v>22000.000004594283</v>
      </c>
      <c r="AF288">
        <v>7636.3636340364419</v>
      </c>
      <c r="AH288">
        <v>22000.00000545623</v>
      </c>
      <c r="AI288">
        <v>7636.3636342056916</v>
      </c>
      <c r="AK288">
        <v>21999.999963782026</v>
      </c>
      <c r="AL288">
        <v>7636.3635381327895</v>
      </c>
      <c r="AZ288">
        <v>49999.999999999382</v>
      </c>
      <c r="BA288">
        <v>3.7054959680814128E-11</v>
      </c>
      <c r="BC288">
        <v>49999.999999996653</v>
      </c>
      <c r="BD288">
        <v>2.1834496863502032E-10</v>
      </c>
      <c r="BF288">
        <v>49999.999999999745</v>
      </c>
      <c r="BG288">
        <v>1.2625000572258053E-11</v>
      </c>
      <c r="BI288">
        <v>49999.999999995984</v>
      </c>
      <c r="BJ288">
        <v>2.6395982788877302E-10</v>
      </c>
      <c r="BL288">
        <v>49999.999999996377</v>
      </c>
      <c r="BM288">
        <v>2.3929459380985223E-10</v>
      </c>
      <c r="BO288">
        <v>49999.999999995998</v>
      </c>
      <c r="BP288">
        <v>2.625877655611845E-10</v>
      </c>
      <c r="BR288">
        <v>49999.99999999602</v>
      </c>
      <c r="BS288">
        <v>2.613263352744539E-10</v>
      </c>
      <c r="BU288">
        <v>49999.999999995984</v>
      </c>
      <c r="BV288">
        <v>2.6336342394955586E-10</v>
      </c>
      <c r="BX288">
        <v>49999.999999999935</v>
      </c>
      <c r="BY288">
        <v>8.8186472885167138E-15</v>
      </c>
    </row>
    <row r="289" spans="13:77" x14ac:dyDescent="0.35">
      <c r="M289">
        <v>22000.000004871836</v>
      </c>
      <c r="N289">
        <v>7636.3636410446243</v>
      </c>
      <c r="P289">
        <v>22000.000004738769</v>
      </c>
      <c r="Q289">
        <v>7636.3636353950969</v>
      </c>
      <c r="S289">
        <v>22000.000013142344</v>
      </c>
      <c r="T289">
        <v>7636.3636418167735</v>
      </c>
      <c r="V289">
        <v>22000.000004759844</v>
      </c>
      <c r="W289">
        <v>7636.3636345478644</v>
      </c>
      <c r="Y289">
        <v>22000.000003541401</v>
      </c>
      <c r="Z289">
        <v>7636.3636341705005</v>
      </c>
      <c r="AB289">
        <v>22000.000004538088</v>
      </c>
      <c r="AC289">
        <v>7636.3636344722936</v>
      </c>
      <c r="AE289">
        <v>22000.000004423811</v>
      </c>
      <c r="AF289">
        <v>7636.3636344342285</v>
      </c>
      <c r="AH289">
        <v>22000.000005112019</v>
      </c>
      <c r="AI289">
        <v>7636.3636346716876</v>
      </c>
      <c r="AK289">
        <v>21999.99999240215</v>
      </c>
      <c r="AL289">
        <v>7636.3635362322839</v>
      </c>
      <c r="AZ289">
        <v>49999.999999999447</v>
      </c>
      <c r="BA289">
        <v>3.3169345507479678E-11</v>
      </c>
      <c r="BC289">
        <v>49999.999999997002</v>
      </c>
      <c r="BD289">
        <v>1.9544913196126339E-10</v>
      </c>
      <c r="BF289">
        <v>49999.999999999774</v>
      </c>
      <c r="BG289">
        <v>1.1301132415755363E-11</v>
      </c>
      <c r="BI289">
        <v>49999.999999996406</v>
      </c>
      <c r="BJ289">
        <v>2.3628077878791306E-10</v>
      </c>
      <c r="BL289">
        <v>49999.999999996755</v>
      </c>
      <c r="BM289">
        <v>2.1420196185668949E-10</v>
      </c>
      <c r="BO289">
        <v>49999.99999999642</v>
      </c>
      <c r="BP289">
        <v>2.3505259206760359E-10</v>
      </c>
      <c r="BR289">
        <v>49999.999999996435</v>
      </c>
      <c r="BS289">
        <v>2.3392343641949126E-10</v>
      </c>
      <c r="BU289">
        <v>49999.999999996406</v>
      </c>
      <c r="BV289">
        <v>2.3574691426633975E-10</v>
      </c>
      <c r="BX289">
        <v>49999.999999999942</v>
      </c>
      <c r="BY289">
        <v>7.8939165321197719E-15</v>
      </c>
    </row>
    <row r="290" spans="13:77" x14ac:dyDescent="0.35">
      <c r="M290">
        <v>22000.00000301842</v>
      </c>
      <c r="N290">
        <v>7636.363641390687</v>
      </c>
      <c r="P290">
        <v>22000.000004227921</v>
      </c>
      <c r="Q290">
        <v>7636.3636357902196</v>
      </c>
      <c r="S290">
        <v>22000.000009821175</v>
      </c>
      <c r="T290">
        <v>7636.3636428263435</v>
      </c>
      <c r="V290">
        <v>22000.000004443948</v>
      </c>
      <c r="W290">
        <v>7636.3636349536773</v>
      </c>
      <c r="Y290">
        <v>22000.000003503417</v>
      </c>
      <c r="Z290">
        <v>7636.3636344813558</v>
      </c>
      <c r="AB290">
        <v>22000.000004274385</v>
      </c>
      <c r="AC290">
        <v>7636.363634860897</v>
      </c>
      <c r="AE290">
        <v>22000.000004186797</v>
      </c>
      <c r="AF290">
        <v>7636.3636348139544</v>
      </c>
      <c r="AH290">
        <v>22000.000004712343</v>
      </c>
      <c r="AI290">
        <v>7636.3636351047899</v>
      </c>
      <c r="AK290">
        <v>22000.000017012975</v>
      </c>
      <c r="AL290">
        <v>7636.3635366763046</v>
      </c>
      <c r="AZ290">
        <v>49999.999999999505</v>
      </c>
      <c r="BA290">
        <v>2.9691180097659469E-11</v>
      </c>
      <c r="BC290">
        <v>49999.999999997315</v>
      </c>
      <c r="BD290">
        <v>1.7495417193819617E-10</v>
      </c>
      <c r="BF290">
        <v>49999.999999999796</v>
      </c>
      <c r="BG290">
        <v>1.011608618530098E-11</v>
      </c>
      <c r="BI290">
        <v>49999.999999996784</v>
      </c>
      <c r="BJ290">
        <v>2.1150417800752529E-10</v>
      </c>
      <c r="BL290">
        <v>49999.999999997097</v>
      </c>
      <c r="BM290">
        <v>1.9174056435104322E-10</v>
      </c>
      <c r="BO290">
        <v>49999.999999996791</v>
      </c>
      <c r="BP290">
        <v>2.1040477997755697E-10</v>
      </c>
      <c r="BR290">
        <v>49999.999999996806</v>
      </c>
      <c r="BS290">
        <v>2.0939402853843583E-10</v>
      </c>
      <c r="BU290">
        <v>49999.999999996784</v>
      </c>
      <c r="BV290">
        <v>2.1102629496777072E-10</v>
      </c>
      <c r="BX290">
        <v>49999.999999999949</v>
      </c>
      <c r="BY290">
        <v>7.0661538189895086E-15</v>
      </c>
    </row>
    <row r="291" spans="13:77" x14ac:dyDescent="0.35">
      <c r="M291">
        <v>22000.000001372468</v>
      </c>
      <c r="N291">
        <v>7636.3636415825567</v>
      </c>
      <c r="P291">
        <v>22000.000003704121</v>
      </c>
      <c r="Q291">
        <v>7636.3636361396666</v>
      </c>
      <c r="S291">
        <v>22000.000006780643</v>
      </c>
      <c r="T291">
        <v>7636.3636435554863</v>
      </c>
      <c r="V291">
        <v>22000.00000408226</v>
      </c>
      <c r="W291">
        <v>7636.3636353295342</v>
      </c>
      <c r="Y291">
        <v>22000.000003398611</v>
      </c>
      <c r="Z291">
        <v>7636.3636347858328</v>
      </c>
      <c r="AB291">
        <v>22000.000003960795</v>
      </c>
      <c r="AC291">
        <v>7636.3636352239664</v>
      </c>
      <c r="AE291">
        <v>22000.000003897821</v>
      </c>
      <c r="AF291">
        <v>7636.3636351704072</v>
      </c>
      <c r="AH291">
        <v>22000.00000427353</v>
      </c>
      <c r="AI291">
        <v>7636.363635500843</v>
      </c>
      <c r="AK291">
        <v>22000.000037689879</v>
      </c>
      <c r="AL291">
        <v>7636.3635391143907</v>
      </c>
      <c r="AZ291">
        <v>49999.999999999556</v>
      </c>
      <c r="BA291">
        <v>2.6577738032028911E-11</v>
      </c>
      <c r="BC291">
        <v>49999.999999997599</v>
      </c>
      <c r="BD291">
        <v>1.5660833062510822E-10</v>
      </c>
      <c r="BF291">
        <v>49999.999999999818</v>
      </c>
      <c r="BG291">
        <v>9.055304897212577E-12</v>
      </c>
      <c r="BI291">
        <v>49999.999999997119</v>
      </c>
      <c r="BJ291">
        <v>1.893256723806235E-10</v>
      </c>
      <c r="BL291">
        <v>49999.999999997402</v>
      </c>
      <c r="BM291">
        <v>1.7163448784028232E-10</v>
      </c>
      <c r="BO291">
        <v>49999.999999997126</v>
      </c>
      <c r="BP291">
        <v>1.8834155815083142E-10</v>
      </c>
      <c r="BR291">
        <v>49999.999999997141</v>
      </c>
      <c r="BS291">
        <v>1.8743679495596687E-10</v>
      </c>
      <c r="BU291">
        <v>49999.999999997119</v>
      </c>
      <c r="BV291">
        <v>1.8889790055751742E-10</v>
      </c>
      <c r="BX291">
        <v>49999.999999999956</v>
      </c>
      <c r="BY291">
        <v>6.3251909987211448E-15</v>
      </c>
    </row>
    <row r="292" spans="13:77" x14ac:dyDescent="0.35">
      <c r="M292">
        <v>21999.999999937772</v>
      </c>
      <c r="N292">
        <v>7636.3636416387171</v>
      </c>
      <c r="P292">
        <v>22000.000003180074</v>
      </c>
      <c r="Q292">
        <v>7636.3636364428703</v>
      </c>
      <c r="S292">
        <v>22000.000004042686</v>
      </c>
      <c r="T292">
        <v>7636.3636440299661</v>
      </c>
      <c r="V292">
        <v>22000.000003688918</v>
      </c>
      <c r="W292">
        <v>7636.3636356720335</v>
      </c>
      <c r="Y292">
        <v>22000.000003238874</v>
      </c>
      <c r="Z292">
        <v>7636.363635078571</v>
      </c>
      <c r="AB292">
        <v>22000.000003611058</v>
      </c>
      <c r="AC292">
        <v>7636.36363555772</v>
      </c>
      <c r="AE292">
        <v>22000.000003570414</v>
      </c>
      <c r="AF292">
        <v>7636.3636354996133</v>
      </c>
      <c r="AH292">
        <v>22000.000003810339</v>
      </c>
      <c r="AI292">
        <v>7636.3636358570611</v>
      </c>
      <c r="AK292">
        <v>22000.000054578508</v>
      </c>
      <c r="AL292">
        <v>7636.3635432059173</v>
      </c>
      <c r="AZ292">
        <v>49999.9999999996</v>
      </c>
      <c r="BA292">
        <v>2.3790774114594361E-11</v>
      </c>
      <c r="BC292">
        <v>49999.999999997854</v>
      </c>
      <c r="BD292">
        <v>1.4018624963025906E-10</v>
      </c>
      <c r="BF292">
        <v>49999.99999999984</v>
      </c>
      <c r="BG292">
        <v>8.1057580253348155E-12</v>
      </c>
      <c r="BI292">
        <v>49999.999999997417</v>
      </c>
      <c r="BJ292">
        <v>1.6947282346876332E-10</v>
      </c>
      <c r="BL292">
        <v>49999.999999997672</v>
      </c>
      <c r="BM292">
        <v>1.5363675138800004E-10</v>
      </c>
      <c r="BO292">
        <v>49999.999999997424</v>
      </c>
      <c r="BP292">
        <v>1.6859190428310026E-10</v>
      </c>
      <c r="BR292">
        <v>49999.999999997439</v>
      </c>
      <c r="BS292">
        <v>1.6778201531624081E-10</v>
      </c>
      <c r="BU292">
        <v>49999.999999997417</v>
      </c>
      <c r="BV292">
        <v>1.690899081580683E-10</v>
      </c>
      <c r="BX292">
        <v>49999.999999999964</v>
      </c>
      <c r="BY292">
        <v>5.6619261616957449E-15</v>
      </c>
    </row>
    <row r="293" spans="13:77" x14ac:dyDescent="0.35">
      <c r="M293">
        <v>21999.999998713211</v>
      </c>
      <c r="N293">
        <v>7636.3636415777637</v>
      </c>
      <c r="P293">
        <v>22000.000002666638</v>
      </c>
      <c r="Q293">
        <v>7636.363636700301</v>
      </c>
      <c r="S293">
        <v>22000.000001619803</v>
      </c>
      <c r="T293">
        <v>7636.3636442770539</v>
      </c>
      <c r="V293">
        <v>22000.000003276655</v>
      </c>
      <c r="W293">
        <v>7636.363635978958</v>
      </c>
      <c r="Y293">
        <v>22000.000003035504</v>
      </c>
      <c r="Z293">
        <v>7636.3636353552338</v>
      </c>
      <c r="AB293">
        <v>22000.000003237656</v>
      </c>
      <c r="AC293">
        <v>7636.3636358595322</v>
      </c>
      <c r="AE293">
        <v>22000.000003216934</v>
      </c>
      <c r="AF293">
        <v>7636.3636357987407</v>
      </c>
      <c r="AH293">
        <v>22000.000003335885</v>
      </c>
      <c r="AI293">
        <v>7636.3636361718864</v>
      </c>
      <c r="AK293">
        <v>22000.000067881538</v>
      </c>
      <c r="AL293">
        <v>7636.3635486256981</v>
      </c>
      <c r="AZ293">
        <v>49999.999999999643</v>
      </c>
      <c r="BA293">
        <v>2.1296053572714268E-11</v>
      </c>
      <c r="BC293">
        <v>49999.999999998079</v>
      </c>
      <c r="BD293">
        <v>1.2548620183201538E-10</v>
      </c>
      <c r="BF293">
        <v>49999.999999999854</v>
      </c>
      <c r="BG293">
        <v>7.2557814354218719E-12</v>
      </c>
      <c r="BI293">
        <v>49999.999999997686</v>
      </c>
      <c r="BJ293">
        <v>1.5170176095682043E-10</v>
      </c>
      <c r="BL293">
        <v>49999.999999997912</v>
      </c>
      <c r="BM293">
        <v>1.3752627268607886E-10</v>
      </c>
      <c r="BO293">
        <v>49999.999999997694</v>
      </c>
      <c r="BP293">
        <v>1.5091321569634468E-10</v>
      </c>
      <c r="BR293">
        <v>49999.999999997708</v>
      </c>
      <c r="BS293">
        <v>1.5018825236631127E-10</v>
      </c>
      <c r="BU293">
        <v>49999.999999997686</v>
      </c>
      <c r="BV293">
        <v>1.5135899846699579E-10</v>
      </c>
      <c r="BX293">
        <v>49999.999999999971</v>
      </c>
      <c r="BY293">
        <v>5.0682118321764862E-15</v>
      </c>
    </row>
    <row r="294" spans="13:77" x14ac:dyDescent="0.35">
      <c r="M294">
        <v>21999.999997693481</v>
      </c>
      <c r="N294">
        <v>7636.3636414180037</v>
      </c>
      <c r="P294">
        <v>22000.000002172874</v>
      </c>
      <c r="Q294">
        <v>7636.3636369133046</v>
      </c>
      <c r="S294">
        <v>21999.999999516167</v>
      </c>
      <c r="T294">
        <v>7636.3636443247487</v>
      </c>
      <c r="V294">
        <v>22000.000002856734</v>
      </c>
      <c r="W294">
        <v>7636.3636362491479</v>
      </c>
      <c r="Y294">
        <v>22000.00000279905</v>
      </c>
      <c r="Z294">
        <v>7636.363635612448</v>
      </c>
      <c r="AB294">
        <v>22000.000002851746</v>
      </c>
      <c r="AC294">
        <v>7636.3636361278204</v>
      </c>
      <c r="AE294">
        <v>22000.000002848476</v>
      </c>
      <c r="AF294">
        <v>7636.3636360659902</v>
      </c>
      <c r="AH294">
        <v>22000.000002861605</v>
      </c>
      <c r="AI294">
        <v>7636.3636364448421</v>
      </c>
      <c r="AK294">
        <v>22000.000077846198</v>
      </c>
      <c r="AL294">
        <v>7636.363555068453</v>
      </c>
      <c r="AZ294">
        <v>49999.99999999968</v>
      </c>
      <c r="BA294">
        <v>1.9062931520740425E-11</v>
      </c>
      <c r="BC294">
        <v>49999.999999998283</v>
      </c>
      <c r="BD294">
        <v>1.1232761338403323E-10</v>
      </c>
      <c r="BF294">
        <v>49999.999999999869</v>
      </c>
      <c r="BG294">
        <v>6.4949341041349531E-12</v>
      </c>
      <c r="BI294">
        <v>49999.999999997926</v>
      </c>
      <c r="BJ294">
        <v>1.3579418697560122E-10</v>
      </c>
      <c r="BL294">
        <v>49999.99999999813</v>
      </c>
      <c r="BM294">
        <v>1.231051523027907E-10</v>
      </c>
      <c r="BO294">
        <v>49999.999999997934</v>
      </c>
      <c r="BP294">
        <v>1.3508832923298579E-10</v>
      </c>
      <c r="BR294">
        <v>49999.999999997948</v>
      </c>
      <c r="BS294">
        <v>1.3443938616622052E-10</v>
      </c>
      <c r="BU294">
        <v>49999.999999997926</v>
      </c>
      <c r="BV294">
        <v>1.3548736684814918E-10</v>
      </c>
      <c r="BX294">
        <v>49999.999999999971</v>
      </c>
      <c r="BY294">
        <v>4.5367548855707007E-15</v>
      </c>
    </row>
    <row r="295" spans="13:77" x14ac:dyDescent="0.35">
      <c r="M295">
        <v>21999.999996869825</v>
      </c>
      <c r="N295">
        <v>7636.3636411771186</v>
      </c>
      <c r="P295">
        <v>22000.000001706114</v>
      </c>
      <c r="Q295">
        <v>7636.3636370839504</v>
      </c>
      <c r="S295">
        <v>21999.999997728748</v>
      </c>
      <c r="T295">
        <v>7636.3636442010911</v>
      </c>
      <c r="V295">
        <v>22000.000002438945</v>
      </c>
      <c r="W295">
        <v>7636.3636364823715</v>
      </c>
      <c r="Y295">
        <v>22000.000002539211</v>
      </c>
      <c r="Z295">
        <v>7636.3636358477333</v>
      </c>
      <c r="AB295">
        <v>22000.000002463123</v>
      </c>
      <c r="AC295">
        <v>7636.3636363619244</v>
      </c>
      <c r="AE295">
        <v>22000.000002474826</v>
      </c>
      <c r="AF295">
        <v>7636.3636363004834</v>
      </c>
      <c r="AH295">
        <v>22000.000002397272</v>
      </c>
      <c r="AI295">
        <v>7636.3636366763867</v>
      </c>
      <c r="AK295">
        <v>22000.000084752664</v>
      </c>
      <c r="AL295">
        <v>7636.3635622522161</v>
      </c>
      <c r="AZ295">
        <v>49999.999999999716</v>
      </c>
      <c r="BA295">
        <v>1.7063976521454753E-11</v>
      </c>
      <c r="BC295">
        <v>49999.999999998465</v>
      </c>
      <c r="BD295">
        <v>1.0054884556505671E-10</v>
      </c>
      <c r="BF295">
        <v>49999.999999999884</v>
      </c>
      <c r="BG295">
        <v>5.8138698626059975E-12</v>
      </c>
      <c r="BI295">
        <v>49999.999999998145</v>
      </c>
      <c r="BJ295">
        <v>1.2155469455369895E-10</v>
      </c>
      <c r="BL295">
        <v>49999.999999998327</v>
      </c>
      <c r="BM295">
        <v>1.1019624270692071E-10</v>
      </c>
      <c r="BO295">
        <v>49999.999999998152</v>
      </c>
      <c r="BP295">
        <v>1.2092285364641918E-10</v>
      </c>
      <c r="BR295">
        <v>49999.999999998166</v>
      </c>
      <c r="BS295">
        <v>1.2034195929430995E-10</v>
      </c>
      <c r="BU295">
        <v>49999.999999998145</v>
      </c>
      <c r="BV295">
        <v>1.2128004784233376E-10</v>
      </c>
      <c r="BX295">
        <v>49999.999999999971</v>
      </c>
      <c r="BY295">
        <v>4.0610269604518187E-15</v>
      </c>
    </row>
    <row r="296" spans="13:77" x14ac:dyDescent="0.35">
      <c r="M296">
        <v>21999.999996230712</v>
      </c>
      <c r="N296">
        <v>7636.363640871893</v>
      </c>
      <c r="P296">
        <v>22000.000001272067</v>
      </c>
      <c r="Q296">
        <v>7636.3636372148794</v>
      </c>
      <c r="S296">
        <v>21999.999996248425</v>
      </c>
      <c r="T296">
        <v>7636.3636439335787</v>
      </c>
      <c r="V296">
        <v>22000.000002031604</v>
      </c>
      <c r="W296">
        <v>7636.3636366791925</v>
      </c>
      <c r="Y296">
        <v>22000.000002264758</v>
      </c>
      <c r="Z296">
        <v>7636.3636360594228</v>
      </c>
      <c r="AB296">
        <v>22000.000002080204</v>
      </c>
      <c r="AC296">
        <v>7636.363636561985</v>
      </c>
      <c r="AE296">
        <v>22000.000002104462</v>
      </c>
      <c r="AF296">
        <v>7636.3636365021457</v>
      </c>
      <c r="AH296">
        <v>22000.000001951023</v>
      </c>
      <c r="AI296">
        <v>7636.3636368677671</v>
      </c>
      <c r="AK296">
        <v>22000.000088903485</v>
      </c>
      <c r="AL296">
        <v>7636.3635699207625</v>
      </c>
      <c r="AZ296">
        <v>49999.999999999745</v>
      </c>
      <c r="BA296">
        <v>1.5274633621169793E-11</v>
      </c>
      <c r="BC296">
        <v>49999.999999998625</v>
      </c>
      <c r="BD296">
        <v>9.0005209225808431E-11</v>
      </c>
      <c r="BF296">
        <v>49999.999999999898</v>
      </c>
      <c r="BG296">
        <v>5.2042225890789356E-12</v>
      </c>
      <c r="BI296">
        <v>49999.999999998341</v>
      </c>
      <c r="BJ296">
        <v>1.0880836725873879E-10</v>
      </c>
      <c r="BL296">
        <v>49999.999999998501</v>
      </c>
      <c r="BM296">
        <v>9.8640972206061806E-11</v>
      </c>
      <c r="BO296">
        <v>49999.999999998348</v>
      </c>
      <c r="BP296">
        <v>1.082427817193171E-10</v>
      </c>
      <c r="BR296">
        <v>49999.999999998356</v>
      </c>
      <c r="BS296">
        <v>1.0772280043652999E-10</v>
      </c>
      <c r="BU296">
        <v>49999.999999998341</v>
      </c>
      <c r="BV296">
        <v>1.0856252023204557E-10</v>
      </c>
      <c r="BX296">
        <v>49999.999999999971</v>
      </c>
      <c r="BY296">
        <v>3.6351842648518883E-15</v>
      </c>
    </row>
    <row r="297" spans="13:77" x14ac:dyDescent="0.35">
      <c r="M297">
        <v>21999.999995762475</v>
      </c>
      <c r="N297">
        <v>7636.3636405179959</v>
      </c>
      <c r="P297">
        <v>22000.00000087493</v>
      </c>
      <c r="Q297">
        <v>7636.3636373091695</v>
      </c>
      <c r="S297">
        <v>21999.999995061069</v>
      </c>
      <c r="T297">
        <v>7636.363643548676</v>
      </c>
      <c r="V297">
        <v>22000.000001641605</v>
      </c>
      <c r="W297">
        <v>7636.3636368408452</v>
      </c>
      <c r="Y297">
        <v>22000.000001983488</v>
      </c>
      <c r="Z297">
        <v>7636.3636362465786</v>
      </c>
      <c r="AB297">
        <v>22000.000001710065</v>
      </c>
      <c r="AC297">
        <v>7636.3636367288273</v>
      </c>
      <c r="AE297">
        <v>22000.000001744549</v>
      </c>
      <c r="AF297">
        <v>7636.3636366715918</v>
      </c>
      <c r="AH297">
        <v>22000.000001529443</v>
      </c>
      <c r="AI297">
        <v>7636.3636370208769</v>
      </c>
      <c r="AK297">
        <v>22000.000090614078</v>
      </c>
      <c r="AL297">
        <v>7636.3635778451562</v>
      </c>
      <c r="AZ297">
        <v>49999.999999999774</v>
      </c>
      <c r="BA297">
        <v>1.3672922719251369E-11</v>
      </c>
      <c r="BC297">
        <v>49999.99999999877</v>
      </c>
      <c r="BD297">
        <v>8.0567187442645669E-11</v>
      </c>
      <c r="BF297">
        <v>49999.999999999905</v>
      </c>
      <c r="BG297">
        <v>4.6585034403469448E-12</v>
      </c>
      <c r="BI297">
        <v>49999.999999998516</v>
      </c>
      <c r="BJ297">
        <v>9.7398630542256705E-11</v>
      </c>
      <c r="BL297">
        <v>49999.999999998661</v>
      </c>
      <c r="BM297">
        <v>8.8297397068566149E-11</v>
      </c>
      <c r="BO297">
        <v>49999.999999998523</v>
      </c>
      <c r="BP297">
        <v>9.6892352777209625E-11</v>
      </c>
      <c r="BR297">
        <v>49999.99999999853</v>
      </c>
      <c r="BS297">
        <v>9.6426897168169575E-11</v>
      </c>
      <c r="BU297">
        <v>49999.999999998516</v>
      </c>
      <c r="BV297">
        <v>9.717856324112842E-11</v>
      </c>
      <c r="BX297">
        <v>49999.999999999971</v>
      </c>
      <c r="BY297">
        <v>3.2539957917335632E-15</v>
      </c>
    </row>
    <row r="298" spans="13:77" x14ac:dyDescent="0.35">
      <c r="M298">
        <v>21999.999995449911</v>
      </c>
      <c r="N298">
        <v>7636.3636401298218</v>
      </c>
      <c r="P298">
        <v>22000.000000517539</v>
      </c>
      <c r="Q298">
        <v>7636.3636373702075</v>
      </c>
      <c r="S298">
        <v>21999.999994148551</v>
      </c>
      <c r="T298">
        <v>7636.3636430714214</v>
      </c>
      <c r="V298">
        <v>22000.000001274475</v>
      </c>
      <c r="W298">
        <v>7636.3636369691112</v>
      </c>
      <c r="Y298">
        <v>22000.000001702199</v>
      </c>
      <c r="Z298">
        <v>7636.363636408908</v>
      </c>
      <c r="AB298">
        <v>22000.00000135849</v>
      </c>
      <c r="AC298">
        <v>7636.3636368638408</v>
      </c>
      <c r="AE298">
        <v>22000.000001401</v>
      </c>
      <c r="AF298">
        <v>7636.3636368100124</v>
      </c>
      <c r="AH298">
        <v>22000.000001137647</v>
      </c>
      <c r="AI298">
        <v>7636.3636371381263</v>
      </c>
      <c r="AK298">
        <v>22000.000090204336</v>
      </c>
      <c r="AL298">
        <v>7636.3635858245016</v>
      </c>
      <c r="AZ298">
        <v>49999.999999999796</v>
      </c>
      <c r="BA298">
        <v>1.2239168566866285E-11</v>
      </c>
      <c r="BC298">
        <v>49999.999999998901</v>
      </c>
      <c r="BD298">
        <v>7.2118844545245843E-11</v>
      </c>
      <c r="BF298">
        <v>49999.999999999913</v>
      </c>
      <c r="BG298">
        <v>4.1700088595874543E-12</v>
      </c>
      <c r="BI298">
        <v>49999.999999998668</v>
      </c>
      <c r="BJ298">
        <v>8.7185328394357752E-11</v>
      </c>
      <c r="BL298">
        <v>49999.999999998799</v>
      </c>
      <c r="BM298">
        <v>7.9038457901623585E-11</v>
      </c>
      <c r="BO298">
        <v>49999.999999998676</v>
      </c>
      <c r="BP298">
        <v>8.6732139340685794E-11</v>
      </c>
      <c r="BR298">
        <v>49999.999999998683</v>
      </c>
      <c r="BS298">
        <v>8.6315491797478838E-11</v>
      </c>
      <c r="BU298">
        <v>49999.999999998668</v>
      </c>
      <c r="BV298">
        <v>8.6988337535134071E-11</v>
      </c>
      <c r="BX298">
        <v>49999.999999999971</v>
      </c>
      <c r="BY298">
        <v>2.9127790618479573E-15</v>
      </c>
    </row>
    <row r="299" spans="13:77" x14ac:dyDescent="0.35">
      <c r="M299">
        <v>21999.999995276812</v>
      </c>
      <c r="N299">
        <v>7636.3636397203754</v>
      </c>
      <c r="P299">
        <v>22000.000000201482</v>
      </c>
      <c r="Q299">
        <v>7636.3636374015732</v>
      </c>
      <c r="S299">
        <v>21999.99999348971</v>
      </c>
      <c r="T299">
        <v>7636.3636425251134</v>
      </c>
      <c r="V299">
        <v>22000.000000934469</v>
      </c>
      <c r="W299">
        <v>7636.3636370662016</v>
      </c>
      <c r="Y299">
        <v>22000.000001426703</v>
      </c>
      <c r="Z299">
        <v>7636.3636365466728</v>
      </c>
      <c r="AB299">
        <v>22000.000001030039</v>
      </c>
      <c r="AC299">
        <v>7636.3636369688702</v>
      </c>
      <c r="AE299">
        <v>22000.00000107853</v>
      </c>
      <c r="AF299">
        <v>7636.3636369190644</v>
      </c>
      <c r="AH299">
        <v>22000.00000077939</v>
      </c>
      <c r="AI299">
        <v>7636.3636372223127</v>
      </c>
      <c r="AK299">
        <v>22000.000087991375</v>
      </c>
      <c r="AL299">
        <v>7636.3635936860137</v>
      </c>
      <c r="AZ299">
        <v>49999.999999999818</v>
      </c>
      <c r="BA299">
        <v>1.0955759078287948E-11</v>
      </c>
      <c r="BC299">
        <v>49999.999999999018</v>
      </c>
      <c r="BD299">
        <v>6.455640197498426E-11</v>
      </c>
      <c r="BF299">
        <v>49999.99999999992</v>
      </c>
      <c r="BG299">
        <v>3.7327382305727799E-12</v>
      </c>
      <c r="BI299">
        <v>49999.999999998807</v>
      </c>
      <c r="BJ299">
        <v>7.8043001681981234E-11</v>
      </c>
      <c r="BL299">
        <v>49999.999999998923</v>
      </c>
      <c r="BM299">
        <v>7.0750418866998344E-11</v>
      </c>
      <c r="BO299">
        <v>49999.999999998814</v>
      </c>
      <c r="BP299">
        <v>7.7637334412850835E-11</v>
      </c>
      <c r="BR299">
        <v>49999.999999998821</v>
      </c>
      <c r="BS299">
        <v>7.7264376880727832E-11</v>
      </c>
      <c r="BU299">
        <v>49999.999999998807</v>
      </c>
      <c r="BV299">
        <v>7.7866667449595365E-11</v>
      </c>
      <c r="BX299">
        <v>49999.999999999971</v>
      </c>
      <c r="BY299">
        <v>2.6073426046503498E-15</v>
      </c>
    </row>
    <row r="300" spans="13:77" x14ac:dyDescent="0.35">
      <c r="M300">
        <v>21999.999995226455</v>
      </c>
      <c r="N300">
        <v>7636.3636393012102</v>
      </c>
      <c r="P300">
        <v>21999.999999927273</v>
      </c>
      <c r="Q300">
        <v>7636.3636374069374</v>
      </c>
      <c r="S300">
        <v>21999.999993061225</v>
      </c>
      <c r="T300">
        <v>7636.3636419310869</v>
      </c>
      <c r="V300">
        <v>22000.000000624659</v>
      </c>
      <c r="W300">
        <v>7636.3636371346493</v>
      </c>
      <c r="Y300">
        <v>22000.000001161847</v>
      </c>
      <c r="Z300">
        <v>7636.3636366606024</v>
      </c>
      <c r="AB300">
        <v>22000.000000728131</v>
      </c>
      <c r="AC300">
        <v>7636.3636370461109</v>
      </c>
      <c r="AE300">
        <v>22000.000000780728</v>
      </c>
      <c r="AF300">
        <v>7636.3636370007716</v>
      </c>
      <c r="AH300">
        <v>22000.000000457188</v>
      </c>
      <c r="AI300">
        <v>7636.3636372765113</v>
      </c>
      <c r="AK300">
        <v>22000.000084283394</v>
      </c>
      <c r="AL300">
        <v>7636.3636012844927</v>
      </c>
      <c r="AZ300">
        <v>49999.99999999984</v>
      </c>
      <c r="BA300">
        <v>9.8069289858813444E-12</v>
      </c>
      <c r="BC300">
        <v>49999.99999999912</v>
      </c>
      <c r="BD300">
        <v>5.778696347999771E-11</v>
      </c>
      <c r="BF300">
        <v>49999.999999999927</v>
      </c>
      <c r="BG300">
        <v>3.3413201667293472E-12</v>
      </c>
      <c r="BI300">
        <v>49999.99999999893</v>
      </c>
      <c r="BJ300">
        <v>6.9859347022060334E-11</v>
      </c>
      <c r="BL300">
        <v>49999.999999999032</v>
      </c>
      <c r="BM300">
        <v>6.3331470561913546E-11</v>
      </c>
      <c r="BO300">
        <v>49999.999999998938</v>
      </c>
      <c r="BP300">
        <v>6.9496218363258182E-11</v>
      </c>
      <c r="BR300">
        <v>49999.999999998945</v>
      </c>
      <c r="BS300">
        <v>6.9162369470986677E-11</v>
      </c>
      <c r="BU300">
        <v>49999.99999999893</v>
      </c>
      <c r="BV300">
        <v>6.9701503345284417E-11</v>
      </c>
      <c r="BX300">
        <v>49999.999999999971</v>
      </c>
      <c r="BY300">
        <v>2.3339344707153517E-15</v>
      </c>
    </row>
    <row r="301" spans="13:77" x14ac:dyDescent="0.35">
      <c r="M301">
        <v>21999.999995282007</v>
      </c>
      <c r="N301">
        <v>7636.363638882397</v>
      </c>
      <c r="P301">
        <v>21999.999999694483</v>
      </c>
      <c r="Q301">
        <v>7636.3636373899753</v>
      </c>
      <c r="S301">
        <v>21999.99999283841</v>
      </c>
      <c r="T301">
        <v>7636.363641308556</v>
      </c>
      <c r="V301">
        <v>22000.000000347049</v>
      </c>
      <c r="W301">
        <v>7636.3636371772109</v>
      </c>
      <c r="Y301">
        <v>22000.000000911554</v>
      </c>
      <c r="Z301">
        <v>7636.3636367518147</v>
      </c>
      <c r="AB301">
        <v>22000.000000455133</v>
      </c>
      <c r="AC301">
        <v>7636.3636370980139</v>
      </c>
      <c r="AE301">
        <v>22000.000000510154</v>
      </c>
      <c r="AF301">
        <v>7636.3636370574268</v>
      </c>
      <c r="AH301">
        <v>22000.000000172447</v>
      </c>
      <c r="AI301">
        <v>7636.3636373039681</v>
      </c>
      <c r="AK301">
        <v>22000.000079374593</v>
      </c>
      <c r="AL301">
        <v>7636.3636085013068</v>
      </c>
      <c r="AZ301">
        <v>49999.999999999854</v>
      </c>
      <c r="BA301">
        <v>8.7785661812078706E-12</v>
      </c>
      <c r="BC301">
        <v>49999.999999999214</v>
      </c>
      <c r="BD301">
        <v>5.1727373987363622E-11</v>
      </c>
      <c r="BF301">
        <v>49999.999999999935</v>
      </c>
      <c r="BG301">
        <v>2.9909465295880335E-12</v>
      </c>
      <c r="BI301">
        <v>49999.99999999904</v>
      </c>
      <c r="BJ301">
        <v>6.2533837258535819E-11</v>
      </c>
      <c r="BL301">
        <v>49999.999999999134</v>
      </c>
      <c r="BM301">
        <v>5.6690479403018814E-11</v>
      </c>
      <c r="BO301">
        <v>49999.999999999047</v>
      </c>
      <c r="BP301">
        <v>6.2208786575679121E-11</v>
      </c>
      <c r="BR301">
        <v>49999.999999999054</v>
      </c>
      <c r="BS301">
        <v>6.1909945358459387E-11</v>
      </c>
      <c r="BU301">
        <v>49999.99999999904</v>
      </c>
      <c r="BV301">
        <v>6.2392545202188991E-11</v>
      </c>
      <c r="BX301">
        <v>49999.999999999971</v>
      </c>
      <c r="BY301">
        <v>2.0891961431834297E-15</v>
      </c>
    </row>
    <row r="302" spans="13:77" x14ac:dyDescent="0.35">
      <c r="M302">
        <v>21999.999995426908</v>
      </c>
      <c r="N302">
        <v>7636.3636384725332</v>
      </c>
      <c r="P302">
        <v>21999.999999501888</v>
      </c>
      <c r="Q302">
        <v>7636.3636373542868</v>
      </c>
      <c r="S302">
        <v>21999.999992795929</v>
      </c>
      <c r="T302">
        <v>7636.3636406745254</v>
      </c>
      <c r="V302">
        <v>22000.000000102682</v>
      </c>
      <c r="W302">
        <v>7636.363637196775</v>
      </c>
      <c r="Y302">
        <v>22000.000000678869</v>
      </c>
      <c r="Z302">
        <v>7636.3636368217331</v>
      </c>
      <c r="AB302">
        <v>22000.000000212476</v>
      </c>
      <c r="AC302">
        <v>7636.363637127195</v>
      </c>
      <c r="AE302">
        <v>22000.000000268432</v>
      </c>
      <c r="AF302">
        <v>7636.3636370915065</v>
      </c>
      <c r="AH302">
        <v>21999.999999925596</v>
      </c>
      <c r="AI302">
        <v>7636.3636373080089</v>
      </c>
      <c r="AK302">
        <v>22000.000073541152</v>
      </c>
      <c r="AL302">
        <v>7636.3636152429763</v>
      </c>
      <c r="AZ302">
        <v>49999.999999999869</v>
      </c>
      <c r="BA302">
        <v>7.8580383633644625E-12</v>
      </c>
      <c r="BC302">
        <v>49999.999999999294</v>
      </c>
      <c r="BD302">
        <v>4.6303198134900332E-11</v>
      </c>
      <c r="BF302">
        <v>49999.999999999942</v>
      </c>
      <c r="BG302">
        <v>2.6773133661151855E-12</v>
      </c>
      <c r="BI302">
        <v>49999.999999999141</v>
      </c>
      <c r="BJ302">
        <v>5.5976486597307932E-11</v>
      </c>
      <c r="BL302">
        <v>49999.999999999221</v>
      </c>
      <c r="BM302">
        <v>5.0745868151004721E-11</v>
      </c>
      <c r="BO302">
        <v>49999.999999999149</v>
      </c>
      <c r="BP302">
        <v>5.5685521001879196E-11</v>
      </c>
      <c r="BR302">
        <v>49999.999999999156</v>
      </c>
      <c r="BS302">
        <v>5.5418016525522435E-11</v>
      </c>
      <c r="BU302">
        <v>49999.999999999141</v>
      </c>
      <c r="BV302">
        <v>5.5850010544579784E-11</v>
      </c>
      <c r="BX302">
        <v>49999.999999999971</v>
      </c>
      <c r="BY302">
        <v>1.870121282091833E-15</v>
      </c>
    </row>
    <row r="303" spans="13:77" x14ac:dyDescent="0.35">
      <c r="M303">
        <v>21999.999995645157</v>
      </c>
      <c r="N303">
        <v>7636.3636380787812</v>
      </c>
      <c r="P303">
        <v>21999.999999347616</v>
      </c>
      <c r="Q303">
        <v>7636.3636373033351</v>
      </c>
      <c r="S303">
        <v>21999.999992908404</v>
      </c>
      <c r="T303">
        <v>7636.3636400437636</v>
      </c>
      <c r="V303">
        <v>21999.999999891766</v>
      </c>
      <c r="W303">
        <v>7636.3636371962857</v>
      </c>
      <c r="Y303">
        <v>22000.000000466036</v>
      </c>
      <c r="Z303">
        <v>7636.3636368720126</v>
      </c>
      <c r="AB303">
        <v>22000.000000000753</v>
      </c>
      <c r="AC303">
        <v>7636.36363713636</v>
      </c>
      <c r="AE303">
        <v>22000.000000056352</v>
      </c>
      <c r="AF303">
        <v>7636.3636371055936</v>
      </c>
      <c r="AH303">
        <v>21999.999999716212</v>
      </c>
      <c r="AI303">
        <v>7636.3636372919591</v>
      </c>
      <c r="AK303">
        <v>22000.000067038141</v>
      </c>
      <c r="AL303">
        <v>7636.3636214394419</v>
      </c>
      <c r="AZ303">
        <v>49999.999999999884</v>
      </c>
      <c r="BA303">
        <v>7.0340378651233716E-12</v>
      </c>
      <c r="BC303">
        <v>49999.999999999367</v>
      </c>
      <c r="BD303">
        <v>4.1447805914980111E-11</v>
      </c>
      <c r="BF303">
        <v>49999.999999999949</v>
      </c>
      <c r="BG303">
        <v>2.3965680394046801E-12</v>
      </c>
      <c r="BI303">
        <v>49999.999999999229</v>
      </c>
      <c r="BJ303">
        <v>5.0106745230173665E-11</v>
      </c>
      <c r="BL303">
        <v>49999.999999999302</v>
      </c>
      <c r="BM303">
        <v>4.5424613824345745E-11</v>
      </c>
      <c r="BO303">
        <v>49999.999999999236</v>
      </c>
      <c r="BP303">
        <v>4.9846290531296678E-11</v>
      </c>
      <c r="BR303">
        <v>49999.999999999243</v>
      </c>
      <c r="BS303">
        <v>4.9606836798854245E-11</v>
      </c>
      <c r="BU303">
        <v>49999.999999999229</v>
      </c>
      <c r="BV303">
        <v>4.9993531562489275E-11</v>
      </c>
      <c r="BX303">
        <v>49999.999999999971</v>
      </c>
      <c r="BY303">
        <v>1.6740187948096058E-15</v>
      </c>
    </row>
    <row r="304" spans="13:77" x14ac:dyDescent="0.35">
      <c r="M304">
        <v>21999.999995921571</v>
      </c>
      <c r="N304">
        <v>7636.363637706927</v>
      </c>
      <c r="P304">
        <v>21999.999999229276</v>
      </c>
      <c r="Q304">
        <v>7636.3636372403935</v>
      </c>
      <c r="S304">
        <v>21999.999993150963</v>
      </c>
      <c r="T304">
        <v>7636.3636394288205</v>
      </c>
      <c r="V304">
        <v>21999.999999713789</v>
      </c>
      <c r="W304">
        <v>7636.3636371786715</v>
      </c>
      <c r="Y304">
        <v>22000.000000274562</v>
      </c>
      <c r="Z304">
        <v>7636.3636369044743</v>
      </c>
      <c r="AB304">
        <v>21999.999999819836</v>
      </c>
      <c r="AC304">
        <v>7636.3636371282328</v>
      </c>
      <c r="AE304">
        <v>21999.99999987398</v>
      </c>
      <c r="AF304">
        <v>7636.3636371023076</v>
      </c>
      <c r="AH304">
        <v>21999.999999543172</v>
      </c>
      <c r="AI304">
        <v>7636.3636372590736</v>
      </c>
      <c r="AK304">
        <v>22000.000060097322</v>
      </c>
      <c r="AL304">
        <v>7636.3636270421011</v>
      </c>
      <c r="AZ304">
        <v>49999.999999999898</v>
      </c>
      <c r="BA304">
        <v>6.2964427507331762E-12</v>
      </c>
      <c r="BC304">
        <v>49999.999999999432</v>
      </c>
      <c r="BD304">
        <v>3.710155419849939E-11</v>
      </c>
      <c r="BF304">
        <v>49999.999999999956</v>
      </c>
      <c r="BG304">
        <v>2.1452619032899901E-12</v>
      </c>
      <c r="BI304">
        <v>49999.999999999309</v>
      </c>
      <c r="BJ304">
        <v>4.4852509869425747E-11</v>
      </c>
      <c r="BL304">
        <v>49999.999999999374</v>
      </c>
      <c r="BM304">
        <v>4.0661350692649246E-11</v>
      </c>
      <c r="BO304">
        <v>49999.999999999316</v>
      </c>
      <c r="BP304">
        <v>4.4619366668879491E-11</v>
      </c>
      <c r="BR304">
        <v>49999.999999999323</v>
      </c>
      <c r="BS304">
        <v>4.4405022255800803E-11</v>
      </c>
      <c r="BU304">
        <v>49999.999999999309</v>
      </c>
      <c r="BV304">
        <v>4.4751167881957956E-11</v>
      </c>
      <c r="BX304">
        <v>49999.999999999971</v>
      </c>
      <c r="BY304">
        <v>1.4984797789377786E-15</v>
      </c>
    </row>
    <row r="305" spans="13:77" x14ac:dyDescent="0.35">
      <c r="M305">
        <v>21999.999996241972</v>
      </c>
      <c r="N305">
        <v>7636.3636373614618</v>
      </c>
      <c r="P305">
        <v>21999.999999144078</v>
      </c>
      <c r="Q305">
        <v>7636.3636371685079</v>
      </c>
      <c r="S305">
        <v>21999.999993499656</v>
      </c>
      <c r="T305">
        <v>7636.3636388400937</v>
      </c>
      <c r="V305">
        <v>21999.99999956763</v>
      </c>
      <c r="W305">
        <v>7636.3636371467901</v>
      </c>
      <c r="Y305">
        <v>22000.00000010529</v>
      </c>
      <c r="Z305">
        <v>7636.3636369210417</v>
      </c>
      <c r="AB305">
        <v>21999.999999668977</v>
      </c>
      <c r="AC305">
        <v>7636.3636371054981</v>
      </c>
      <c r="AE305">
        <v>21999.99999972076</v>
      </c>
      <c r="AF305">
        <v>7636.3636370842451</v>
      </c>
      <c r="AH305">
        <v>21999.999999404754</v>
      </c>
      <c r="AI305">
        <v>7636.3636372124829</v>
      </c>
      <c r="AK305">
        <v>22000.000052925767</v>
      </c>
      <c r="AL305">
        <v>7636.363632021691</v>
      </c>
      <c r="AZ305">
        <v>49999.999999999905</v>
      </c>
      <c r="BA305">
        <v>5.6361924791209551E-12</v>
      </c>
      <c r="BC305">
        <v>49999.999999999491</v>
      </c>
      <c r="BD305">
        <v>3.3211054084932464E-11</v>
      </c>
      <c r="BF305">
        <v>49999.999999999964</v>
      </c>
      <c r="BG305">
        <v>1.9203079395361495E-12</v>
      </c>
      <c r="BI305">
        <v>49999.999999999382</v>
      </c>
      <c r="BJ305">
        <v>4.0149238038624085E-11</v>
      </c>
      <c r="BL305">
        <v>49999.99999999944</v>
      </c>
      <c r="BM305">
        <v>3.6397567330874736E-11</v>
      </c>
      <c r="BO305">
        <v>49999.999999999389</v>
      </c>
      <c r="BP305">
        <v>3.9940542429770343E-11</v>
      </c>
      <c r="BR305">
        <v>49999.999999999396</v>
      </c>
      <c r="BS305">
        <v>3.9748674351752005E-11</v>
      </c>
      <c r="BU305">
        <v>49999.999999999382</v>
      </c>
      <c r="BV305">
        <v>4.0058522857021168E-11</v>
      </c>
      <c r="BX305">
        <v>49999.999999999971</v>
      </c>
      <c r="BY305">
        <v>1.3413479316047933E-15</v>
      </c>
    </row>
    <row r="306" spans="13:77" x14ac:dyDescent="0.35">
      <c r="M306">
        <v>21999.999996593342</v>
      </c>
      <c r="N306">
        <v>7636.3636370456788</v>
      </c>
      <c r="P306">
        <v>21999.999999088959</v>
      </c>
      <c r="Q306">
        <v>7636.3636370904651</v>
      </c>
      <c r="S306">
        <v>21999.99999393183</v>
      </c>
      <c r="T306">
        <v>7636.3636382859249</v>
      </c>
      <c r="V306">
        <v>21999.999999451677</v>
      </c>
      <c r="W306">
        <v>7636.3636371033763</v>
      </c>
      <c r="Y306">
        <v>21999.999999958483</v>
      </c>
      <c r="Z306">
        <v>7636.3636369236856</v>
      </c>
      <c r="AB306">
        <v>21999.999999546912</v>
      </c>
      <c r="AC306">
        <v>7636.3636370707527</v>
      </c>
      <c r="AE306">
        <v>21999.99999959561</v>
      </c>
      <c r="AF306">
        <v>7636.3636370539307</v>
      </c>
      <c r="AH306">
        <v>21999.99999929878</v>
      </c>
      <c r="AI306">
        <v>7636.3636371551447</v>
      </c>
      <c r="AK306">
        <v>22000.000045705168</v>
      </c>
      <c r="AL306">
        <v>7636.3636363660735</v>
      </c>
      <c r="AZ306">
        <v>49999.999999999913</v>
      </c>
      <c r="BA306">
        <v>5.0451766051554458E-12</v>
      </c>
      <c r="BC306">
        <v>49999.999999999542</v>
      </c>
      <c r="BD306">
        <v>2.9728515078673451E-11</v>
      </c>
      <c r="BF306">
        <v>49999.999999999971</v>
      </c>
      <c r="BG306">
        <v>1.718942837231327E-12</v>
      </c>
      <c r="BI306">
        <v>49999.999999999447</v>
      </c>
      <c r="BJ306">
        <v>3.5939155239580306E-11</v>
      </c>
      <c r="BL306">
        <v>49999.999999999498</v>
      </c>
      <c r="BM306">
        <v>3.2580887871121662E-11</v>
      </c>
      <c r="BO306">
        <v>49999.999999999454</v>
      </c>
      <c r="BP306">
        <v>3.5752343627434694E-11</v>
      </c>
      <c r="BR306">
        <v>49999.999999999462</v>
      </c>
      <c r="BS306">
        <v>3.5580594997117291E-11</v>
      </c>
      <c r="BU306">
        <v>49999.999999999447</v>
      </c>
      <c r="BV306">
        <v>3.5857952528059908E-11</v>
      </c>
      <c r="BX306">
        <v>49999.999999999971</v>
      </c>
      <c r="BY306">
        <v>1.2006930616680454E-15</v>
      </c>
    </row>
    <row r="307" spans="13:77" x14ac:dyDescent="0.35">
      <c r="M307">
        <v>21999.999996963918</v>
      </c>
      <c r="N307">
        <v>7636.3636367617792</v>
      </c>
      <c r="P307">
        <v>21999.999999060678</v>
      </c>
      <c r="Q307">
        <v>7636.3636370087725</v>
      </c>
      <c r="S307">
        <v>21999.999994426409</v>
      </c>
      <c r="T307">
        <v>7636.3636377727271</v>
      </c>
      <c r="V307">
        <v>21999.999999363929</v>
      </c>
      <c r="W307">
        <v>7636.3636370510048</v>
      </c>
      <c r="Y307">
        <v>21999.999999833904</v>
      </c>
      <c r="Z307">
        <v>7636.3636369143787</v>
      </c>
      <c r="AB307">
        <v>21999.999999451975</v>
      </c>
      <c r="AC307">
        <v>7636.3636370264621</v>
      </c>
      <c r="AE307">
        <v>21999.999999497028</v>
      </c>
      <c r="AF307">
        <v>7636.3636370137729</v>
      </c>
      <c r="AH307">
        <v>21999.999999222713</v>
      </c>
      <c r="AI307">
        <v>7636.3636370898075</v>
      </c>
      <c r="AK307">
        <v>22000.000038591785</v>
      </c>
      <c r="AL307">
        <v>7636.3636400779978</v>
      </c>
      <c r="AZ307">
        <v>49999.99999999992</v>
      </c>
      <c r="BA307">
        <v>4.5161351517891588E-12</v>
      </c>
      <c r="BC307">
        <v>49999.999999999593</v>
      </c>
      <c r="BD307">
        <v>2.6611158035597539E-11</v>
      </c>
      <c r="BF307">
        <v>49999.999999999971</v>
      </c>
      <c r="BG307">
        <v>1.5386930485652255E-12</v>
      </c>
      <c r="BI307">
        <v>49999.999999999505</v>
      </c>
      <c r="BJ307">
        <v>3.2170545256477716E-11</v>
      </c>
      <c r="BL307">
        <v>49999.999999999549</v>
      </c>
      <c r="BM307">
        <v>2.9164428622957962E-11</v>
      </c>
      <c r="BO307">
        <v>49999.999999999513</v>
      </c>
      <c r="BP307">
        <v>3.2003322866777604E-11</v>
      </c>
      <c r="BR307">
        <v>49999.99999999952</v>
      </c>
      <c r="BS307">
        <v>3.1849583941988438E-11</v>
      </c>
      <c r="BU307">
        <v>49999.999999999505</v>
      </c>
      <c r="BV307">
        <v>3.2097857529442924E-11</v>
      </c>
      <c r="BX307">
        <v>49999.999999999971</v>
      </c>
      <c r="BY307">
        <v>1.0747873794482042E-15</v>
      </c>
    </row>
    <row r="308" spans="13:77" x14ac:dyDescent="0.35">
      <c r="M308">
        <v>21999.99999734325</v>
      </c>
      <c r="N308">
        <v>7636.3636365109842</v>
      </c>
      <c r="P308">
        <v>21999.999999055912</v>
      </c>
      <c r="Q308">
        <v>7636.3636369256492</v>
      </c>
      <c r="S308">
        <v>21999.999994964099</v>
      </c>
      <c r="T308">
        <v>7636.3636373051349</v>
      </c>
      <c r="V308">
        <v>21999.999999302087</v>
      </c>
      <c r="W308">
        <v>7636.3636369920623</v>
      </c>
      <c r="Y308">
        <v>21999.999999730891</v>
      </c>
      <c r="Z308">
        <v>7636.3636368950529</v>
      </c>
      <c r="AB308">
        <v>21999.999999382173</v>
      </c>
      <c r="AC308">
        <v>7636.3636369749302</v>
      </c>
      <c r="AE308">
        <v>21999.999999423184</v>
      </c>
      <c r="AF308">
        <v>7636.3636369660344</v>
      </c>
      <c r="AH308">
        <v>21999.999999173771</v>
      </c>
      <c r="AI308">
        <v>7636.3636370189852</v>
      </c>
      <c r="AK308">
        <v>22000.000031716907</v>
      </c>
      <c r="AL308">
        <v>7636.3636431728728</v>
      </c>
      <c r="AZ308">
        <v>49999.999999999927</v>
      </c>
      <c r="BA308">
        <v>4.0425694292612951E-12</v>
      </c>
      <c r="BC308">
        <v>49999.999999999636</v>
      </c>
      <c r="BD308">
        <v>2.3820689668538495E-11</v>
      </c>
      <c r="BF308">
        <v>49999.999999999971</v>
      </c>
      <c r="BG308">
        <v>1.3773444040270492E-12</v>
      </c>
      <c r="BI308">
        <v>49999.999999999556</v>
      </c>
      <c r="BJ308">
        <v>2.8797114879296954E-11</v>
      </c>
      <c r="BL308">
        <v>49999.999999999593</v>
      </c>
      <c r="BM308">
        <v>2.6106222159081005E-11</v>
      </c>
      <c r="BO308">
        <v>49999.999999999563</v>
      </c>
      <c r="BP308">
        <v>2.8647427569734955E-11</v>
      </c>
      <c r="BR308">
        <v>49999.999999999571</v>
      </c>
      <c r="BS308">
        <v>2.8509809837636314E-11</v>
      </c>
      <c r="BU308">
        <v>49999.999999999556</v>
      </c>
      <c r="BV308">
        <v>2.8732049248327757E-11</v>
      </c>
      <c r="BX308">
        <v>49999.999999999971</v>
      </c>
      <c r="BY308">
        <v>9.6208427274189282E-16</v>
      </c>
    </row>
    <row r="309" spans="13:77" x14ac:dyDescent="0.35">
      <c r="M309">
        <v>21999.999997722229</v>
      </c>
      <c r="N309">
        <v>7636.3636362936541</v>
      </c>
      <c r="P309">
        <v>21999.999999071337</v>
      </c>
      <c r="Q309">
        <v>7636.3636368430189</v>
      </c>
      <c r="S309">
        <v>21999.999995527516</v>
      </c>
      <c r="T309">
        <v>7636.3636368861671</v>
      </c>
      <c r="V309">
        <v>21999.999999263662</v>
      </c>
      <c r="W309">
        <v>7636.3636369287215</v>
      </c>
      <c r="Y309">
        <v>21999.999999648433</v>
      </c>
      <c r="Z309">
        <v>7636.3636368675661</v>
      </c>
      <c r="AB309">
        <v>21999.999999335294</v>
      </c>
      <c r="AC309">
        <v>7636.363636918275</v>
      </c>
      <c r="AE309">
        <v>21999.999999372005</v>
      </c>
      <c r="AF309">
        <v>7636.3636369128044</v>
      </c>
      <c r="AH309">
        <v>21999.999999149015</v>
      </c>
      <c r="AI309">
        <v>7636.3636369449387</v>
      </c>
      <c r="AK309">
        <v>22000.000025187797</v>
      </c>
      <c r="AL309">
        <v>7636.363645676608</v>
      </c>
      <c r="AZ309">
        <v>49999.999999999935</v>
      </c>
      <c r="BA309">
        <v>3.6186622058738943E-12</v>
      </c>
      <c r="BC309">
        <v>49999.999999999673</v>
      </c>
      <c r="BD309">
        <v>2.1322832156562911E-11</v>
      </c>
      <c r="BF309">
        <v>49999.999999999971</v>
      </c>
      <c r="BG309">
        <v>1.2329149137793156E-12</v>
      </c>
      <c r="BI309">
        <v>49999.9999999996</v>
      </c>
      <c r="BJ309">
        <v>2.5777425242876397E-11</v>
      </c>
      <c r="BL309">
        <v>49999.999999999636</v>
      </c>
      <c r="BM309">
        <v>2.3368701791839475E-11</v>
      </c>
      <c r="BO309">
        <v>49999.999999999607</v>
      </c>
      <c r="BP309">
        <v>2.5643434270231573E-11</v>
      </c>
      <c r="BR309">
        <v>49999.999999999614</v>
      </c>
      <c r="BS309">
        <v>2.5520247249026985E-11</v>
      </c>
      <c r="BU309">
        <v>49999.9999999996</v>
      </c>
      <c r="BV309">
        <v>2.5719182448581926E-11</v>
      </c>
      <c r="BX309">
        <v>49999.999999999971</v>
      </c>
      <c r="BY309">
        <v>8.6119930839949283E-16</v>
      </c>
    </row>
    <row r="310" spans="13:77" x14ac:dyDescent="0.35">
      <c r="M310">
        <v>21999.999998093077</v>
      </c>
      <c r="N310">
        <v>7636.3636361094059</v>
      </c>
      <c r="P310">
        <v>21999.999999103693</v>
      </c>
      <c r="Q310">
        <v>7636.3636367625177</v>
      </c>
      <c r="S310">
        <v>21999.99999610128</v>
      </c>
      <c r="T310">
        <v>7636.363636517397</v>
      </c>
      <c r="V310">
        <v>21999.999999246036</v>
      </c>
      <c r="W310">
        <v>7636.3636368629313</v>
      </c>
      <c r="Y310">
        <v>21999.999999585238</v>
      </c>
      <c r="Z310">
        <v>7636.3636368336738</v>
      </c>
      <c r="AB310">
        <v>21999.999999308966</v>
      </c>
      <c r="AC310">
        <v>7636.363636858413</v>
      </c>
      <c r="AE310">
        <v>21999.999999341242</v>
      </c>
      <c r="AF310">
        <v>7636.3636368559819</v>
      </c>
      <c r="AH310">
        <v>21999.999999145439</v>
      </c>
      <c r="AI310">
        <v>7636.3636368696662</v>
      </c>
      <c r="AK310">
        <v>22000.000019088955</v>
      </c>
      <c r="AL310">
        <v>7636.3636476235488</v>
      </c>
      <c r="AZ310">
        <v>49999.999999999942</v>
      </c>
      <c r="BA310">
        <v>3.2392062497274009E-12</v>
      </c>
      <c r="BC310">
        <v>49999.999999999709</v>
      </c>
      <c r="BD310">
        <v>1.9086902079810729E-11</v>
      </c>
      <c r="BF310">
        <v>49999.999999999971</v>
      </c>
      <c r="BG310">
        <v>1.1036304211024369E-12</v>
      </c>
      <c r="BI310">
        <v>49999.999999999643</v>
      </c>
      <c r="BJ310">
        <v>2.3074382796236E-11</v>
      </c>
      <c r="BL310">
        <v>49999.999999999673</v>
      </c>
      <c r="BM310">
        <v>2.0918240107979885E-11</v>
      </c>
      <c r="BO310">
        <v>49999.999999999651</v>
      </c>
      <c r="BP310">
        <v>2.2954442229444865E-11</v>
      </c>
      <c r="BR310">
        <v>49999.999999999658</v>
      </c>
      <c r="BS310">
        <v>2.2844172702677907E-11</v>
      </c>
      <c r="BU310">
        <v>49999.999999999643</v>
      </c>
      <c r="BV310">
        <v>2.3022247390235957E-11</v>
      </c>
      <c r="BX310">
        <v>49999.999999999971</v>
      </c>
      <c r="BY310">
        <v>7.7089322609344621E-16</v>
      </c>
    </row>
    <row r="311" spans="13:77" x14ac:dyDescent="0.35">
      <c r="M311">
        <v>21999.999998449322</v>
      </c>
      <c r="N311">
        <v>7636.3636359572292</v>
      </c>
      <c r="P311">
        <v>21999.999999149852</v>
      </c>
      <c r="Q311">
        <v>7636.3636366854971</v>
      </c>
      <c r="S311">
        <v>21999.999996672039</v>
      </c>
      <c r="T311">
        <v>7636.363636199133</v>
      </c>
      <c r="V311">
        <v>21999.999999246549</v>
      </c>
      <c r="W311">
        <v>7636.3636367964073</v>
      </c>
      <c r="Y311">
        <v>21999.999999539807</v>
      </c>
      <c r="Z311">
        <v>7636.3636367950076</v>
      </c>
      <c r="AB311">
        <v>21999.99999930074</v>
      </c>
      <c r="AC311">
        <v>7636.3636367970475</v>
      </c>
      <c r="AE311">
        <v>21999.999999328564</v>
      </c>
      <c r="AF311">
        <v>7636.3636367972631</v>
      </c>
      <c r="AH311">
        <v>21999.999999160031</v>
      </c>
      <c r="AI311">
        <v>7636.3636367949002</v>
      </c>
      <c r="AK311">
        <v>22000.000013483699</v>
      </c>
      <c r="AL311">
        <v>7636.3636490545405</v>
      </c>
      <c r="AZ311">
        <v>49999.999999999949</v>
      </c>
      <c r="BA311">
        <v>2.8995403636298134E-12</v>
      </c>
      <c r="BC311">
        <v>49999.999999999738</v>
      </c>
      <c r="BD311">
        <v>1.7085433507581824E-11</v>
      </c>
      <c r="BF311">
        <v>49999.999999999971</v>
      </c>
      <c r="BG311">
        <v>9.8790280883953764E-13</v>
      </c>
      <c r="BI311">
        <v>49999.99999999968</v>
      </c>
      <c r="BJ311">
        <v>2.0654783649285082E-11</v>
      </c>
      <c r="BL311">
        <v>49999.999999999709</v>
      </c>
      <c r="BM311">
        <v>1.8724735893026888E-11</v>
      </c>
      <c r="BO311">
        <v>49999.999999999687</v>
      </c>
      <c r="BP311">
        <v>2.0547420150996945E-11</v>
      </c>
      <c r="BR311">
        <v>49999.999999999694</v>
      </c>
      <c r="BS311">
        <v>2.0448713579358889E-11</v>
      </c>
      <c r="BU311">
        <v>49999.99999999968</v>
      </c>
      <c r="BV311">
        <v>2.0608115205716824E-11</v>
      </c>
      <c r="BX311">
        <v>49999.999999999971</v>
      </c>
      <c r="BY311">
        <v>6.9005671537428651E-16</v>
      </c>
    </row>
    <row r="312" spans="13:77" x14ac:dyDescent="0.35">
      <c r="M312">
        <v>21999.999998785734</v>
      </c>
      <c r="N312">
        <v>7636.3636358355971</v>
      </c>
      <c r="P312">
        <v>21999.999999206848</v>
      </c>
      <c r="Q312">
        <v>7636.3636366130413</v>
      </c>
      <c r="S312">
        <v>21999.999997228439</v>
      </c>
      <c r="T312">
        <v>7636.3636359305956</v>
      </c>
      <c r="V312">
        <v>21999.999999262545</v>
      </c>
      <c r="W312">
        <v>7636.3636367306299</v>
      </c>
      <c r="Y312">
        <v>21999.999999510492</v>
      </c>
      <c r="Z312">
        <v>7636.3636367530617</v>
      </c>
      <c r="AB312">
        <v>21999.999999308155</v>
      </c>
      <c r="AC312">
        <v>7636.3636367356639</v>
      </c>
      <c r="AE312">
        <v>21999.999999331598</v>
      </c>
      <c r="AF312">
        <v>7636.3636367381368</v>
      </c>
      <c r="AH312">
        <v>21999.999999189844</v>
      </c>
      <c r="AI312">
        <v>7636.3636367221116</v>
      </c>
      <c r="AK312">
        <v>22000.000008415936</v>
      </c>
      <c r="AL312">
        <v>7636.363650015136</v>
      </c>
      <c r="AZ312">
        <v>49999.999999999956</v>
      </c>
      <c r="BA312">
        <v>2.5954921274389488E-12</v>
      </c>
      <c r="BC312">
        <v>49999.999999999767</v>
      </c>
      <c r="BD312">
        <v>1.5293840609722167E-11</v>
      </c>
      <c r="BF312">
        <v>49999.999999999971</v>
      </c>
      <c r="BG312">
        <v>8.8431049113176089E-13</v>
      </c>
      <c r="BI312">
        <v>49999.999999999716</v>
      </c>
      <c r="BJ312">
        <v>1.8488905699716772E-11</v>
      </c>
      <c r="BL312">
        <v>49999.999999999738</v>
      </c>
      <c r="BM312">
        <v>1.6761244371119764E-11</v>
      </c>
      <c r="BO312">
        <v>49999.999999999716</v>
      </c>
      <c r="BP312">
        <v>1.8392800427972145E-11</v>
      </c>
      <c r="BR312">
        <v>49999.999999999724</v>
      </c>
      <c r="BS312">
        <v>1.830444431028308E-11</v>
      </c>
      <c r="BU312">
        <v>49999.999999999716</v>
      </c>
      <c r="BV312">
        <v>1.8447130948311138E-11</v>
      </c>
      <c r="BX312">
        <v>49999.999999999971</v>
      </c>
      <c r="BY312">
        <v>6.1769678901735171E-16</v>
      </c>
    </row>
    <row r="313" spans="13:77" x14ac:dyDescent="0.35">
      <c r="M313">
        <v>21999.999999098251</v>
      </c>
      <c r="N313">
        <v>7636.3636357425758</v>
      </c>
      <c r="P313">
        <v>21999.999999271928</v>
      </c>
      <c r="Q313">
        <v>7636.3636365459824</v>
      </c>
      <c r="S313">
        <v>21999.999997761082</v>
      </c>
      <c r="T313">
        <v>7636.3636357100913</v>
      </c>
      <c r="V313">
        <v>21999.999999291442</v>
      </c>
      <c r="W313">
        <v>7636.3636366668479</v>
      </c>
      <c r="Y313">
        <v>21999.999999495554</v>
      </c>
      <c r="Z313">
        <v>7636.3636367091794</v>
      </c>
      <c r="AB313">
        <v>21999.999999328775</v>
      </c>
      <c r="AC313">
        <v>7636.3636366755336</v>
      </c>
      <c r="AE313">
        <v>21999.999999347994</v>
      </c>
      <c r="AF313">
        <v>7636.3636366798837</v>
      </c>
      <c r="AH313">
        <v>21999.999999232048</v>
      </c>
      <c r="AI313">
        <v>7636.3636366525161</v>
      </c>
      <c r="AK313">
        <v>22000.000003912082</v>
      </c>
      <c r="AL313">
        <v>7636.3636505539735</v>
      </c>
      <c r="AZ313">
        <v>49999.999999999964</v>
      </c>
      <c r="BA313">
        <v>2.3233266444907558E-12</v>
      </c>
      <c r="BC313">
        <v>49999.999999999789</v>
      </c>
      <c r="BD313">
        <v>1.369011564686321E-11</v>
      </c>
      <c r="BF313">
        <v>49999.999999999971</v>
      </c>
      <c r="BG313">
        <v>7.9158095080658388E-13</v>
      </c>
      <c r="BI313">
        <v>49999.999999999745</v>
      </c>
      <c r="BJ313">
        <v>1.6550143529818642E-11</v>
      </c>
      <c r="BL313">
        <v>49999.999999999767</v>
      </c>
      <c r="BM313">
        <v>1.5003646218210004E-11</v>
      </c>
      <c r="BO313">
        <v>49999.999999999745</v>
      </c>
      <c r="BP313">
        <v>1.6464115937532844E-11</v>
      </c>
      <c r="BR313">
        <v>49999.999999999753</v>
      </c>
      <c r="BS313">
        <v>1.6385024916504274E-11</v>
      </c>
      <c r="BU313">
        <v>49999.999999999745</v>
      </c>
      <c r="BV313">
        <v>1.6512749313908054E-11</v>
      </c>
      <c r="BX313">
        <v>49999.999999999971</v>
      </c>
      <c r="BY313">
        <v>5.5292458527179826E-16</v>
      </c>
    </row>
    <row r="314" spans="13:77" x14ac:dyDescent="0.35">
      <c r="M314">
        <v>21999.999999383897</v>
      </c>
      <c r="N314">
        <v>7636.3636356759216</v>
      </c>
      <c r="P314">
        <v>21999.99999934257</v>
      </c>
      <c r="Q314">
        <v>7636.3636364849199</v>
      </c>
      <c r="S314">
        <v>21999.999998262425</v>
      </c>
      <c r="T314">
        <v>7636.3636355351828</v>
      </c>
      <c r="V314">
        <v>21999.999999330765</v>
      </c>
      <c r="W314">
        <v>7636.3636366060891</v>
      </c>
      <c r="Y314">
        <v>21999.999999493208</v>
      </c>
      <c r="Z314">
        <v>7636.3636366645487</v>
      </c>
      <c r="AB314">
        <v>21999.999999360258</v>
      </c>
      <c r="AC314">
        <v>7636.3636366177152</v>
      </c>
      <c r="AE314">
        <v>21999.999999375468</v>
      </c>
      <c r="AF314">
        <v>7636.3636366235796</v>
      </c>
      <c r="AH314">
        <v>21999.999999283969</v>
      </c>
      <c r="AI314">
        <v>7636.3636365870852</v>
      </c>
      <c r="AK314">
        <v>21999.999999983058</v>
      </c>
      <c r="AL314">
        <v>7636.3636507213205</v>
      </c>
      <c r="AZ314">
        <v>49999.999999999971</v>
      </c>
      <c r="BA314">
        <v>2.0797006625201731E-12</v>
      </c>
      <c r="BC314">
        <v>49999.999999999811</v>
      </c>
      <c r="BD314">
        <v>1.2254558629658273E-11</v>
      </c>
      <c r="BF314">
        <v>49999.999999999971</v>
      </c>
      <c r="BG314">
        <v>7.0857510791025196E-13</v>
      </c>
      <c r="BI314">
        <v>49999.999999999774</v>
      </c>
      <c r="BJ314">
        <v>1.4814681588310219E-11</v>
      </c>
      <c r="BL314">
        <v>49999.999999999789</v>
      </c>
      <c r="BM314">
        <v>1.3430351282812814E-11</v>
      </c>
      <c r="BO314">
        <v>49999.999999999774</v>
      </c>
      <c r="BP314">
        <v>1.4737674921556732E-11</v>
      </c>
      <c r="BR314">
        <v>49999.999999999782</v>
      </c>
      <c r="BS314">
        <v>1.4666877451376398E-11</v>
      </c>
      <c r="BU314">
        <v>49999.999999999774</v>
      </c>
      <c r="BV314">
        <v>1.4781208561265965E-11</v>
      </c>
      <c r="BX314">
        <v>49999.999999999971</v>
      </c>
      <c r="BY314">
        <v>4.9494444917602118E-16</v>
      </c>
    </row>
    <row r="315" spans="13:77" x14ac:dyDescent="0.35">
      <c r="M315">
        <v>21999.999999640688</v>
      </c>
      <c r="N315">
        <v>7636.3636356331726</v>
      </c>
      <c r="P315">
        <v>21999.999999416505</v>
      </c>
      <c r="Q315">
        <v>7636.3636364302411</v>
      </c>
      <c r="S315">
        <v>21999.999998726671</v>
      </c>
      <c r="T315">
        <v>7636.363635402844</v>
      </c>
      <c r="V315">
        <v>21999.999999378186</v>
      </c>
      <c r="W315">
        <v>7636.3636365491675</v>
      </c>
      <c r="Y315">
        <v>21999.99999950167</v>
      </c>
      <c r="Z315">
        <v>7636.3636366202009</v>
      </c>
      <c r="AB315">
        <v>21999.999999400367</v>
      </c>
      <c r="AC315">
        <v>7636.3636365630664</v>
      </c>
      <c r="AE315">
        <v>21999.999999411841</v>
      </c>
      <c r="AF315">
        <v>7636.3636365701032</v>
      </c>
      <c r="AH315">
        <v>21999.999999343119</v>
      </c>
      <c r="AI315">
        <v>7636.3636365265647</v>
      </c>
      <c r="AK315">
        <v>21999.999996626328</v>
      </c>
      <c r="AL315">
        <v>7636.3636505677978</v>
      </c>
      <c r="AZ315">
        <v>49999.999999999971</v>
      </c>
      <c r="BA315">
        <v>1.8616215055007329E-12</v>
      </c>
      <c r="BC315">
        <v>49999.999999999833</v>
      </c>
      <c r="BD315">
        <v>1.0969535326178283E-11</v>
      </c>
      <c r="BF315">
        <v>49999.999999999971</v>
      </c>
      <c r="BG315">
        <v>6.3427332736902092E-13</v>
      </c>
      <c r="BI315">
        <v>49999.999999999796</v>
      </c>
      <c r="BJ315">
        <v>1.3261201642607314E-11</v>
      </c>
      <c r="BL315">
        <v>49999.999999999811</v>
      </c>
      <c r="BM315">
        <v>1.2022033374849276E-11</v>
      </c>
      <c r="BO315">
        <v>49999.999999999796</v>
      </c>
      <c r="BP315">
        <v>1.3192269959563323E-11</v>
      </c>
      <c r="BR315">
        <v>49999.999999999804</v>
      </c>
      <c r="BS315">
        <v>1.3128896371528282E-11</v>
      </c>
      <c r="BU315">
        <v>49999.999999999796</v>
      </c>
      <c r="BV315">
        <v>1.3231238625273715E-11</v>
      </c>
      <c r="BX315">
        <v>49999.999999999971</v>
      </c>
      <c r="BY315">
        <v>4.4304415881550355E-16</v>
      </c>
    </row>
    <row r="316" spans="13:77" x14ac:dyDescent="0.35">
      <c r="M316">
        <v>21999.999999867516</v>
      </c>
      <c r="N316">
        <v>7636.3636356117313</v>
      </c>
      <c r="P316">
        <v>21999.999999491727</v>
      </c>
      <c r="Q316">
        <v>7636.363636382147</v>
      </c>
      <c r="S316">
        <v>21999.999999149633</v>
      </c>
      <c r="T316">
        <v>7636.3636353096117</v>
      </c>
      <c r="V316">
        <v>21999.999999431544</v>
      </c>
      <c r="W316">
        <v>7636.3636364967006</v>
      </c>
      <c r="Y316">
        <v>21999.99999951919</v>
      </c>
      <c r="Z316">
        <v>7636.3636365770099</v>
      </c>
      <c r="AB316">
        <v>21999.99999944702</v>
      </c>
      <c r="AC316">
        <v>7636.3636365122538</v>
      </c>
      <c r="AE316">
        <v>21999.999999455064</v>
      </c>
      <c r="AF316">
        <v>7636.3636365201473</v>
      </c>
      <c r="AH316">
        <v>21999.999999407224</v>
      </c>
      <c r="AI316">
        <v>7636.3636364714894</v>
      </c>
      <c r="AK316">
        <v>21999.999993827907</v>
      </c>
      <c r="AL316">
        <v>7636.3636501432848</v>
      </c>
      <c r="AZ316">
        <v>49999.999999999971</v>
      </c>
      <c r="BA316">
        <v>1.666410311925935E-12</v>
      </c>
      <c r="BC316">
        <v>49999.999999999847</v>
      </c>
      <c r="BD316">
        <v>9.8192606448551299E-12</v>
      </c>
      <c r="BF316">
        <v>49999.999999999971</v>
      </c>
      <c r="BG316">
        <v>5.6776289389878593E-13</v>
      </c>
      <c r="BI316">
        <v>49999.999999999818</v>
      </c>
      <c r="BJ316">
        <v>1.1870620907887477E-11</v>
      </c>
      <c r="BL316">
        <v>49999.999999999833</v>
      </c>
      <c r="BM316">
        <v>1.0761392864753133E-11</v>
      </c>
      <c r="BO316">
        <v>49999.999999999818</v>
      </c>
      <c r="BP316">
        <v>1.1808917458983658E-11</v>
      </c>
      <c r="BR316">
        <v>49999.999999999825</v>
      </c>
      <c r="BS316">
        <v>1.1752189278581094E-11</v>
      </c>
      <c r="BU316">
        <v>49999.999999999818</v>
      </c>
      <c r="BV316">
        <v>1.1843799837700229E-11</v>
      </c>
      <c r="BX316">
        <v>49999.999999999971</v>
      </c>
      <c r="BY316">
        <v>3.9658617646347128E-16</v>
      </c>
    </row>
    <row r="317" spans="13:77" x14ac:dyDescent="0.35">
      <c r="M317">
        <v>22000.000000064061</v>
      </c>
      <c r="N317">
        <v>7636.3636356089391</v>
      </c>
      <c r="P317">
        <v>21999.999999566495</v>
      </c>
      <c r="Q317">
        <v>7636.3636363406713</v>
      </c>
      <c r="S317">
        <v>21999.999999528587</v>
      </c>
      <c r="T317">
        <v>7636.3636352517187</v>
      </c>
      <c r="V317">
        <v>21999.999999488875</v>
      </c>
      <c r="W317">
        <v>7636.3636364491231</v>
      </c>
      <c r="Y317">
        <v>21999.999999544092</v>
      </c>
      <c r="Z317">
        <v>7636.3636365356997</v>
      </c>
      <c r="AB317">
        <v>21999.999999498305</v>
      </c>
      <c r="AC317">
        <v>7636.3636364657686</v>
      </c>
      <c r="AE317">
        <v>21999.999999503249</v>
      </c>
      <c r="AF317">
        <v>7636.3636364742315</v>
      </c>
      <c r="AH317">
        <v>21999.999999474239</v>
      </c>
      <c r="AI317">
        <v>7636.3636364222039</v>
      </c>
      <c r="AK317">
        <v>21999.999991564313</v>
      </c>
      <c r="AL317">
        <v>7636.3636494959965</v>
      </c>
      <c r="AZ317">
        <v>49999.999999999971</v>
      </c>
      <c r="BA317">
        <v>1.4916691279552897E-12</v>
      </c>
      <c r="BC317">
        <v>49999.999999999862</v>
      </c>
      <c r="BD317">
        <v>8.7896047320713796E-12</v>
      </c>
      <c r="BF317">
        <v>49999.999999999971</v>
      </c>
      <c r="BG317">
        <v>5.0822680030619942E-13</v>
      </c>
      <c r="BI317">
        <v>49999.99999999984</v>
      </c>
      <c r="BJ317">
        <v>1.0625857636161421E-11</v>
      </c>
      <c r="BL317">
        <v>49999.999999999847</v>
      </c>
      <c r="BM317">
        <v>9.6329441766344757E-12</v>
      </c>
      <c r="BO317">
        <v>49999.99999999984</v>
      </c>
      <c r="BP317">
        <v>1.0570624462698987E-11</v>
      </c>
      <c r="BR317">
        <v>49999.999999999847</v>
      </c>
      <c r="BS317">
        <v>1.0519844846906894E-11</v>
      </c>
      <c r="BU317">
        <v>49999.99999999984</v>
      </c>
      <c r="BV317">
        <v>1.0601849045905639E-11</v>
      </c>
      <c r="BX317">
        <v>49999.999999999971</v>
      </c>
      <c r="BY317">
        <v>3.5499981713428205E-16</v>
      </c>
    </row>
    <row r="318" spans="13:77" x14ac:dyDescent="0.35">
      <c r="M318">
        <v>22000.000000230673</v>
      </c>
      <c r="N318">
        <v>7636.3636356221396</v>
      </c>
      <c r="P318">
        <v>21999.999999639331</v>
      </c>
      <c r="Q318">
        <v>7636.3636363057076</v>
      </c>
      <c r="S318">
        <v>21999.999999862113</v>
      </c>
      <c r="T318">
        <v>7636.3636352252161</v>
      </c>
      <c r="V318">
        <v>21999.999999548418</v>
      </c>
      <c r="W318">
        <v>7636.3636364067061</v>
      </c>
      <c r="Y318">
        <v>21999.999999574782</v>
      </c>
      <c r="Z318">
        <v>7636.3636364968497</v>
      </c>
      <c r="AB318">
        <v>21999.999999552485</v>
      </c>
      <c r="AC318">
        <v>7636.363636423941</v>
      </c>
      <c r="AE318">
        <v>21999.999999554679</v>
      </c>
      <c r="AF318">
        <v>7636.3636364327158</v>
      </c>
      <c r="AH318">
        <v>21999.999999542357</v>
      </c>
      <c r="AI318">
        <v>7636.3636363788837</v>
      </c>
      <c r="AK318">
        <v>21999.999989804437</v>
      </c>
      <c r="AL318">
        <v>7636.3636486717287</v>
      </c>
      <c r="AZ318">
        <v>49999.999999999971</v>
      </c>
      <c r="BA318">
        <v>1.3352514512006872E-12</v>
      </c>
      <c r="BC318">
        <v>49999.999999999876</v>
      </c>
      <c r="BD318">
        <v>7.8679194025194778E-12</v>
      </c>
      <c r="BF318">
        <v>49999.999999999971</v>
      </c>
      <c r="BG318">
        <v>4.5493371145794396E-13</v>
      </c>
      <c r="BI318">
        <v>49999.999999999854</v>
      </c>
      <c r="BJ318">
        <v>9.5116212858711801E-12</v>
      </c>
      <c r="BL318">
        <v>49999.999999999862</v>
      </c>
      <c r="BM318">
        <v>8.6228255650886656E-12</v>
      </c>
      <c r="BO318">
        <v>49999.999999999854</v>
      </c>
      <c r="BP318">
        <v>9.4621799093366755E-12</v>
      </c>
      <c r="BR318">
        <v>49999.999999999862</v>
      </c>
      <c r="BS318">
        <v>9.4167250866772105E-12</v>
      </c>
      <c r="BU318">
        <v>49999.999999999854</v>
      </c>
      <c r="BV318">
        <v>9.4901302565406611E-12</v>
      </c>
      <c r="BX318">
        <v>49999.999999999971</v>
      </c>
      <c r="BY318">
        <v>3.1777423834887898E-16</v>
      </c>
    </row>
    <row r="319" spans="13:77" x14ac:dyDescent="0.35">
      <c r="M319">
        <v>22000.000000368269</v>
      </c>
      <c r="N319">
        <v>7636.3636356487314</v>
      </c>
      <c r="P319">
        <v>21999.999999709013</v>
      </c>
      <c r="Q319">
        <v>7636.3636362770294</v>
      </c>
      <c r="S319">
        <v>22000.000000149936</v>
      </c>
      <c r="T319">
        <v>7636.363635226081</v>
      </c>
      <c r="V319">
        <v>21999.999999608619</v>
      </c>
      <c r="W319">
        <v>7636.3636363695741</v>
      </c>
      <c r="Y319">
        <v>21999.999999609787</v>
      </c>
      <c r="Z319">
        <v>7636.3636364609038</v>
      </c>
      <c r="AB319">
        <v>21999.999999608019</v>
      </c>
      <c r="AC319">
        <v>7636.3636363869573</v>
      </c>
      <c r="AE319">
        <v>21999.999999607819</v>
      </c>
      <c r="AF319">
        <v>7636.3636363958167</v>
      </c>
      <c r="AH319">
        <v>21999.999999610009</v>
      </c>
      <c r="AI319">
        <v>7636.3636363415544</v>
      </c>
      <c r="AK319">
        <v>21999.999988511303</v>
      </c>
      <c r="AL319">
        <v>7636.3636477132677</v>
      </c>
      <c r="AZ319">
        <v>49999.999999999971</v>
      </c>
      <c r="BA319">
        <v>1.1952358633160507E-12</v>
      </c>
      <c r="BC319">
        <v>49999.999999999891</v>
      </c>
      <c r="BD319">
        <v>7.0428827702191755E-12</v>
      </c>
      <c r="BF319">
        <v>49999.999999999971</v>
      </c>
      <c r="BG319">
        <v>4.0722898063661053E-13</v>
      </c>
      <c r="BI319">
        <v>49999.999999999869</v>
      </c>
      <c r="BJ319">
        <v>8.5142246944803085E-12</v>
      </c>
      <c r="BL319">
        <v>49999.999999999876</v>
      </c>
      <c r="BM319">
        <v>7.7186288389687213E-12</v>
      </c>
      <c r="BO319">
        <v>49999.999999999869</v>
      </c>
      <c r="BP319">
        <v>8.4699677821866623E-12</v>
      </c>
      <c r="BR319">
        <v>49999.999999999876</v>
      </c>
      <c r="BS319">
        <v>8.4292793903827001E-12</v>
      </c>
      <c r="BU319">
        <v>49999.999999999869</v>
      </c>
      <c r="BV319">
        <v>8.4949872325233744E-12</v>
      </c>
      <c r="BX319">
        <v>49999.999999999971</v>
      </c>
      <c r="BY319">
        <v>2.8445216499932259E-16</v>
      </c>
    </row>
    <row r="320" spans="13:77" x14ac:dyDescent="0.35">
      <c r="M320">
        <v>22000.000000478227</v>
      </c>
      <c r="N320">
        <v>7636.3636356862162</v>
      </c>
      <c r="P320">
        <v>21999.999999774562</v>
      </c>
      <c r="Q320">
        <v>7636.3636362543148</v>
      </c>
      <c r="S320">
        <v>22000.000000392763</v>
      </c>
      <c r="T320">
        <v>7636.3636352503127</v>
      </c>
      <c r="V320">
        <v>21999.999999668136</v>
      </c>
      <c r="W320">
        <v>7636.3636363377254</v>
      </c>
      <c r="Y320">
        <v>21999.999999647756</v>
      </c>
      <c r="Z320">
        <v>7636.363636428182</v>
      </c>
      <c r="AB320">
        <v>21999.999999663563</v>
      </c>
      <c r="AC320">
        <v>7636.3636363548749</v>
      </c>
      <c r="AE320">
        <v>21999.999999661322</v>
      </c>
      <c r="AF320">
        <v>7636.3636363636242</v>
      </c>
      <c r="AH320">
        <v>21999.999999675867</v>
      </c>
      <c r="AI320">
        <v>7636.363636310115</v>
      </c>
      <c r="AK320">
        <v>21999.999987643667</v>
      </c>
      <c r="AL320">
        <v>7636.363646659941</v>
      </c>
      <c r="AZ320">
        <v>49999.999999999971</v>
      </c>
      <c r="BA320">
        <v>1.06990242749577E-12</v>
      </c>
      <c r="BC320">
        <v>49999.999999999905</v>
      </c>
      <c r="BD320">
        <v>6.3043601716568721E-12</v>
      </c>
      <c r="BF320">
        <v>49999.999999999971</v>
      </c>
      <c r="BG320">
        <v>3.645266079290399E-13</v>
      </c>
      <c r="BI320">
        <v>49999.999999999884</v>
      </c>
      <c r="BJ320">
        <v>7.6214159468039293E-12</v>
      </c>
      <c r="BL320">
        <v>49999.999999999891</v>
      </c>
      <c r="BM320">
        <v>6.9092469404658558E-12</v>
      </c>
      <c r="BO320">
        <v>49999.999999999884</v>
      </c>
      <c r="BP320">
        <v>7.5817998514793881E-12</v>
      </c>
      <c r="BR320">
        <v>49999.999999999891</v>
      </c>
      <c r="BS320">
        <v>7.545378078590829E-12</v>
      </c>
      <c r="BU320">
        <v>49999.999999999884</v>
      </c>
      <c r="BV320">
        <v>7.6041957412543085E-12</v>
      </c>
      <c r="BX320">
        <v>49999.999999999971</v>
      </c>
      <c r="BY320">
        <v>2.5462427222929504E-16</v>
      </c>
    </row>
    <row r="321" spans="13:77" x14ac:dyDescent="0.35">
      <c r="M321">
        <v>22000.000000562304</v>
      </c>
      <c r="N321">
        <v>7636.3636357322339</v>
      </c>
      <c r="P321">
        <v>21999.999999835225</v>
      </c>
      <c r="Q321">
        <v>7636.3636362371644</v>
      </c>
      <c r="S321">
        <v>22000.000000592132</v>
      </c>
      <c r="T321">
        <v>7636.3636352940084</v>
      </c>
      <c r="V321">
        <v>21999.999999725846</v>
      </c>
      <c r="W321">
        <v>7636.3636363110472</v>
      </c>
      <c r="Y321">
        <v>21999.999999687472</v>
      </c>
      <c r="Z321">
        <v>7636.3636363988908</v>
      </c>
      <c r="AB321">
        <v>21999.999999717969</v>
      </c>
      <c r="AC321">
        <v>7636.3636363276437</v>
      </c>
      <c r="AE321">
        <v>21999.999999714033</v>
      </c>
      <c r="AF321">
        <v>7636.3636363361184</v>
      </c>
      <c r="AH321">
        <v>21999.999999738833</v>
      </c>
      <c r="AI321">
        <v>7636.3636362843572</v>
      </c>
      <c r="AK321">
        <v>21999.999987157509</v>
      </c>
      <c r="AL321">
        <v>7636.3636455473115</v>
      </c>
      <c r="AZ321">
        <v>49999.999999999971</v>
      </c>
      <c r="BA321">
        <v>9.5771156095125966E-13</v>
      </c>
      <c r="BC321">
        <v>49999.999999999913</v>
      </c>
      <c r="BD321">
        <v>5.6432796726412928E-12</v>
      </c>
      <c r="BF321">
        <v>49999.999999999971</v>
      </c>
      <c r="BG321">
        <v>3.2630204186481192E-13</v>
      </c>
      <c r="BI321">
        <v>49999.999999999898</v>
      </c>
      <c r="BJ321">
        <v>6.8222278737668067E-12</v>
      </c>
      <c r="BL321">
        <v>49999.999999999905</v>
      </c>
      <c r="BM321">
        <v>6.1847375071755595E-12</v>
      </c>
      <c r="BO321">
        <v>49999.999999999898</v>
      </c>
      <c r="BP321">
        <v>6.78676595544883E-12</v>
      </c>
      <c r="BR321">
        <v>49999.999999999905</v>
      </c>
      <c r="BS321">
        <v>6.7541634002351191E-12</v>
      </c>
      <c r="BU321">
        <v>49999.999999999898</v>
      </c>
      <c r="BV321">
        <v>6.8068133934244918E-12</v>
      </c>
      <c r="BX321">
        <v>49999.999999999971</v>
      </c>
      <c r="BY321">
        <v>2.2792415733046906E-16</v>
      </c>
    </row>
    <row r="322" spans="13:77" x14ac:dyDescent="0.35">
      <c r="M322">
        <v>22000.000000622531</v>
      </c>
      <c r="N322">
        <v>7636.3636357845926</v>
      </c>
      <c r="P322">
        <v>21999.99999989046</v>
      </c>
      <c r="Q322">
        <v>7636.3636362251227</v>
      </c>
      <c r="S322">
        <v>22000.000000750249</v>
      </c>
      <c r="T322">
        <v>7636.363635353433</v>
      </c>
      <c r="V322">
        <v>21999.999999780815</v>
      </c>
      <c r="W322">
        <v>7636.3636362893394</v>
      </c>
      <c r="Y322">
        <v>21999.999999727861</v>
      </c>
      <c r="Z322">
        <v>7636.3636363731348</v>
      </c>
      <c r="AB322">
        <v>21999.99999977028</v>
      </c>
      <c r="AC322">
        <v>7636.3636363051201</v>
      </c>
      <c r="AE322">
        <v>21999.999999764976</v>
      </c>
      <c r="AF322">
        <v>7636.3636363131855</v>
      </c>
      <c r="AH322">
        <v>21999.999999798027</v>
      </c>
      <c r="AI322">
        <v>7636.3636362639863</v>
      </c>
      <c r="AK322">
        <v>21999.999987007341</v>
      </c>
      <c r="AL322">
        <v>7636.3636444069889</v>
      </c>
      <c r="AZ322">
        <v>49999.999999999971</v>
      </c>
      <c r="BA322">
        <v>8.5728512283735768E-13</v>
      </c>
      <c r="BC322">
        <v>49999.99999999992</v>
      </c>
      <c r="BD322">
        <v>5.0515206296147722E-12</v>
      </c>
      <c r="BF322">
        <v>49999.999999999971</v>
      </c>
      <c r="BG322">
        <v>2.9208573588096458E-13</v>
      </c>
      <c r="BI322">
        <v>49999.999999999905</v>
      </c>
      <c r="BJ322">
        <v>6.1068433328479687E-12</v>
      </c>
      <c r="BL322">
        <v>49999.999999999913</v>
      </c>
      <c r="BM322">
        <v>5.5362007411599452E-12</v>
      </c>
      <c r="BO322">
        <v>49999.999999999905</v>
      </c>
      <c r="BP322">
        <v>6.0750999810489378E-12</v>
      </c>
      <c r="BR322">
        <v>49999.999999999913</v>
      </c>
      <c r="BS322">
        <v>6.0459161571391204E-12</v>
      </c>
      <c r="BU322">
        <v>49999.999999999905</v>
      </c>
      <c r="BV322">
        <v>6.0930452278521287E-12</v>
      </c>
      <c r="BX322">
        <v>49999.999999999971</v>
      </c>
      <c r="BY322">
        <v>2.0402383889004407E-16</v>
      </c>
    </row>
    <row r="323" spans="13:77" x14ac:dyDescent="0.35">
      <c r="M323">
        <v>22000.000000661134</v>
      </c>
      <c r="N323">
        <v>7636.3636358412878</v>
      </c>
      <c r="P323">
        <v>21999.999999939915</v>
      </c>
      <c r="Q323">
        <v>7636.363636217694</v>
      </c>
      <c r="S323">
        <v>22000.000000869855</v>
      </c>
      <c r="T323">
        <v>7636.3636354250693</v>
      </c>
      <c r="V323">
        <v>21999.999999832311</v>
      </c>
      <c r="W323">
        <v>7636.3636362723255</v>
      </c>
      <c r="Y323">
        <v>21999.999999767992</v>
      </c>
      <c r="Z323">
        <v>7636.3636363509322</v>
      </c>
      <c r="AB323">
        <v>21999.99999981972</v>
      </c>
      <c r="AC323">
        <v>7636.363636287083</v>
      </c>
      <c r="AE323">
        <v>21999.999999813357</v>
      </c>
      <c r="AF323">
        <v>7636.3636362946327</v>
      </c>
      <c r="AH323">
        <v>21999.999999852775</v>
      </c>
      <c r="AI323">
        <v>7636.3636362486386</v>
      </c>
      <c r="AK323">
        <v>21999.999987147352</v>
      </c>
      <c r="AL323">
        <v>7636.3636432665544</v>
      </c>
      <c r="AZ323">
        <v>49999.999999999971</v>
      </c>
      <c r="BA323">
        <v>7.6738948531463571E-13</v>
      </c>
      <c r="BC323">
        <v>49999.999999999927</v>
      </c>
      <c r="BD323">
        <v>4.5218139365189734E-12</v>
      </c>
      <c r="BF323">
        <v>49999.999999999971</v>
      </c>
      <c r="BG323">
        <v>2.6145738046123081E-13</v>
      </c>
      <c r="BI323">
        <v>49999.999999999913</v>
      </c>
      <c r="BJ323">
        <v>5.4664746153309789E-12</v>
      </c>
      <c r="BL323">
        <v>49999.99999999992</v>
      </c>
      <c r="BM323">
        <v>4.9556700847627278E-12</v>
      </c>
      <c r="BO323">
        <v>49999.999999999913</v>
      </c>
      <c r="BP323">
        <v>5.4380598980446265E-12</v>
      </c>
      <c r="BR323">
        <v>49999.99999999992</v>
      </c>
      <c r="BS323">
        <v>5.4119363144047449E-12</v>
      </c>
      <c r="BU323">
        <v>49999.999999999913</v>
      </c>
      <c r="BV323">
        <v>5.4541233912061162E-12</v>
      </c>
      <c r="BX323">
        <v>49999.999999999971</v>
      </c>
      <c r="BY323">
        <v>1.8262972790144919E-16</v>
      </c>
    </row>
    <row r="324" spans="13:77" x14ac:dyDescent="0.35">
      <c r="M324">
        <v>22000.000000680462</v>
      </c>
      <c r="N324">
        <v>7636.3636359005168</v>
      </c>
      <c r="P324">
        <v>21999.999999983414</v>
      </c>
      <c r="Q324">
        <v>7636.3636362143607</v>
      </c>
      <c r="S324">
        <v>22000.000000954089</v>
      </c>
      <c r="T324">
        <v>7636.3636355056606</v>
      </c>
      <c r="V324">
        <v>21999.999999879772</v>
      </c>
      <c r="W324">
        <v>7636.3636362596744</v>
      </c>
      <c r="Y324">
        <v>21999.999999807071</v>
      </c>
      <c r="Z324">
        <v>7636.3636363322239</v>
      </c>
      <c r="AB324">
        <v>21999.999999865686</v>
      </c>
      <c r="AC324">
        <v>7636.3636362732523</v>
      </c>
      <c r="AE324">
        <v>21999.999999858548</v>
      </c>
      <c r="AF324">
        <v>7636.3636362802054</v>
      </c>
      <c r="AH324">
        <v>21999.999999902593</v>
      </c>
      <c r="AI324">
        <v>7636.3636362379002</v>
      </c>
      <c r="AK324">
        <v>21999.999987532407</v>
      </c>
      <c r="AL324">
        <v>7636.3636421495758</v>
      </c>
      <c r="AZ324">
        <v>49999.999999999971</v>
      </c>
      <c r="BA324">
        <v>6.8692037979432407E-13</v>
      </c>
      <c r="BC324">
        <v>49999.999999999935</v>
      </c>
      <c r="BD324">
        <v>4.0476527318579876E-12</v>
      </c>
      <c r="BF324">
        <v>49999.999999999971</v>
      </c>
      <c r="BG324">
        <v>2.3404074009799624E-13</v>
      </c>
      <c r="BI324">
        <v>49999.99999999992</v>
      </c>
      <c r="BJ324">
        <v>4.893255499011162E-12</v>
      </c>
      <c r="BL324">
        <v>49999.999999999927</v>
      </c>
      <c r="BM324">
        <v>4.4360143602500024E-12</v>
      </c>
      <c r="BO324">
        <v>49999.99999999992</v>
      </c>
      <c r="BP324">
        <v>4.8678203728286779E-12</v>
      </c>
      <c r="BR324">
        <v>49999.999999999927</v>
      </c>
      <c r="BS324">
        <v>4.8444361300954864E-12</v>
      </c>
      <c r="BU324">
        <v>49999.99999999992</v>
      </c>
      <c r="BV324">
        <v>4.8821994346147403E-12</v>
      </c>
      <c r="BX324">
        <v>49999.999999999971</v>
      </c>
      <c r="BY324">
        <v>1.6347902134775954E-16</v>
      </c>
    </row>
    <row r="325" spans="13:77" x14ac:dyDescent="0.35">
      <c r="M325">
        <v>22000.000000682925</v>
      </c>
      <c r="N325">
        <v>7636.363635960688</v>
      </c>
      <c r="P325">
        <v>22000.000000020922</v>
      </c>
      <c r="Q325">
        <v>7636.3636362145953</v>
      </c>
      <c r="S325">
        <v>22000.000001006356</v>
      </c>
      <c r="T325">
        <v>7636.363635592239</v>
      </c>
      <c r="V325">
        <v>21999.999999922806</v>
      </c>
      <c r="W325">
        <v>7636.3636362510115</v>
      </c>
      <c r="Y325">
        <v>21999.999999844444</v>
      </c>
      <c r="Z325">
        <v>7636.363636316888</v>
      </c>
      <c r="AB325">
        <v>21999.999999907737</v>
      </c>
      <c r="AC325">
        <v>7636.3636362633015</v>
      </c>
      <c r="AE325">
        <v>21999.999999900083</v>
      </c>
      <c r="AF325">
        <v>7636.3636362696016</v>
      </c>
      <c r="AH325">
        <v>21999.999999947173</v>
      </c>
      <c r="AI325">
        <v>7636.3636362313218</v>
      </c>
      <c r="AK325">
        <v>21999.999988118885</v>
      </c>
      <c r="AL325">
        <v>7636.3636410757063</v>
      </c>
      <c r="AZ325">
        <v>49999.999999999971</v>
      </c>
      <c r="BA325">
        <v>6.1488933221871325E-13</v>
      </c>
      <c r="BC325">
        <v>49999.999999999942</v>
      </c>
      <c r="BD325">
        <v>3.6232124690937479E-12</v>
      </c>
      <c r="BF325">
        <v>49999.999999999971</v>
      </c>
      <c r="BG325">
        <v>2.0949903165475924E-13</v>
      </c>
      <c r="BI325">
        <v>49999.999999999927</v>
      </c>
      <c r="BJ325">
        <v>4.3801446203465523E-12</v>
      </c>
      <c r="BL325">
        <v>49999.999999999935</v>
      </c>
      <c r="BM325">
        <v>3.9708501711704267E-12</v>
      </c>
      <c r="BO325">
        <v>49999.999999999927</v>
      </c>
      <c r="BP325">
        <v>4.3573766428439356E-12</v>
      </c>
      <c r="BR325">
        <v>49999.999999999935</v>
      </c>
      <c r="BS325">
        <v>4.3364444914307576E-12</v>
      </c>
      <c r="BU325">
        <v>49999.999999999927</v>
      </c>
      <c r="BV325">
        <v>4.3702479041423859E-12</v>
      </c>
      <c r="BX325">
        <v>49999.999999999971</v>
      </c>
      <c r="BY325">
        <v>1.463364739569825E-16</v>
      </c>
    </row>
    <row r="326" spans="13:77" x14ac:dyDescent="0.35">
      <c r="M326">
        <v>22000.000000670927</v>
      </c>
      <c r="N326">
        <v>7636.3636360204218</v>
      </c>
      <c r="P326">
        <v>22000.00000005254</v>
      </c>
      <c r="Q326">
        <v>7636.363636217874</v>
      </c>
      <c r="S326">
        <v>22000.000001030232</v>
      </c>
      <c r="T326">
        <v>7636.3636356821444</v>
      </c>
      <c r="V326">
        <v>21999.999999961172</v>
      </c>
      <c r="W326">
        <v>7636.3636362459356</v>
      </c>
      <c r="Y326">
        <v>21999.99999987959</v>
      </c>
      <c r="Z326">
        <v>7636.3636363047499</v>
      </c>
      <c r="AB326">
        <v>21999.999999945572</v>
      </c>
      <c r="AC326">
        <v>7636.3636362568714</v>
      </c>
      <c r="AE326">
        <v>21999.999999937634</v>
      </c>
      <c r="AF326">
        <v>7636.3636362624829</v>
      </c>
      <c r="AH326">
        <v>21999.999999986354</v>
      </c>
      <c r="AI326">
        <v>7636.3636362284333</v>
      </c>
      <c r="AK326">
        <v>21999.999988865355</v>
      </c>
      <c r="AL326">
        <v>7636.3636400608466</v>
      </c>
      <c r="AZ326">
        <v>49999.999999999971</v>
      </c>
      <c r="BA326">
        <v>5.5041152074943755E-13</v>
      </c>
      <c r="BC326">
        <v>49999.999999999949</v>
      </c>
      <c r="BD326">
        <v>3.2432793685268649E-12</v>
      </c>
      <c r="BF326">
        <v>49999.999999999971</v>
      </c>
      <c r="BG326">
        <v>1.8753078735738274E-13</v>
      </c>
      <c r="BI326">
        <v>49999.999999999935</v>
      </c>
      <c r="BJ326">
        <v>3.920838979086197E-12</v>
      </c>
      <c r="BL326">
        <v>49999.999999999942</v>
      </c>
      <c r="BM326">
        <v>3.5544634893822981E-12</v>
      </c>
      <c r="BO326">
        <v>49999.999999999935</v>
      </c>
      <c r="BP326">
        <v>3.9004584708142686E-12</v>
      </c>
      <c r="BR326">
        <v>49999.999999999942</v>
      </c>
      <c r="BS326">
        <v>3.8817212823671828E-12</v>
      </c>
      <c r="BU326">
        <v>49999.999999999935</v>
      </c>
      <c r="BV326">
        <v>3.9119800408497742E-12</v>
      </c>
      <c r="BX326">
        <v>49999.999999999971</v>
      </c>
      <c r="BY326">
        <v>1.3099150847379414E-16</v>
      </c>
    </row>
    <row r="327" spans="13:77" x14ac:dyDescent="0.35">
      <c r="M327">
        <v>22000.000000646818</v>
      </c>
      <c r="N327">
        <v>7636.3636360785486</v>
      </c>
      <c r="P327">
        <v>22000.000000078468</v>
      </c>
      <c r="Q327">
        <v>7636.3636362236857</v>
      </c>
      <c r="S327">
        <v>22000.000001029355</v>
      </c>
      <c r="T327">
        <v>7636.3636357730365</v>
      </c>
      <c r="V327">
        <v>21999.999999994754</v>
      </c>
      <c r="W327">
        <v>7636.3636362440293</v>
      </c>
      <c r="Y327">
        <v>21999.999999912106</v>
      </c>
      <c r="Z327">
        <v>7636.3636362955949</v>
      </c>
      <c r="AB327">
        <v>21999.999999979023</v>
      </c>
      <c r="AC327">
        <v>7636.3636362535826</v>
      </c>
      <c r="AE327">
        <v>21999.999999971009</v>
      </c>
      <c r="AF327">
        <v>7636.3636362584894</v>
      </c>
      <c r="AH327">
        <v>22000.000000020111</v>
      </c>
      <c r="AI327">
        <v>7636.363636228758</v>
      </c>
      <c r="AK327">
        <v>21999.999989733111</v>
      </c>
      <c r="AL327">
        <v>7636.3636391173659</v>
      </c>
      <c r="AZ327">
        <v>49999.999999999971</v>
      </c>
      <c r="BA327">
        <v>4.9269490670875647E-13</v>
      </c>
      <c r="BC327">
        <v>49999.999999999956</v>
      </c>
      <c r="BD327">
        <v>2.9031863717732894E-12</v>
      </c>
      <c r="BF327">
        <v>49999.999999999971</v>
      </c>
      <c r="BG327">
        <v>1.6786615159555554E-13</v>
      </c>
      <c r="BI327">
        <v>49999.999999999942</v>
      </c>
      <c r="BJ327">
        <v>3.5096965128757321E-12</v>
      </c>
      <c r="BL327">
        <v>49999.999999999949</v>
      </c>
      <c r="BM327">
        <v>3.1817394645307884E-12</v>
      </c>
      <c r="BO327">
        <v>49999.999999999942</v>
      </c>
      <c r="BP327">
        <v>3.491453121807096E-12</v>
      </c>
      <c r="BR327">
        <v>49999.999999999949</v>
      </c>
      <c r="BS327">
        <v>3.4746807306671876E-12</v>
      </c>
      <c r="BU327">
        <v>49999.999999999942</v>
      </c>
      <c r="BV327">
        <v>3.5017665303383211E-12</v>
      </c>
      <c r="BX327">
        <v>49999.999999999971</v>
      </c>
      <c r="BY327">
        <v>1.1725562895060684E-16</v>
      </c>
    </row>
    <row r="328" spans="13:77" x14ac:dyDescent="0.35">
      <c r="M328">
        <v>22000.000000612861</v>
      </c>
      <c r="N328">
        <v>7636.3636361341005</v>
      </c>
      <c r="P328">
        <v>22000.000000099</v>
      </c>
      <c r="Q328">
        <v>7636.363636231541</v>
      </c>
      <c r="S328">
        <v>22000.000001007349</v>
      </c>
      <c r="T328">
        <v>7636.3636358628946</v>
      </c>
      <c r="V328">
        <v>22000.000000023556</v>
      </c>
      <c r="W328">
        <v>7636.3636362448706</v>
      </c>
      <c r="Y328">
        <v>21999.999999941705</v>
      </c>
      <c r="Z328">
        <v>7636.3636362891775</v>
      </c>
      <c r="AB328">
        <v>22000.000000008036</v>
      </c>
      <c r="AC328">
        <v>7636.3636362530451</v>
      </c>
      <c r="AE328">
        <v>22000.000000000124</v>
      </c>
      <c r="AF328">
        <v>7636.3636362572488</v>
      </c>
      <c r="AH328">
        <v>22000.000000048538</v>
      </c>
      <c r="AI328">
        <v>7636.3636362318202</v>
      </c>
      <c r="AK328">
        <v>21999.999990686574</v>
      </c>
      <c r="AL328">
        <v>7636.3636382543582</v>
      </c>
      <c r="AZ328">
        <v>49999.999999999971</v>
      </c>
      <c r="BA328">
        <v>4.410305052594565E-13</v>
      </c>
      <c r="BC328">
        <v>49999.999999999964</v>
      </c>
      <c r="BD328">
        <v>2.5987558121083091E-12</v>
      </c>
      <c r="BF328">
        <v>49999.999999999971</v>
      </c>
      <c r="BG328">
        <v>1.5026356604476058E-13</v>
      </c>
      <c r="BI328">
        <v>49999.999999999949</v>
      </c>
      <c r="BJ328">
        <v>3.1416667907548039E-12</v>
      </c>
      <c r="BL328">
        <v>49999.999999999956</v>
      </c>
      <c r="BM328">
        <v>2.848099593762305E-12</v>
      </c>
      <c r="BO328">
        <v>49999.999999999949</v>
      </c>
      <c r="BP328">
        <v>3.1253364169857839E-12</v>
      </c>
      <c r="BR328">
        <v>49999.999999999956</v>
      </c>
      <c r="BS328">
        <v>3.1103227928583165E-12</v>
      </c>
      <c r="BU328">
        <v>49999.999999999949</v>
      </c>
      <c r="BV328">
        <v>3.1345683528421093E-12</v>
      </c>
      <c r="BX328">
        <v>49999.999999999971</v>
      </c>
      <c r="BY328">
        <v>1.0496010528310665E-16</v>
      </c>
    </row>
    <row r="329" spans="13:77" x14ac:dyDescent="0.35">
      <c r="M329">
        <v>22000.000000571192</v>
      </c>
      <c r="N329">
        <v>7636.3636361863064</v>
      </c>
      <c r="P329">
        <v>22000.000000114502</v>
      </c>
      <c r="Q329">
        <v>7636.3636362409807</v>
      </c>
      <c r="S329">
        <v>22000.000000967742</v>
      </c>
      <c r="T329">
        <v>7636.3636359500124</v>
      </c>
      <c r="V329">
        <v>22000.000000047679</v>
      </c>
      <c r="W329">
        <v>7636.363636248042</v>
      </c>
      <c r="Y329">
        <v>21999.9999999682</v>
      </c>
      <c r="Z329">
        <v>7636.3636362852321</v>
      </c>
      <c r="AB329">
        <v>22000.000000032662</v>
      </c>
      <c r="AC329">
        <v>7636.3636362548696</v>
      </c>
      <c r="AE329">
        <v>22000.000000024997</v>
      </c>
      <c r="AF329">
        <v>7636.3636362583866</v>
      </c>
      <c r="AH329">
        <v>22000.000000071825</v>
      </c>
      <c r="AI329">
        <v>7636.363636237159</v>
      </c>
      <c r="AK329">
        <v>21999.999991693581</v>
      </c>
      <c r="AL329">
        <v>7636.3636374779317</v>
      </c>
      <c r="AZ329">
        <v>49999.999999999971</v>
      </c>
      <c r="BA329">
        <v>3.9478367630942379E-13</v>
      </c>
      <c r="BC329">
        <v>49999.999999999971</v>
      </c>
      <c r="BD329">
        <v>2.3262480964463907E-12</v>
      </c>
      <c r="BF329">
        <v>49999.999999999971</v>
      </c>
      <c r="BG329">
        <v>1.3450680238913593E-13</v>
      </c>
      <c r="BI329">
        <v>49999.999999999956</v>
      </c>
      <c r="BJ329">
        <v>2.8122289741925213E-12</v>
      </c>
      <c r="BL329">
        <v>49999.999999999964</v>
      </c>
      <c r="BM329">
        <v>2.5494454798753412E-12</v>
      </c>
      <c r="BO329">
        <v>49999.999999999956</v>
      </c>
      <c r="BP329">
        <v>2.797611017123434E-12</v>
      </c>
      <c r="BR329">
        <v>49999.999999999964</v>
      </c>
      <c r="BS329">
        <v>2.784171734223303E-12</v>
      </c>
      <c r="BU329">
        <v>49999.999999999956</v>
      </c>
      <c r="BV329">
        <v>2.805874884437258E-12</v>
      </c>
      <c r="BX329">
        <v>49999.999999999971</v>
      </c>
      <c r="BY329">
        <v>9.3953900547337584E-17</v>
      </c>
    </row>
    <row r="330" spans="13:77" x14ac:dyDescent="0.35">
      <c r="M330">
        <v>22000.000000523793</v>
      </c>
      <c r="N330">
        <v>7636.3636362345751</v>
      </c>
      <c r="P330">
        <v>22000.000000125379</v>
      </c>
      <c r="Q330">
        <v>7636.3636362515799</v>
      </c>
      <c r="S330">
        <v>22000.000000913918</v>
      </c>
      <c r="T330">
        <v>7636.3636360329911</v>
      </c>
      <c r="V330">
        <v>22000.000000067306</v>
      </c>
      <c r="W330">
        <v>7636.3636362531388</v>
      </c>
      <c r="Y330">
        <v>21999.999999991494</v>
      </c>
      <c r="Z330">
        <v>7636.3636362834804</v>
      </c>
      <c r="AB330">
        <v>22000.000000053027</v>
      </c>
      <c r="AC330">
        <v>7636.3636362586749</v>
      </c>
      <c r="AE330">
        <v>22000.000000045733</v>
      </c>
      <c r="AF330">
        <v>7636.3636362615316</v>
      </c>
      <c r="AH330">
        <v>22000.00000009024</v>
      </c>
      <c r="AI330">
        <v>7636.3636362443322</v>
      </c>
      <c r="AK330">
        <v>21999.999992725538</v>
      </c>
      <c r="AL330">
        <v>7636.3636367915169</v>
      </c>
      <c r="AZ330">
        <v>49999.999999999971</v>
      </c>
      <c r="BA330">
        <v>3.5338632865927388E-13</v>
      </c>
      <c r="BC330">
        <v>49999.999999999971</v>
      </c>
      <c r="BD330">
        <v>2.0823157685716882E-12</v>
      </c>
      <c r="BF330">
        <v>49999.999999999971</v>
      </c>
      <c r="BG330">
        <v>1.2040230619550707E-13</v>
      </c>
      <c r="BI330">
        <v>49999.999999999964</v>
      </c>
      <c r="BJ330">
        <v>2.5173362835808014E-12</v>
      </c>
      <c r="BL330">
        <v>49999.999999999971</v>
      </c>
      <c r="BM330">
        <v>2.2821084870388329E-12</v>
      </c>
      <c r="BO330">
        <v>49999.999999999964</v>
      </c>
      <c r="BP330">
        <v>2.504251177759215E-12</v>
      </c>
      <c r="BR330">
        <v>49999.999999999971</v>
      </c>
      <c r="BS330">
        <v>2.4922211493439362E-12</v>
      </c>
      <c r="BU330">
        <v>49999.999999999964</v>
      </c>
      <c r="BV330">
        <v>2.5116484890104298E-12</v>
      </c>
      <c r="BX330">
        <v>49999.999999999971</v>
      </c>
      <c r="BY330">
        <v>8.4101815677958951E-17</v>
      </c>
    </row>
    <row r="331" spans="13:77" x14ac:dyDescent="0.35">
      <c r="M331">
        <v>22000.000000472475</v>
      </c>
      <c r="N331">
        <v>7636.3636362784828</v>
      </c>
      <c r="P331">
        <v>22000.000000132084</v>
      </c>
      <c r="Q331">
        <v>7636.3636362629504</v>
      </c>
      <c r="S331">
        <v>22000.000000849053</v>
      </c>
      <c r="T331">
        <v>7636.3636361107192</v>
      </c>
      <c r="V331">
        <v>22000.000000082684</v>
      </c>
      <c r="W331">
        <v>7636.3636362597763</v>
      </c>
      <c r="Y331">
        <v>22000.000000011572</v>
      </c>
      <c r="Z331">
        <v>7636.3636362836387</v>
      </c>
      <c r="AB331">
        <v>22000.000000069333</v>
      </c>
      <c r="AC331">
        <v>7636.3636362640937</v>
      </c>
      <c r="AE331">
        <v>22000.000000062508</v>
      </c>
      <c r="AF331">
        <v>7636.3636362663274</v>
      </c>
      <c r="AH331">
        <v>22000.000000104112</v>
      </c>
      <c r="AI331">
        <v>7636.3636362529251</v>
      </c>
      <c r="AK331">
        <v>21999.999993757505</v>
      </c>
      <c r="AL331">
        <v>7636.3636361961862</v>
      </c>
      <c r="AZ331">
        <v>49999.999999999971</v>
      </c>
      <c r="BA331">
        <v>3.1632994162960358E-13</v>
      </c>
      <c r="BC331">
        <v>49999.999999999971</v>
      </c>
      <c r="BD331">
        <v>1.8639623893367584E-12</v>
      </c>
      <c r="BF331">
        <v>49999.999999999971</v>
      </c>
      <c r="BG331">
        <v>1.0777681931101751E-13</v>
      </c>
      <c r="BI331">
        <v>49999.999999999971</v>
      </c>
      <c r="BJ331">
        <v>2.2533662880178332E-12</v>
      </c>
      <c r="BL331">
        <v>49999.999999999971</v>
      </c>
      <c r="BM331">
        <v>2.0428046756541444E-12</v>
      </c>
      <c r="BO331">
        <v>49999.999999999971</v>
      </c>
      <c r="BP331">
        <v>2.2416532973753726E-12</v>
      </c>
      <c r="BR331">
        <v>49999.999999999971</v>
      </c>
      <c r="BS331">
        <v>2.2308847478368401E-12</v>
      </c>
      <c r="BU331">
        <v>49999.999999999971</v>
      </c>
      <c r="BV331">
        <v>2.2482749203600266E-12</v>
      </c>
      <c r="BX331">
        <v>49999.999999999971</v>
      </c>
      <c r="BY331">
        <v>7.5282828697097837E-17</v>
      </c>
    </row>
    <row r="332" spans="13:77" x14ac:dyDescent="0.35">
      <c r="M332">
        <v>22000.00000041887</v>
      </c>
      <c r="N332">
        <v>7636.3636363177575</v>
      </c>
      <c r="P332">
        <v>22000.000000135085</v>
      </c>
      <c r="Q332">
        <v>7636.3636362747447</v>
      </c>
      <c r="S332">
        <v>22000.000000776097</v>
      </c>
      <c r="T332">
        <v>7636.3636361823555</v>
      </c>
      <c r="V332">
        <v>22000.000000094118</v>
      </c>
      <c r="W332">
        <v>7636.3636362675916</v>
      </c>
      <c r="Y332">
        <v>22000.000000028489</v>
      </c>
      <c r="Z332">
        <v>7636.3636362854259</v>
      </c>
      <c r="AB332">
        <v>22000.000000081833</v>
      </c>
      <c r="AC332">
        <v>7636.3636362707794</v>
      </c>
      <c r="AE332">
        <v>22000.000000075546</v>
      </c>
      <c r="AF332">
        <v>7636.3636362724346</v>
      </c>
      <c r="AH332">
        <v>22000.000000113814</v>
      </c>
      <c r="AI332">
        <v>7636.3636362625539</v>
      </c>
      <c r="AK332">
        <v>21999.999994768164</v>
      </c>
      <c r="AL332">
        <v>7636.3636356909756</v>
      </c>
      <c r="AZ332">
        <v>49999.999999999971</v>
      </c>
      <c r="BA332">
        <v>2.8315931844626673E-13</v>
      </c>
      <c r="BC332">
        <v>49999.999999999971</v>
      </c>
      <c r="BD332">
        <v>1.6685057287181493E-12</v>
      </c>
      <c r="BF332">
        <v>49999.999999999971</v>
      </c>
      <c r="BG332">
        <v>9.6475251578139395E-14</v>
      </c>
      <c r="BI332">
        <v>49999.999999999971</v>
      </c>
      <c r="BJ332">
        <v>2.0170764077465719E-12</v>
      </c>
      <c r="BL332">
        <v>49999.999999999971</v>
      </c>
      <c r="BM332">
        <v>1.8285944627852498E-12</v>
      </c>
      <c r="BO332">
        <v>49999.999999999971</v>
      </c>
      <c r="BP332">
        <v>2.0065916511339014E-12</v>
      </c>
      <c r="BR332">
        <v>49999.999999999971</v>
      </c>
      <c r="BS332">
        <v>1.9969523007383072E-12</v>
      </c>
      <c r="BU332">
        <v>49999.999999999971</v>
      </c>
      <c r="BV332">
        <v>2.0125189251746819E-12</v>
      </c>
      <c r="BX332">
        <v>49999.999999999971</v>
      </c>
      <c r="BY332">
        <v>6.7388608093058012E-17</v>
      </c>
    </row>
    <row r="333" spans="13:77" x14ac:dyDescent="0.35">
      <c r="M333">
        <v>22000.000000364416</v>
      </c>
      <c r="N333">
        <v>7636.3636363522619</v>
      </c>
      <c r="P333">
        <v>22000.00000013486</v>
      </c>
      <c r="Q333">
        <v>7636.3636362866573</v>
      </c>
      <c r="S333">
        <v>22000.000000697735</v>
      </c>
      <c r="T333">
        <v>7636.3636362473071</v>
      </c>
      <c r="V333">
        <v>22000.000000101943</v>
      </c>
      <c r="W333">
        <v>7636.3636362762527</v>
      </c>
      <c r="Y333">
        <v>22000.000000042353</v>
      </c>
      <c r="Z333">
        <v>7636.3636362885682</v>
      </c>
      <c r="AB333">
        <v>22000.000000090822</v>
      </c>
      <c r="AC333">
        <v>7636.3636362784091</v>
      </c>
      <c r="AE333">
        <v>22000.000000085129</v>
      </c>
      <c r="AF333">
        <v>7636.3636362795369</v>
      </c>
      <c r="AH333">
        <v>22000.000000119751</v>
      </c>
      <c r="AI333">
        <v>7636.3636362728685</v>
      </c>
      <c r="AK333">
        <v>21999.999995739749</v>
      </c>
      <c r="AL333">
        <v>7636.3636352731992</v>
      </c>
      <c r="AZ333">
        <v>49999.999999999971</v>
      </c>
      <c r="BA333">
        <v>2.5346699465091279E-13</v>
      </c>
      <c r="BC333">
        <v>49999.999999999971</v>
      </c>
      <c r="BD333">
        <v>1.4935448175839339E-12</v>
      </c>
      <c r="BF333">
        <v>49999.999999999971</v>
      </c>
      <c r="BG333">
        <v>8.6358775723434521E-14</v>
      </c>
      <c r="BI333">
        <v>49999.999999999971</v>
      </c>
      <c r="BJ333">
        <v>1.8055640826448789E-12</v>
      </c>
      <c r="BL333">
        <v>49999.999999999971</v>
      </c>
      <c r="BM333">
        <v>1.6368465126300647E-12</v>
      </c>
      <c r="BO333">
        <v>49999.999999999971</v>
      </c>
      <c r="BP333">
        <v>1.7961787664107456E-12</v>
      </c>
      <c r="BR333">
        <v>49999.999999999971</v>
      </c>
      <c r="BS333">
        <v>1.7875502063881942E-12</v>
      </c>
      <c r="BU333">
        <v>49999.999999999971</v>
      </c>
      <c r="BV333">
        <v>1.8014845015206925E-12</v>
      </c>
      <c r="BX333">
        <v>49999.999999999971</v>
      </c>
      <c r="BY333">
        <v>6.0322182087385208E-17</v>
      </c>
    </row>
    <row r="334" spans="13:77" x14ac:dyDescent="0.35">
      <c r="M334">
        <v>22000.000000310367</v>
      </c>
      <c r="N334">
        <v>7636.3636363819787</v>
      </c>
      <c r="P334">
        <v>22000.000000131884</v>
      </c>
      <c r="Q334">
        <v>7636.3636362984253</v>
      </c>
      <c r="S334">
        <v>22000.000000616368</v>
      </c>
      <c r="T334">
        <v>7636.3636363052065</v>
      </c>
      <c r="V334">
        <v>22000.000000106524</v>
      </c>
      <c r="W334">
        <v>7636.3636362854577</v>
      </c>
      <c r="Y334">
        <v>22000.000000053325</v>
      </c>
      <c r="Z334">
        <v>7636.3636362928037</v>
      </c>
      <c r="AB334">
        <v>22000.000000096628</v>
      </c>
      <c r="AC334">
        <v>7636.3636362866882</v>
      </c>
      <c r="AE334">
        <v>22000.000000091557</v>
      </c>
      <c r="AF334">
        <v>7636.3636362873422</v>
      </c>
      <c r="AH334">
        <v>22000.000000122353</v>
      </c>
      <c r="AI334">
        <v>7636.3636362835559</v>
      </c>
      <c r="AK334">
        <v>21999.999996657883</v>
      </c>
      <c r="AL334">
        <v>7636.363634938758</v>
      </c>
      <c r="AZ334">
        <v>49999.999999999971</v>
      </c>
      <c r="BA334">
        <v>2.2688823285028954E-13</v>
      </c>
      <c r="BC334">
        <v>49999.999999999971</v>
      </c>
      <c r="BD334">
        <v>1.336930454440556E-12</v>
      </c>
      <c r="BF334">
        <v>49999.999999999971</v>
      </c>
      <c r="BG334">
        <v>7.7303122017878796E-14</v>
      </c>
      <c r="BI334">
        <v>49999.999999999971</v>
      </c>
      <c r="BJ334">
        <v>1.6162311174812181E-12</v>
      </c>
      <c r="BL334">
        <v>49999.999999999971</v>
      </c>
      <c r="BM334">
        <v>1.4652054134672602E-12</v>
      </c>
      <c r="BO334">
        <v>49999.999999999971</v>
      </c>
      <c r="BP334">
        <v>1.6078299533847393E-12</v>
      </c>
      <c r="BR334">
        <v>49999.999999999971</v>
      </c>
      <c r="BS334">
        <v>1.6001061914083304E-12</v>
      </c>
      <c r="BU334">
        <v>49999.999999999971</v>
      </c>
      <c r="BV334">
        <v>1.6125793246578138E-12</v>
      </c>
      <c r="BX334">
        <v>49999.999999999971</v>
      </c>
      <c r="BY334">
        <v>5.3996747443704824E-17</v>
      </c>
    </row>
    <row r="335" spans="13:77" x14ac:dyDescent="0.35">
      <c r="M335">
        <v>22000.000000257776</v>
      </c>
      <c r="N335">
        <v>7636.3636364069907</v>
      </c>
      <c r="P335">
        <v>22000.000000126616</v>
      </c>
      <c r="Q335">
        <v>7636.3636363098276</v>
      </c>
      <c r="S335">
        <v>22000.000000534117</v>
      </c>
      <c r="T335">
        <v>7636.3636363558844</v>
      </c>
      <c r="V335">
        <v>22000.000000108237</v>
      </c>
      <c r="W335">
        <v>7636.3636362949374</v>
      </c>
      <c r="Y335">
        <v>22000.000000061598</v>
      </c>
      <c r="Z335">
        <v>7636.363636297885</v>
      </c>
      <c r="AB335">
        <v>22000.000000099593</v>
      </c>
      <c r="AC335">
        <v>7636.3636362953512</v>
      </c>
      <c r="AE335">
        <v>22000.000000095159</v>
      </c>
      <c r="AF335">
        <v>7636.3636362955867</v>
      </c>
      <c r="AH335">
        <v>22000.000000122047</v>
      </c>
      <c r="AI335">
        <v>7636.3636362943416</v>
      </c>
      <c r="AK335">
        <v>21999.999997511386</v>
      </c>
      <c r="AL335">
        <v>7636.3636346824269</v>
      </c>
      <c r="AZ335">
        <v>49999.999999999971</v>
      </c>
      <c r="BA335">
        <v>2.030965423203349E-13</v>
      </c>
      <c r="BC335">
        <v>49999.999999999971</v>
      </c>
      <c r="BD335">
        <v>1.1967388048669552E-12</v>
      </c>
      <c r="BF335">
        <v>49999.999999999971</v>
      </c>
      <c r="BG335">
        <v>6.9197051760536449E-14</v>
      </c>
      <c r="BI335">
        <v>49999.999999999971</v>
      </c>
      <c r="BJ335">
        <v>1.4467517659567662E-12</v>
      </c>
      <c r="BL335">
        <v>49999.999999999971</v>
      </c>
      <c r="BM335">
        <v>1.3115627440255655E-12</v>
      </c>
      <c r="BO335">
        <v>49999.999999999971</v>
      </c>
      <c r="BP335">
        <v>1.4392315549787625E-12</v>
      </c>
      <c r="BR335">
        <v>49999.999999999971</v>
      </c>
      <c r="BS335">
        <v>1.4323177131659569E-12</v>
      </c>
      <c r="BU335">
        <v>49999.999999999971</v>
      </c>
      <c r="BV335">
        <v>1.44348290319387E-12</v>
      </c>
      <c r="BX335">
        <v>49999.999999999971</v>
      </c>
      <c r="BY335">
        <v>4.8334603185864765E-17</v>
      </c>
    </row>
    <row r="336" spans="13:77" x14ac:dyDescent="0.35">
      <c r="M336">
        <v>22000.000000207518</v>
      </c>
      <c r="N336">
        <v>7636.3636364274662</v>
      </c>
      <c r="P336">
        <v>22000.0000001195</v>
      </c>
      <c r="Q336">
        <v>7636.3636363206806</v>
      </c>
      <c r="S336">
        <v>22000.000000452808</v>
      </c>
      <c r="T336">
        <v>7636.3636363993446</v>
      </c>
      <c r="V336">
        <v>22000.000000107466</v>
      </c>
      <c r="W336">
        <v>7636.3636363044561</v>
      </c>
      <c r="Y336">
        <v>22000.000000067397</v>
      </c>
      <c r="Z336">
        <v>7636.3636363035848</v>
      </c>
      <c r="AB336">
        <v>22000.00000010007</v>
      </c>
      <c r="AC336">
        <v>7636.3636363041633</v>
      </c>
      <c r="AE336">
        <v>22000.000000096272</v>
      </c>
      <c r="AF336">
        <v>7636.3636363040359</v>
      </c>
      <c r="AH336">
        <v>22000.000000119267</v>
      </c>
      <c r="AI336">
        <v>7636.3636363049882</v>
      </c>
      <c r="AK336">
        <v>21999.999998292038</v>
      </c>
      <c r="AL336">
        <v>7636.3636344981296</v>
      </c>
      <c r="AZ336">
        <v>49999.999999999971</v>
      </c>
      <c r="BA336">
        <v>1.8179966842834415E-13</v>
      </c>
      <c r="BC336">
        <v>49999.999999999971</v>
      </c>
      <c r="BD336">
        <v>1.0712477693341883E-12</v>
      </c>
      <c r="BF336">
        <v>49999.999999999971</v>
      </c>
      <c r="BG336">
        <v>6.1940990834017421E-14</v>
      </c>
      <c r="BI336">
        <v>49999.999999999971</v>
      </c>
      <c r="BJ336">
        <v>1.2950441614816545E-12</v>
      </c>
      <c r="BL336">
        <v>49999.999999999971</v>
      </c>
      <c r="BM336">
        <v>1.1740311738578684E-12</v>
      </c>
      <c r="BO336">
        <v>49999.999999999971</v>
      </c>
      <c r="BP336">
        <v>1.2883125261387155E-12</v>
      </c>
      <c r="BR336">
        <v>49999.999999999971</v>
      </c>
      <c r="BS336">
        <v>1.2821236755813703E-12</v>
      </c>
      <c r="BU336">
        <v>49999.999999999971</v>
      </c>
      <c r="BV336">
        <v>1.2921180744117183E-12</v>
      </c>
      <c r="BX336">
        <v>49999.999999999971</v>
      </c>
      <c r="BY336">
        <v>4.326619612728871E-17</v>
      </c>
    </row>
    <row r="337" spans="13:77" x14ac:dyDescent="0.35">
      <c r="M337">
        <v>22000.000000160289</v>
      </c>
      <c r="N337">
        <v>7636.3636364436434</v>
      </c>
      <c r="P337">
        <v>22000.000000110955</v>
      </c>
      <c r="Q337">
        <v>7636.3636363308406</v>
      </c>
      <c r="S337">
        <v>22000.000000373984</v>
      </c>
      <c r="T337">
        <v>7636.3636364357408</v>
      </c>
      <c r="V337">
        <v>22000.000000104588</v>
      </c>
      <c r="W337">
        <v>7636.3636363138112</v>
      </c>
      <c r="Y337">
        <v>22000.000000070959</v>
      </c>
      <c r="Z337">
        <v>7636.3636363096948</v>
      </c>
      <c r="AB337">
        <v>22000.000000098411</v>
      </c>
      <c r="AC337">
        <v>7636.3636363129208</v>
      </c>
      <c r="AE337">
        <v>22000.000000095235</v>
      </c>
      <c r="AF337">
        <v>7636.3636363124861</v>
      </c>
      <c r="AH337">
        <v>22000.000000114429</v>
      </c>
      <c r="AI337">
        <v>7636.3636363152955</v>
      </c>
      <c r="AK337">
        <v>21999.999998994324</v>
      </c>
      <c r="AL337">
        <v>7636.3636343791859</v>
      </c>
      <c r="AZ337">
        <v>49999.999999999971</v>
      </c>
      <c r="BA337">
        <v>1.6273600260769509E-13</v>
      </c>
      <c r="BC337">
        <v>49999.999999999971</v>
      </c>
      <c r="BD337">
        <v>9.5891582911532061E-13</v>
      </c>
      <c r="BF337">
        <v>49999.999999999971</v>
      </c>
      <c r="BG337">
        <v>5.5445806546456341E-14</v>
      </c>
      <c r="BI337">
        <v>49999.999999999971</v>
      </c>
      <c r="BJ337">
        <v>1.1592447437439936E-12</v>
      </c>
      <c r="BL337">
        <v>49999.999999999971</v>
      </c>
      <c r="BM337">
        <v>1.0509212795718275E-12</v>
      </c>
      <c r="BO337">
        <v>49999.999999999971</v>
      </c>
      <c r="BP337">
        <v>1.1532189933331541E-12</v>
      </c>
      <c r="BR337">
        <v>49999.999999999971</v>
      </c>
      <c r="BS337">
        <v>1.1476791108397176E-12</v>
      </c>
      <c r="BU337">
        <v>49999.999999999971</v>
      </c>
      <c r="BV337">
        <v>1.1566254886201529E-12</v>
      </c>
      <c r="BX337">
        <v>49999.999999999971</v>
      </c>
      <c r="BY337">
        <v>3.8729266486922558E-17</v>
      </c>
    </row>
    <row r="338" spans="13:77" x14ac:dyDescent="0.35">
      <c r="M338">
        <v>22000.000000116626</v>
      </c>
      <c r="N338">
        <v>7636.3636364558133</v>
      </c>
      <c r="P338">
        <v>22000.000000101361</v>
      </c>
      <c r="Q338">
        <v>7636.3636363401993</v>
      </c>
      <c r="S338">
        <v>22000.000000298911</v>
      </c>
      <c r="T338">
        <v>7636.3636364653494</v>
      </c>
      <c r="V338">
        <v>22000.000000099968</v>
      </c>
      <c r="W338">
        <v>7636.3636363228334</v>
      </c>
      <c r="Y338">
        <v>22000.000000072538</v>
      </c>
      <c r="Z338">
        <v>7636.3636363160294</v>
      </c>
      <c r="AB338">
        <v>22000.000000094962</v>
      </c>
      <c r="AC338">
        <v>7636.3636363214509</v>
      </c>
      <c r="AE338">
        <v>22000.000000092383</v>
      </c>
      <c r="AF338">
        <v>7636.3636363207625</v>
      </c>
      <c r="AH338">
        <v>22000.000000107932</v>
      </c>
      <c r="AI338">
        <v>7636.3636363251007</v>
      </c>
      <c r="AK338">
        <v>21999.999999615145</v>
      </c>
      <c r="AL338">
        <v>7636.363634318539</v>
      </c>
      <c r="AZ338">
        <v>49999.999999999971</v>
      </c>
      <c r="BA338">
        <v>1.4567136878563643E-13</v>
      </c>
      <c r="BC338">
        <v>49999.999999999971</v>
      </c>
      <c r="BD338">
        <v>8.5836311043096125E-13</v>
      </c>
      <c r="BF338">
        <v>49999.999999999971</v>
      </c>
      <c r="BG338">
        <v>4.9631712734868267E-14</v>
      </c>
      <c r="BI338">
        <v>49999.999999999971</v>
      </c>
      <c r="BJ338">
        <v>1.0376853669303341E-12</v>
      </c>
      <c r="BL338">
        <v>49999.999999999971</v>
      </c>
      <c r="BM338">
        <v>9.407207921299996E-13</v>
      </c>
      <c r="BO338">
        <v>49999.999999999971</v>
      </c>
      <c r="BP338">
        <v>1.0322914817651462E-12</v>
      </c>
      <c r="BR338">
        <v>49999.999999999971</v>
      </c>
      <c r="BS338">
        <v>1.0273325159997409E-12</v>
      </c>
      <c r="BU338">
        <v>49999.999999999971</v>
      </c>
      <c r="BV338">
        <v>1.0353407690971892E-12</v>
      </c>
      <c r="BX338">
        <v>49999.999999999971</v>
      </c>
      <c r="BY338">
        <v>3.4668083096609819E-17</v>
      </c>
    </row>
    <row r="339" spans="13:77" x14ac:dyDescent="0.35">
      <c r="M339">
        <v>22000.000000076911</v>
      </c>
      <c r="N339">
        <v>7636.363636464308</v>
      </c>
      <c r="P339">
        <v>22000.00000009107</v>
      </c>
      <c r="Q339">
        <v>7636.3636363486794</v>
      </c>
      <c r="S339">
        <v>22000.000000228596</v>
      </c>
      <c r="T339">
        <v>7636.3636364885479</v>
      </c>
      <c r="V339">
        <v>22000.000000093958</v>
      </c>
      <c r="W339">
        <v>7636.3636363313844</v>
      </c>
      <c r="Y339">
        <v>22000.000000072389</v>
      </c>
      <c r="Z339">
        <v>7636.363636322425</v>
      </c>
      <c r="AB339">
        <v>22000.000000090055</v>
      </c>
      <c r="AC339">
        <v>7636.36363632961</v>
      </c>
      <c r="AE339">
        <v>22000.000000088039</v>
      </c>
      <c r="AF339">
        <v>7636.3636363287196</v>
      </c>
      <c r="AH339">
        <v>22000.00000010015</v>
      </c>
      <c r="AI339">
        <v>7636.3636363342748</v>
      </c>
      <c r="AK339">
        <v>22000.000000153545</v>
      </c>
      <c r="AL339">
        <v>7636.3636343089547</v>
      </c>
      <c r="AZ339">
        <v>49999.999999999971</v>
      </c>
      <c r="BA339">
        <v>1.3039614678895572E-13</v>
      </c>
      <c r="BC339">
        <v>49999.999999999971</v>
      </c>
      <c r="BD339">
        <v>7.6835443422439061E-13</v>
      </c>
      <c r="BF339">
        <v>49999.999999999971</v>
      </c>
      <c r="BG339">
        <v>4.4427289680285475E-14</v>
      </c>
      <c r="BI339">
        <v>49999.999999999971</v>
      </c>
      <c r="BJ339">
        <v>9.2887280839734336E-13</v>
      </c>
      <c r="BL339">
        <v>49999.999999999971</v>
      </c>
      <c r="BM339">
        <v>8.4207602029549509E-13</v>
      </c>
      <c r="BO339">
        <v>49999.999999999971</v>
      </c>
      <c r="BP339">
        <v>9.240445305578071E-13</v>
      </c>
      <c r="BR339">
        <v>49999.999999999971</v>
      </c>
      <c r="BS339">
        <v>9.1960556610475276E-13</v>
      </c>
      <c r="BU339">
        <v>49999.999999999971</v>
      </c>
      <c r="BV339">
        <v>9.267740670608649E-13</v>
      </c>
      <c r="BX339">
        <v>49999.999999999971</v>
      </c>
      <c r="BY339">
        <v>3.103275880526352E-17</v>
      </c>
    </row>
    <row r="340" spans="13:77" x14ac:dyDescent="0.35">
      <c r="M340">
        <v>22000.000000041386</v>
      </c>
      <c r="N340">
        <v>7636.3636364694876</v>
      </c>
      <c r="P340">
        <v>22000.000000080396</v>
      </c>
      <c r="Q340">
        <v>7636.3636363562337</v>
      </c>
      <c r="S340">
        <v>22000.000000163796</v>
      </c>
      <c r="T340">
        <v>7636.3636365057891</v>
      </c>
      <c r="V340">
        <v>22000.000000086882</v>
      </c>
      <c r="W340">
        <v>7636.3636363393571</v>
      </c>
      <c r="Y340">
        <v>22000.000000070766</v>
      </c>
      <c r="Z340">
        <v>7636.3636363287405</v>
      </c>
      <c r="AB340">
        <v>22000.000000084001</v>
      </c>
      <c r="AC340">
        <v>7636.3636363372843</v>
      </c>
      <c r="AE340">
        <v>22000.000000082509</v>
      </c>
      <c r="AF340">
        <v>7636.3636363362393</v>
      </c>
      <c r="AH340">
        <v>22000.000000091433</v>
      </c>
      <c r="AI340">
        <v>7636.3636363427195</v>
      </c>
      <c r="AK340">
        <v>22000.000000610398</v>
      </c>
      <c r="AL340">
        <v>7636.3636343431981</v>
      </c>
      <c r="AZ340">
        <v>49999.999999999971</v>
      </c>
      <c r="BA340">
        <v>1.1672269739174335E-13</v>
      </c>
      <c r="BC340">
        <v>49999.999999999971</v>
      </c>
      <c r="BD340">
        <v>6.8778414335149503E-13</v>
      </c>
      <c r="BF340">
        <v>49999.999999999971</v>
      </c>
      <c r="BG340">
        <v>3.9768606795415666E-14</v>
      </c>
      <c r="BI340">
        <v>49999.999999999971</v>
      </c>
      <c r="BJ340">
        <v>8.3147042608137016E-13</v>
      </c>
      <c r="BL340">
        <v>49999.999999999971</v>
      </c>
      <c r="BM340">
        <v>7.5377522203071343E-13</v>
      </c>
      <c r="BO340">
        <v>49999.999999999971</v>
      </c>
      <c r="BP340">
        <v>8.2714844550858848E-13</v>
      </c>
      <c r="BR340">
        <v>49999.999999999971</v>
      </c>
      <c r="BS340">
        <v>8.2317495459382129E-13</v>
      </c>
      <c r="BU340">
        <v>49999.999999999971</v>
      </c>
      <c r="BV340">
        <v>8.2959176052296373E-13</v>
      </c>
      <c r="BX340">
        <v>49999.999999999971</v>
      </c>
      <c r="BY340">
        <v>2.7778637670331275E-17</v>
      </c>
    </row>
    <row r="341" spans="13:77" x14ac:dyDescent="0.35">
      <c r="M341">
        <v>22000.000000010179</v>
      </c>
      <c r="N341">
        <v>7636.3636364717267</v>
      </c>
      <c r="P341">
        <v>22000.000000069616</v>
      </c>
      <c r="Q341">
        <v>7636.3636363628411</v>
      </c>
      <c r="S341">
        <v>22000.000000105047</v>
      </c>
      <c r="T341">
        <v>7636.3636365175853</v>
      </c>
      <c r="V341">
        <v>22000.000000079042</v>
      </c>
      <c r="W341">
        <v>7636.3636363466703</v>
      </c>
      <c r="Y341">
        <v>22000.000000067917</v>
      </c>
      <c r="Z341">
        <v>7636.3636363348578</v>
      </c>
      <c r="AB341">
        <v>22000.000000077092</v>
      </c>
      <c r="AC341">
        <v>7636.3636363443857</v>
      </c>
      <c r="AE341">
        <v>22000.000000076077</v>
      </c>
      <c r="AF341">
        <v>7636.3636363432306</v>
      </c>
      <c r="AH341">
        <v>22000.000000082098</v>
      </c>
      <c r="AI341">
        <v>7636.3636363503665</v>
      </c>
      <c r="AK341">
        <v>22000.000000988141</v>
      </c>
      <c r="AL341">
        <v>7636.3636344141823</v>
      </c>
      <c r="AZ341">
        <v>49999.999999999971</v>
      </c>
      <c r="BA341">
        <v>1.0448305737480908E-13</v>
      </c>
      <c r="BC341">
        <v>49999.999999999971</v>
      </c>
      <c r="BD341">
        <v>6.1566252080429978E-13</v>
      </c>
      <c r="BF341">
        <v>49999.999999999971</v>
      </c>
      <c r="BG341">
        <v>3.5598437308008625E-14</v>
      </c>
      <c r="BI341">
        <v>49999.999999999971</v>
      </c>
      <c r="BJ341">
        <v>7.4428173932743628E-13</v>
      </c>
      <c r="BL341">
        <v>49999.999999999971</v>
      </c>
      <c r="BM341">
        <v>6.7473371958516385E-13</v>
      </c>
      <c r="BO341">
        <v>49999.999999999971</v>
      </c>
      <c r="BP341">
        <v>7.4041296526506876E-13</v>
      </c>
      <c r="BR341">
        <v>49999.999999999971</v>
      </c>
      <c r="BS341">
        <v>7.368561379426797E-13</v>
      </c>
      <c r="BU341">
        <v>49999.999999999971</v>
      </c>
      <c r="BV341">
        <v>7.4260007221629796E-13</v>
      </c>
      <c r="BX341">
        <v>49999.999999999971</v>
      </c>
      <c r="BY341">
        <v>2.4865746408877658E-17</v>
      </c>
    </row>
    <row r="342" spans="13:77" x14ac:dyDescent="0.35">
      <c r="M342">
        <v>21999.999999983305</v>
      </c>
      <c r="N342">
        <v>7636.3636364714075</v>
      </c>
      <c r="P342">
        <v>22000.000000058968</v>
      </c>
      <c r="Q342">
        <v>7636.3636363685036</v>
      </c>
      <c r="S342">
        <v>22000.000000052678</v>
      </c>
      <c r="T342">
        <v>7636.3636365244856</v>
      </c>
      <c r="V342">
        <v>22000.000000070711</v>
      </c>
      <c r="W342">
        <v>7636.3636363532696</v>
      </c>
      <c r="Y342">
        <v>22000.000000064083</v>
      </c>
      <c r="Z342">
        <v>7636.3636363406786</v>
      </c>
      <c r="AB342">
        <v>22000.000000069598</v>
      </c>
      <c r="AC342">
        <v>7636.3636363508504</v>
      </c>
      <c r="AE342">
        <v>22000.000000069012</v>
      </c>
      <c r="AF342">
        <v>7636.3636363496253</v>
      </c>
      <c r="AH342">
        <v>22000.000000072425</v>
      </c>
      <c r="AI342">
        <v>7636.363636357175</v>
      </c>
      <c r="AK342">
        <v>22000.000001290489</v>
      </c>
      <c r="AL342">
        <v>7636.3636345150926</v>
      </c>
      <c r="AZ342">
        <v>49999.999999999971</v>
      </c>
      <c r="BA342">
        <v>9.3526876283102982E-14</v>
      </c>
      <c r="BC342">
        <v>49999.999999999971</v>
      </c>
      <c r="BD342">
        <v>5.5110363213098191E-13</v>
      </c>
      <c r="BF342">
        <v>49999.999999999971</v>
      </c>
      <c r="BG342">
        <v>3.1865555293184238E-14</v>
      </c>
      <c r="BI342">
        <v>49999.999999999971</v>
      </c>
      <c r="BJ342">
        <v>6.6623573144628258E-13</v>
      </c>
      <c r="BL342">
        <v>49999.999999999971</v>
      </c>
      <c r="BM342">
        <v>6.039805754276706E-13</v>
      </c>
      <c r="BO342">
        <v>49999.999999999971</v>
      </c>
      <c r="BP342">
        <v>6.6277264027925892E-13</v>
      </c>
      <c r="BR342">
        <v>49999.999999999971</v>
      </c>
      <c r="BS342">
        <v>6.5958878485523451E-13</v>
      </c>
      <c r="BU342">
        <v>49999.999999999971</v>
      </c>
      <c r="BV342">
        <v>6.6473040535988567E-13</v>
      </c>
      <c r="BX342">
        <v>49999.999999999971</v>
      </c>
      <c r="BY342">
        <v>2.2258303369966469E-17</v>
      </c>
    </row>
    <row r="343" spans="13:77" x14ac:dyDescent="0.35">
      <c r="M343">
        <v>21999.999999960688</v>
      </c>
      <c r="N343">
        <v>7636.3636364689091</v>
      </c>
      <c r="P343">
        <v>22000.000000048651</v>
      </c>
      <c r="Q343">
        <v>7636.3636363732412</v>
      </c>
      <c r="S343">
        <v>22000.000000006847</v>
      </c>
      <c r="T343">
        <v>7636.3636365270595</v>
      </c>
      <c r="V343">
        <v>22000.000000062133</v>
      </c>
      <c r="W343">
        <v>7636.3636363591222</v>
      </c>
      <c r="Y343">
        <v>22000.000000059481</v>
      </c>
      <c r="Z343">
        <v>7636.3636363461264</v>
      </c>
      <c r="AB343">
        <v>22000.000000061758</v>
      </c>
      <c r="AC343">
        <v>7636.3636363566384</v>
      </c>
      <c r="AE343">
        <v>22000.000000061551</v>
      </c>
      <c r="AF343">
        <v>7636.3636363553787</v>
      </c>
      <c r="AH343">
        <v>22000.000000062664</v>
      </c>
      <c r="AI343">
        <v>7636.3636363631258</v>
      </c>
      <c r="AK343">
        <v>22000.000001522174</v>
      </c>
      <c r="AL343">
        <v>7636.3636346394887</v>
      </c>
      <c r="AZ343">
        <v>49999.999999999971</v>
      </c>
      <c r="BA343">
        <v>8.3719569536484716E-14</v>
      </c>
      <c r="BC343">
        <v>49999.999999999971</v>
      </c>
      <c r="BD343">
        <v>4.9331444270992477E-13</v>
      </c>
      <c r="BF343">
        <v>49999.999999999971</v>
      </c>
      <c r="BG343">
        <v>2.852410641954059E-14</v>
      </c>
      <c r="BI343">
        <v>49999.999999999971</v>
      </c>
      <c r="BJ343">
        <v>5.9637369345761783E-13</v>
      </c>
      <c r="BL343">
        <v>49999.999999999971</v>
      </c>
      <c r="BM343">
        <v>5.406466653515107E-13</v>
      </c>
      <c r="BO343">
        <v>49999.999999999971</v>
      </c>
      <c r="BP343">
        <v>5.9327374493703204E-13</v>
      </c>
      <c r="BR343">
        <v>49999.999999999971</v>
      </c>
      <c r="BS343">
        <v>5.9042375126506457E-13</v>
      </c>
      <c r="BU343">
        <v>49999.999999999971</v>
      </c>
      <c r="BV343">
        <v>5.9502621712810044E-13</v>
      </c>
      <c r="BX343">
        <v>49999.999999999971</v>
      </c>
      <c r="BY343">
        <v>1.9924278996611165E-17</v>
      </c>
    </row>
    <row r="344" spans="13:77" x14ac:dyDescent="0.35">
      <c r="M344">
        <v>21999.999999942174</v>
      </c>
      <c r="N344">
        <v>7636.3636364646009</v>
      </c>
      <c r="P344">
        <v>22000.000000038832</v>
      </c>
      <c r="Q344">
        <v>7636.3636363770902</v>
      </c>
      <c r="S344">
        <v>21999.999999967546</v>
      </c>
      <c r="T344">
        <v>7636.3636365258835</v>
      </c>
      <c r="V344">
        <v>22000.000000053518</v>
      </c>
      <c r="W344">
        <v>7636.3636363642163</v>
      </c>
      <c r="Y344">
        <v>22000.000000054322</v>
      </c>
      <c r="Z344">
        <v>7636.3636363511423</v>
      </c>
      <c r="AB344">
        <v>22000.000000053784</v>
      </c>
      <c r="AC344">
        <v>7636.3636363617279</v>
      </c>
      <c r="AE344">
        <v>22000.000000053904</v>
      </c>
      <c r="AF344">
        <v>7636.3636363604646</v>
      </c>
      <c r="AH344">
        <v>22000.000000053031</v>
      </c>
      <c r="AI344">
        <v>7636.3636363682208</v>
      </c>
      <c r="AK344">
        <v>22000.000001688699</v>
      </c>
      <c r="AL344">
        <v>7636.3636347813826</v>
      </c>
      <c r="AZ344">
        <v>49999.999999999971</v>
      </c>
      <c r="BA344">
        <v>7.4940665206847856E-14</v>
      </c>
      <c r="BC344">
        <v>49999.999999999971</v>
      </c>
      <c r="BD344">
        <v>4.415850761955494E-13</v>
      </c>
      <c r="BF344">
        <v>49999.999999999971</v>
      </c>
      <c r="BG344">
        <v>2.5533044679353314E-14</v>
      </c>
      <c r="BI344">
        <v>49999.999999999971</v>
      </c>
      <c r="BJ344">
        <v>5.338374474094941E-13</v>
      </c>
      <c r="BL344">
        <v>49999.999999999971</v>
      </c>
      <c r="BM344">
        <v>4.8395400224375675E-13</v>
      </c>
      <c r="BO344">
        <v>49999.999999999971</v>
      </c>
      <c r="BP344">
        <v>5.3106256209264548E-13</v>
      </c>
      <c r="BR344">
        <v>49999.999999999971</v>
      </c>
      <c r="BS344">
        <v>5.2851142114919531E-13</v>
      </c>
      <c r="BU344">
        <v>49999.999999999971</v>
      </c>
      <c r="BV344">
        <v>5.3263126857886232E-13</v>
      </c>
      <c r="BX344">
        <v>49999.999999999971</v>
      </c>
      <c r="BY344">
        <v>1.7835002378054067E-17</v>
      </c>
    </row>
    <row r="345" spans="13:77" x14ac:dyDescent="0.35">
      <c r="M345">
        <v>21999.99999992755</v>
      </c>
      <c r="N345">
        <v>7636.3636364588347</v>
      </c>
      <c r="P345">
        <v>22000.000000029642</v>
      </c>
      <c r="Q345">
        <v>7636.3636363801015</v>
      </c>
      <c r="S345">
        <v>21999.999999934633</v>
      </c>
      <c r="T345">
        <v>7636.363636521528</v>
      </c>
      <c r="V345">
        <v>22000.000000045053</v>
      </c>
      <c r="W345">
        <v>7636.3636363685564</v>
      </c>
      <c r="Y345">
        <v>22000.000000048793</v>
      </c>
      <c r="Z345">
        <v>7636.3636363556861</v>
      </c>
      <c r="AB345">
        <v>22000.00000004586</v>
      </c>
      <c r="AC345">
        <v>7636.3636363661162</v>
      </c>
      <c r="AE345">
        <v>22000.000000046257</v>
      </c>
      <c r="AF345">
        <v>7636.3636363648757</v>
      </c>
      <c r="AH345">
        <v>22000.000000043707</v>
      </c>
      <c r="AI345">
        <v>7636.363636372479</v>
      </c>
      <c r="AK345">
        <v>22000.000001796107</v>
      </c>
      <c r="AL345">
        <v>7636.3636349352973</v>
      </c>
      <c r="AZ345">
        <v>49999.999999999971</v>
      </c>
      <c r="BA345">
        <v>6.7082324153582485E-14</v>
      </c>
      <c r="BC345">
        <v>49999.999999999971</v>
      </c>
      <c r="BD345">
        <v>3.9528009447169202E-13</v>
      </c>
      <c r="BF345">
        <v>49999.999999999971</v>
      </c>
      <c r="BG345">
        <v>2.2855628183719023E-14</v>
      </c>
      <c r="BI345">
        <v>49999.999999999971</v>
      </c>
      <c r="BJ345">
        <v>4.7785880461029605E-13</v>
      </c>
      <c r="BL345">
        <v>49999.999999999971</v>
      </c>
      <c r="BM345">
        <v>4.3320617937312809E-13</v>
      </c>
      <c r="BO345">
        <v>49999.999999999971</v>
      </c>
      <c r="BP345">
        <v>4.7537489609680654E-13</v>
      </c>
      <c r="BR345">
        <v>49999.999999999971</v>
      </c>
      <c r="BS345">
        <v>4.7309126993392637E-13</v>
      </c>
      <c r="BU345">
        <v>49999.999999999971</v>
      </c>
      <c r="BV345">
        <v>4.7677910670422202E-13</v>
      </c>
      <c r="BX345">
        <v>49999.999999999971</v>
      </c>
      <c r="BY345">
        <v>1.5964809059303793E-17</v>
      </c>
    </row>
    <row r="346" spans="13:77" x14ac:dyDescent="0.35">
      <c r="M346">
        <v>21999.999999916552</v>
      </c>
      <c r="N346">
        <v>7636.3636364519416</v>
      </c>
      <c r="P346">
        <v>22000.000000021177</v>
      </c>
      <c r="Q346">
        <v>7636.3636363823343</v>
      </c>
      <c r="S346">
        <v>21999.999999907861</v>
      </c>
      <c r="T346">
        <v>7636.3636365145458</v>
      </c>
      <c r="V346">
        <v>22000.000000036889</v>
      </c>
      <c r="W346">
        <v>7636.3636363721635</v>
      </c>
      <c r="Y346">
        <v>22000.000000043059</v>
      </c>
      <c r="Z346">
        <v>7636.3636363597334</v>
      </c>
      <c r="AB346">
        <v>22000.000000038144</v>
      </c>
      <c r="AC346">
        <v>7636.3636363698142</v>
      </c>
      <c r="AE346">
        <v>22000.00000003877</v>
      </c>
      <c r="AF346">
        <v>7636.3636363686192</v>
      </c>
      <c r="AH346">
        <v>22000.000000034837</v>
      </c>
      <c r="AI346">
        <v>7636.3636363759351</v>
      </c>
      <c r="AK346">
        <v>22000.000001850789</v>
      </c>
      <c r="AL346">
        <v>7636.3636350963043</v>
      </c>
      <c r="AZ346">
        <v>49999.999999999971</v>
      </c>
      <c r="BA346">
        <v>6.0048015338875262E-14</v>
      </c>
      <c r="BC346">
        <v>49999.999999999971</v>
      </c>
      <c r="BD346">
        <v>3.5383069199638984E-13</v>
      </c>
      <c r="BF346">
        <v>49999.999999999971</v>
      </c>
      <c r="BG346">
        <v>2.0458967829043169E-14</v>
      </c>
      <c r="BI346">
        <v>49999.999999999971</v>
      </c>
      <c r="BJ346">
        <v>4.2775012927937209E-13</v>
      </c>
      <c r="BL346">
        <v>49999.999999999971</v>
      </c>
      <c r="BM346">
        <v>3.8777981580269872E-13</v>
      </c>
      <c r="BO346">
        <v>49999.999999999971</v>
      </c>
      <c r="BP346">
        <v>4.2552668549741695E-13</v>
      </c>
      <c r="BR346">
        <v>49999.999999999971</v>
      </c>
      <c r="BS346">
        <v>4.2348252229068403E-13</v>
      </c>
      <c r="BU346">
        <v>49999.999999999971</v>
      </c>
      <c r="BV346">
        <v>4.2678364940194792E-13</v>
      </c>
      <c r="BX346">
        <v>49999.999999999971</v>
      </c>
      <c r="BY346">
        <v>1.4290725781660213E-17</v>
      </c>
    </row>
    <row r="347" spans="13:77" x14ac:dyDescent="0.35">
      <c r="M347">
        <v>21999.999999908876</v>
      </c>
      <c r="N347">
        <v>7636.3636364442282</v>
      </c>
      <c r="P347">
        <v>22000.000000013508</v>
      </c>
      <c r="Q347">
        <v>7636.3636363838559</v>
      </c>
      <c r="S347">
        <v>21999.999999886892</v>
      </c>
      <c r="T347">
        <v>7636.3636365054635</v>
      </c>
      <c r="V347">
        <v>22000.000000029155</v>
      </c>
      <c r="W347">
        <v>7636.3636363750693</v>
      </c>
      <c r="Y347">
        <v>22000.000000037271</v>
      </c>
      <c r="Z347">
        <v>7636.3636363632713</v>
      </c>
      <c r="AB347">
        <v>22000.000000030763</v>
      </c>
      <c r="AC347">
        <v>7636.3636363728465</v>
      </c>
      <c r="AE347">
        <v>22000.00000003157</v>
      </c>
      <c r="AF347">
        <v>7636.3636363717151</v>
      </c>
      <c r="AH347">
        <v>22000.000000026539</v>
      </c>
      <c r="AI347">
        <v>7636.3636363786336</v>
      </c>
      <c r="AK347">
        <v>22000.000001859287</v>
      </c>
      <c r="AL347">
        <v>7636.3636352600461</v>
      </c>
      <c r="AZ347">
        <v>49999.999999999971</v>
      </c>
      <c r="BA347">
        <v>5.3751330050559009E-14</v>
      </c>
      <c r="BC347">
        <v>49999.999999999971</v>
      </c>
      <c r="BD347">
        <v>3.1672770865422367E-13</v>
      </c>
      <c r="BF347">
        <v>49999.999999999971</v>
      </c>
      <c r="BG347">
        <v>1.8313623290738824E-14</v>
      </c>
      <c r="BI347">
        <v>49999.999999999971</v>
      </c>
      <c r="BJ347">
        <v>3.8289589170118062E-13</v>
      </c>
      <c r="BL347">
        <v>49999.999999999971</v>
      </c>
      <c r="BM347">
        <v>3.4711689884380872E-13</v>
      </c>
      <c r="BO347">
        <v>49999.999999999971</v>
      </c>
      <c r="BP347">
        <v>3.8090560010039624E-13</v>
      </c>
      <c r="BR347">
        <v>49999.999999999971</v>
      </c>
      <c r="BS347">
        <v>3.7907578956324142E-13</v>
      </c>
      <c r="BU347">
        <v>49999.999999999971</v>
      </c>
      <c r="BV347">
        <v>3.8203075771489518E-13</v>
      </c>
      <c r="BX347">
        <v>49999.999999999971</v>
      </c>
      <c r="BY347">
        <v>1.2792188281612553E-17</v>
      </c>
    </row>
    <row r="348" spans="13:77" x14ac:dyDescent="0.35">
      <c r="M348">
        <v>21999.999999904201</v>
      </c>
      <c r="N348">
        <v>7636.3636364359736</v>
      </c>
      <c r="P348">
        <v>22000.000000006676</v>
      </c>
      <c r="Q348">
        <v>7636.363636384739</v>
      </c>
      <c r="S348">
        <v>21999.99999987131</v>
      </c>
      <c r="T348">
        <v>7636.3636364947743</v>
      </c>
      <c r="V348">
        <v>22000.000000021944</v>
      </c>
      <c r="W348">
        <v>7636.3636363773157</v>
      </c>
      <c r="Y348">
        <v>22000.000000031556</v>
      </c>
      <c r="Z348">
        <v>7636.3636363663018</v>
      </c>
      <c r="AB348">
        <v>22000.000000023821</v>
      </c>
      <c r="AC348">
        <v>7636.3636363752476</v>
      </c>
      <c r="AE348">
        <v>22000.000000024767</v>
      </c>
      <c r="AF348">
        <v>7636.3636363741934</v>
      </c>
      <c r="AH348">
        <v>22000.000000018899</v>
      </c>
      <c r="AI348">
        <v>7636.3636363806299</v>
      </c>
      <c r="AK348">
        <v>22000.000001828153</v>
      </c>
      <c r="AL348">
        <v>7636.3636354227428</v>
      </c>
      <c r="AZ348">
        <v>49999.999999999971</v>
      </c>
      <c r="BA348">
        <v>4.8114920466549505E-14</v>
      </c>
      <c r="BC348">
        <v>49999.999999999971</v>
      </c>
      <c r="BD348">
        <v>2.8351537528682881E-13</v>
      </c>
      <c r="BF348">
        <v>49999.999999999971</v>
      </c>
      <c r="BG348">
        <v>1.6393241381365282E-14</v>
      </c>
      <c r="BI348">
        <v>49999.999999999971</v>
      </c>
      <c r="BJ348">
        <v>3.42745107122782E-13</v>
      </c>
      <c r="BL348">
        <v>49999.999999999971</v>
      </c>
      <c r="BM348">
        <v>3.1071792948668573E-13</v>
      </c>
      <c r="BO348">
        <v>49999.999999999971</v>
      </c>
      <c r="BP348">
        <v>3.4096351916976009E-13</v>
      </c>
      <c r="BR348">
        <v>49999.999999999971</v>
      </c>
      <c r="BS348">
        <v>3.3932558410133949E-13</v>
      </c>
      <c r="BU348">
        <v>49999.999999999971</v>
      </c>
      <c r="BV348">
        <v>3.4197069181242822E-13</v>
      </c>
      <c r="BX348">
        <v>49999.999999999971</v>
      </c>
      <c r="BY348">
        <v>1.1450788681581908E-17</v>
      </c>
    </row>
    <row r="349" spans="13:77" x14ac:dyDescent="0.35">
      <c r="M349">
        <v>21999.999999902186</v>
      </c>
      <c r="N349">
        <v>7636.3636364274271</v>
      </c>
      <c r="P349">
        <v>22000.000000000698</v>
      </c>
      <c r="Q349">
        <v>7636.3636363850574</v>
      </c>
      <c r="S349">
        <v>21999.999999860654</v>
      </c>
      <c r="T349">
        <v>7636.3636364829326</v>
      </c>
      <c r="V349">
        <v>22000.000000015327</v>
      </c>
      <c r="W349">
        <v>7636.3636363789528</v>
      </c>
      <c r="Y349">
        <v>22000.000000026022</v>
      </c>
      <c r="Z349">
        <v>7636.3636363688365</v>
      </c>
      <c r="AB349">
        <v>22000.000000017397</v>
      </c>
      <c r="AC349">
        <v>7636.3636363770593</v>
      </c>
      <c r="AE349">
        <v>22000.000000018445</v>
      </c>
      <c r="AF349">
        <v>7636.3636363760934</v>
      </c>
      <c r="AH349">
        <v>22000.000000011984</v>
      </c>
      <c r="AI349">
        <v>7636.3636363819851</v>
      </c>
      <c r="AK349">
        <v>22000.000001763798</v>
      </c>
      <c r="AL349">
        <v>7636.3636355811868</v>
      </c>
      <c r="AZ349">
        <v>49999.999999999971</v>
      </c>
      <c r="BA349">
        <v>4.3069549522306344E-14</v>
      </c>
      <c r="BC349">
        <v>49999.999999999971</v>
      </c>
      <c r="BD349">
        <v>2.5378571507232564E-13</v>
      </c>
      <c r="BF349">
        <v>49999.999999999971</v>
      </c>
      <c r="BG349">
        <v>1.4674232330835797E-14</v>
      </c>
      <c r="BI349">
        <v>49999.999999999971</v>
      </c>
      <c r="BJ349">
        <v>3.0680456751488589E-13</v>
      </c>
      <c r="BL349">
        <v>49999.999999999971</v>
      </c>
      <c r="BM349">
        <v>2.7813578660696493E-13</v>
      </c>
      <c r="BO349">
        <v>49999.999999999971</v>
      </c>
      <c r="BP349">
        <v>3.052097983699516E-13</v>
      </c>
      <c r="BR349">
        <v>49999.999999999971</v>
      </c>
      <c r="BS349">
        <v>3.0374361854756763E-13</v>
      </c>
      <c r="BU349">
        <v>49999.999999999971</v>
      </c>
      <c r="BV349">
        <v>3.0611135804396297E-13</v>
      </c>
      <c r="BX349">
        <v>49999.999999999971</v>
      </c>
      <c r="BY349">
        <v>1.0250049369482513E-17</v>
      </c>
    </row>
    <row r="350" spans="13:77" x14ac:dyDescent="0.35">
      <c r="M350">
        <v>21999.999999902484</v>
      </c>
      <c r="N350">
        <v>7636.3636364188069</v>
      </c>
      <c r="P350">
        <v>21999.999999995576</v>
      </c>
      <c r="Q350">
        <v>7636.3636363848873</v>
      </c>
      <c r="S350">
        <v>21999.999999854426</v>
      </c>
      <c r="T350">
        <v>7636.3636364703516</v>
      </c>
      <c r="V350">
        <v>22000.000000009357</v>
      </c>
      <c r="W350">
        <v>7636.3636363800351</v>
      </c>
      <c r="Y350">
        <v>22000.000000020755</v>
      </c>
      <c r="Z350">
        <v>7636.3636363708947</v>
      </c>
      <c r="AB350">
        <v>22000.000000011547</v>
      </c>
      <c r="AC350">
        <v>7636.3636363783298</v>
      </c>
      <c r="AE350">
        <v>22000.00000001266</v>
      </c>
      <c r="AF350">
        <v>7636.3636363774594</v>
      </c>
      <c r="AH350">
        <v>22000.000000005824</v>
      </c>
      <c r="AI350">
        <v>7636.3636363827636</v>
      </c>
      <c r="AK350">
        <v>22000.000001672382</v>
      </c>
      <c r="AL350">
        <v>7636.363635732725</v>
      </c>
      <c r="AZ350">
        <v>49999.999999999971</v>
      </c>
      <c r="BA350">
        <v>3.8553240409989321E-14</v>
      </c>
      <c r="BC350">
        <v>49999.999999999971</v>
      </c>
      <c r="BD350">
        <v>2.2717353198080258E-13</v>
      </c>
      <c r="BF350">
        <v>49999.999999999971</v>
      </c>
      <c r="BG350">
        <v>1.3135480012154432E-14</v>
      </c>
      <c r="BI350">
        <v>49999.999999999971</v>
      </c>
      <c r="BJ350">
        <v>2.7463278305611585E-13</v>
      </c>
      <c r="BL350">
        <v>49999.999999999971</v>
      </c>
      <c r="BM350">
        <v>2.4897023457666282E-13</v>
      </c>
      <c r="BO350">
        <v>49999.999999999971</v>
      </c>
      <c r="BP350">
        <v>2.7320524274225116E-13</v>
      </c>
      <c r="BR350">
        <v>49999.999999999971</v>
      </c>
      <c r="BS350">
        <v>2.7189280776664572E-13</v>
      </c>
      <c r="BU350">
        <v>49999.999999999971</v>
      </c>
      <c r="BV350">
        <v>2.7401226411214286E-13</v>
      </c>
      <c r="BX350">
        <v>49999.999999999971</v>
      </c>
      <c r="BY350">
        <v>9.1752205894620085E-18</v>
      </c>
    </row>
    <row r="351" spans="13:77" x14ac:dyDescent="0.35">
      <c r="M351">
        <v>21999.99999990475</v>
      </c>
      <c r="N351">
        <v>7636.3636364103022</v>
      </c>
      <c r="P351">
        <v>21999.999999991291</v>
      </c>
      <c r="Q351">
        <v>7636.3636363843025</v>
      </c>
      <c r="S351">
        <v>21999.999999852113</v>
      </c>
      <c r="T351">
        <v>7636.3636364573977</v>
      </c>
      <c r="V351">
        <v>22000.000000004064</v>
      </c>
      <c r="W351">
        <v>7636.3636363806208</v>
      </c>
      <c r="Y351">
        <v>22000.000000015825</v>
      </c>
      <c r="Z351">
        <v>7636.3636363725036</v>
      </c>
      <c r="AB351">
        <v>22000.000000006312</v>
      </c>
      <c r="AC351">
        <v>7636.363636379112</v>
      </c>
      <c r="AE351">
        <v>22000.000000007454</v>
      </c>
      <c r="AF351">
        <v>7636.3636363783407</v>
      </c>
      <c r="AH351">
        <v>22000.000000000444</v>
      </c>
      <c r="AI351">
        <v>7636.3636363830337</v>
      </c>
      <c r="AK351">
        <v>22000.00000155974</v>
      </c>
      <c r="AL351">
        <v>7636.3636358752337</v>
      </c>
      <c r="AZ351">
        <v>49999.999999999971</v>
      </c>
      <c r="BA351">
        <v>3.4510515261847122E-14</v>
      </c>
      <c r="BC351">
        <v>49999.999999999971</v>
      </c>
      <c r="BD351">
        <v>2.0335192474456327E-13</v>
      </c>
      <c r="BF351">
        <v>49999.999999999971</v>
      </c>
      <c r="BG351">
        <v>1.1758082553125369E-14</v>
      </c>
      <c r="BI351">
        <v>49999.999999999971</v>
      </c>
      <c r="BJ351">
        <v>2.4583455891831899E-13</v>
      </c>
      <c r="BL351">
        <v>49999.999999999971</v>
      </c>
      <c r="BM351">
        <v>2.2286300681167466E-13</v>
      </c>
      <c r="BO351">
        <v>49999.999999999971</v>
      </c>
      <c r="BP351">
        <v>2.4455671167993836E-13</v>
      </c>
      <c r="BR351">
        <v>49999.999999999971</v>
      </c>
      <c r="BS351">
        <v>2.4338189973743615E-13</v>
      </c>
      <c r="BU351">
        <v>49999.999999999971</v>
      </c>
      <c r="BV351">
        <v>2.4527910811162892E-13</v>
      </c>
      <c r="BX351">
        <v>49999.999999999971</v>
      </c>
      <c r="BY351">
        <v>8.2130992574465764E-18</v>
      </c>
    </row>
    <row r="352" spans="13:77" x14ac:dyDescent="0.35">
      <c r="M352">
        <v>21999.999999908654</v>
      </c>
      <c r="N352">
        <v>7636.3636364020722</v>
      </c>
      <c r="P352">
        <v>21999.999999987809</v>
      </c>
      <c r="Q352">
        <v>7636.3636363833757</v>
      </c>
      <c r="S352">
        <v>21999.999999853189</v>
      </c>
      <c r="T352">
        <v>7636.3636364443937</v>
      </c>
      <c r="V352">
        <v>21999.999999999458</v>
      </c>
      <c r="W352">
        <v>7636.3636363807709</v>
      </c>
      <c r="Y352">
        <v>22000.000000011289</v>
      </c>
      <c r="Z352">
        <v>7636.363636373695</v>
      </c>
      <c r="AB352">
        <v>22000.00000000171</v>
      </c>
      <c r="AC352">
        <v>7636.3636363794603</v>
      </c>
      <c r="AE352">
        <v>22000.000000002852</v>
      </c>
      <c r="AF352">
        <v>7636.36363637879</v>
      </c>
      <c r="AH352">
        <v>21999.999999995835</v>
      </c>
      <c r="AI352">
        <v>7636.3636363828646</v>
      </c>
      <c r="AK352">
        <v>22000.000001431283</v>
      </c>
      <c r="AL352">
        <v>7636.3636360070841</v>
      </c>
      <c r="AZ352">
        <v>49999.999999999971</v>
      </c>
      <c r="BA352">
        <v>3.0891713665904875E-14</v>
      </c>
      <c r="BC352">
        <v>49999.999999999971</v>
      </c>
      <c r="BD352">
        <v>1.8202827123721875E-13</v>
      </c>
      <c r="BF352">
        <v>49999.999999999971</v>
      </c>
      <c r="BG352">
        <v>1.0525120147736081E-14</v>
      </c>
      <c r="BI352">
        <v>49999.999999999971</v>
      </c>
      <c r="BJ352">
        <v>2.2005614073471999E-13</v>
      </c>
      <c r="BL352">
        <v>49999.999999999971</v>
      </c>
      <c r="BM352">
        <v>1.9949340486260747E-13</v>
      </c>
      <c r="BO352">
        <v>49999.999999999971</v>
      </c>
      <c r="BP352">
        <v>2.1891228963028682E-13</v>
      </c>
      <c r="BR352">
        <v>49999.999999999971</v>
      </c>
      <c r="BS352">
        <v>2.1786066945412601E-13</v>
      </c>
      <c r="BU352">
        <v>49999.999999999971</v>
      </c>
      <c r="BV352">
        <v>2.1955893496582394E-13</v>
      </c>
      <c r="BX352">
        <v>49999.999999999971</v>
      </c>
      <c r="BY352">
        <v>7.3518667758400717E-18</v>
      </c>
    </row>
    <row r="353" spans="13:77" x14ac:dyDescent="0.35">
      <c r="M353">
        <v>21999.999999913878</v>
      </c>
      <c r="N353">
        <v>7636.363636394246</v>
      </c>
      <c r="P353">
        <v>21999.999999985088</v>
      </c>
      <c r="Q353">
        <v>7636.3636363821761</v>
      </c>
      <c r="S353">
        <v>21999.99999985714</v>
      </c>
      <c r="T353">
        <v>7636.3636364316144</v>
      </c>
      <c r="V353">
        <v>21999.999999995533</v>
      </c>
      <c r="W353">
        <v>7636.3636363805454</v>
      </c>
      <c r="Y353">
        <v>22000.000000007178</v>
      </c>
      <c r="Z353">
        <v>7636.3636363745054</v>
      </c>
      <c r="AB353">
        <v>21999.999999997741</v>
      </c>
      <c r="AC353">
        <v>7636.3636363794312</v>
      </c>
      <c r="AE353">
        <v>21999.999999998861</v>
      </c>
      <c r="AF353">
        <v>7636.363636378861</v>
      </c>
      <c r="AH353">
        <v>21999.999999991986</v>
      </c>
      <c r="AI353">
        <v>7636.3636363823225</v>
      </c>
      <c r="AK353">
        <v>22000.000001291966</v>
      </c>
      <c r="AL353">
        <v>7636.3636361271037</v>
      </c>
      <c r="AZ353">
        <v>49999.999999999971</v>
      </c>
      <c r="BA353">
        <v>2.7652382642668683E-14</v>
      </c>
      <c r="BC353">
        <v>49999.999999999971</v>
      </c>
      <c r="BD353">
        <v>1.6294063393415873E-13</v>
      </c>
      <c r="BF353">
        <v>49999.999999999971</v>
      </c>
      <c r="BG353">
        <v>9.4214472150337552E-15</v>
      </c>
      <c r="BI353">
        <v>49999.999999999971</v>
      </c>
      <c r="BJ353">
        <v>1.9698086911835892E-13</v>
      </c>
      <c r="BL353">
        <v>49999.999999999971</v>
      </c>
      <c r="BM353">
        <v>1.7857435898864227E-13</v>
      </c>
      <c r="BO353">
        <v>49999.999999999971</v>
      </c>
      <c r="BP353">
        <v>1.95956963200801E-13</v>
      </c>
      <c r="BR353">
        <v>49999.999999999971</v>
      </c>
      <c r="BS353">
        <v>1.9501561679896493E-13</v>
      </c>
      <c r="BU353">
        <v>49999.999999999971</v>
      </c>
      <c r="BV353">
        <v>1.9653580076370724E-13</v>
      </c>
      <c r="BX353">
        <v>49999.999999999971</v>
      </c>
      <c r="BY353">
        <v>6.580943855109944E-18</v>
      </c>
    </row>
    <row r="354" spans="13:77" x14ac:dyDescent="0.35">
      <c r="M354">
        <v>21999.999999920117</v>
      </c>
      <c r="N354">
        <v>7636.3636363869273</v>
      </c>
      <c r="P354">
        <v>21999.999999983072</v>
      </c>
      <c r="Q354">
        <v>7636.3636363807682</v>
      </c>
      <c r="S354">
        <v>21999.999999863467</v>
      </c>
      <c r="T354">
        <v>7636.3636364192917</v>
      </c>
      <c r="V354">
        <v>21999.999999992273</v>
      </c>
      <c r="W354">
        <v>7636.3636363800033</v>
      </c>
      <c r="Y354">
        <v>22000.000000003518</v>
      </c>
      <c r="Z354">
        <v>7636.3636363749729</v>
      </c>
      <c r="AB354">
        <v>21999.999999994398</v>
      </c>
      <c r="AC354">
        <v>7636.3636363790802</v>
      </c>
      <c r="AE354">
        <v>21999.999999995478</v>
      </c>
      <c r="AF354">
        <v>7636.3636363786072</v>
      </c>
      <c r="AH354">
        <v>21999.999999988861</v>
      </c>
      <c r="AI354">
        <v>7636.363636381474</v>
      </c>
      <c r="AK354">
        <v>22000.000001146247</v>
      </c>
      <c r="AL354">
        <v>7636.3636362345378</v>
      </c>
      <c r="AZ354">
        <v>49999.999999999971</v>
      </c>
      <c r="BA354">
        <v>2.4752730589384935E-14</v>
      </c>
      <c r="BC354">
        <v>49999.999999999971</v>
      </c>
      <c r="BD354">
        <v>1.4585454229945461E-13</v>
      </c>
      <c r="BF354">
        <v>49999.999999999971</v>
      </c>
      <c r="BG354">
        <v>8.4335063523963732E-15</v>
      </c>
      <c r="BI354">
        <v>49999.999999999971</v>
      </c>
      <c r="BJ354">
        <v>1.7632528985137307E-13</v>
      </c>
      <c r="BL354">
        <v>49999.999999999971</v>
      </c>
      <c r="BM354">
        <v>1.5984890182292756E-13</v>
      </c>
      <c r="BO354">
        <v>49999.999999999971</v>
      </c>
      <c r="BP354">
        <v>1.7540875156772149E-13</v>
      </c>
      <c r="BR354">
        <v>49999.999999999971</v>
      </c>
      <c r="BS354">
        <v>1.7456611553967881E-13</v>
      </c>
      <c r="BU354">
        <v>49999.999999999971</v>
      </c>
      <c r="BV354">
        <v>1.7592689173794777E-13</v>
      </c>
      <c r="BX354">
        <v>49999.999999999971</v>
      </c>
      <c r="BY354">
        <v>5.8908605589035019E-18</v>
      </c>
    </row>
    <row r="355" spans="13:77" x14ac:dyDescent="0.35">
      <c r="M355">
        <v>21999.999999927099</v>
      </c>
      <c r="N355">
        <v>7636.3636363801925</v>
      </c>
      <c r="P355">
        <v>21999.999999981697</v>
      </c>
      <c r="Q355">
        <v>7636.363636379212</v>
      </c>
      <c r="S355">
        <v>21999.999999871692</v>
      </c>
      <c r="T355">
        <v>7636.3636364076128</v>
      </c>
      <c r="V355">
        <v>21999.999999989646</v>
      </c>
      <c r="W355">
        <v>7636.363636379202</v>
      </c>
      <c r="Y355">
        <v>22000.000000000317</v>
      </c>
      <c r="Z355">
        <v>7636.3636363751384</v>
      </c>
      <c r="AB355">
        <v>21999.999999991654</v>
      </c>
      <c r="AC355">
        <v>7636.3636363784617</v>
      </c>
      <c r="AE355">
        <v>21999.99999999268</v>
      </c>
      <c r="AF355">
        <v>7636.3636363780815</v>
      </c>
      <c r="AH355">
        <v>21999.999999986419</v>
      </c>
      <c r="AI355">
        <v>7636.3636363803798</v>
      </c>
      <c r="AK355">
        <v>22000.000000998069</v>
      </c>
      <c r="AL355">
        <v>7636.3636363289979</v>
      </c>
      <c r="AZ355">
        <v>49999.999999999971</v>
      </c>
      <c r="BA355">
        <v>2.2157138484162909E-14</v>
      </c>
      <c r="BC355">
        <v>49999.999999999971</v>
      </c>
      <c r="BD355">
        <v>1.3056011257437256E-13</v>
      </c>
      <c r="BF355">
        <v>49999.999999999971</v>
      </c>
      <c r="BG355">
        <v>7.5491617978199492E-15</v>
      </c>
      <c r="BI355">
        <v>49999.999999999971</v>
      </c>
      <c r="BJ355">
        <v>1.578356719630954E-13</v>
      </c>
      <c r="BL355">
        <v>49999.999999999971</v>
      </c>
      <c r="BM355">
        <v>1.430870118123794E-13</v>
      </c>
      <c r="BO355">
        <v>49999.999999999971</v>
      </c>
      <c r="BP355">
        <v>1.5701524265314228E-13</v>
      </c>
      <c r="BR355">
        <v>49999.999999999971</v>
      </c>
      <c r="BS355">
        <v>1.5626096614624676E-13</v>
      </c>
      <c r="BU355">
        <v>49999.999999999971</v>
      </c>
      <c r="BV355">
        <v>1.5747905021022993E-13</v>
      </c>
      <c r="BX355">
        <v>49999.999999999971</v>
      </c>
      <c r="BY355">
        <v>5.2731399763423648E-18</v>
      </c>
    </row>
    <row r="356" spans="13:77" x14ac:dyDescent="0.35">
      <c r="M356">
        <v>21999.999999934571</v>
      </c>
      <c r="N356">
        <v>7636.3636363740961</v>
      </c>
      <c r="P356">
        <v>21999.999999980901</v>
      </c>
      <c r="Q356">
        <v>7636.3636363775604</v>
      </c>
      <c r="S356">
        <v>21999.999999881369</v>
      </c>
      <c r="T356">
        <v>7636.3636363967262</v>
      </c>
      <c r="V356">
        <v>21999.999999987616</v>
      </c>
      <c r="W356">
        <v>7636.3636363781961</v>
      </c>
      <c r="Y356">
        <v>21999.999999997577</v>
      </c>
      <c r="Z356">
        <v>7636.363636375042</v>
      </c>
      <c r="AB356">
        <v>21999.999999989483</v>
      </c>
      <c r="AC356">
        <v>7636.3636363776268</v>
      </c>
      <c r="AE356">
        <v>21999.999999990439</v>
      </c>
      <c r="AF356">
        <v>7636.3636363773339</v>
      </c>
      <c r="AH356">
        <v>21999.999999984615</v>
      </c>
      <c r="AI356">
        <v>7636.3636363790993</v>
      </c>
      <c r="AK356">
        <v>22000.00000085085</v>
      </c>
      <c r="AL356">
        <v>7636.3636364104232</v>
      </c>
      <c r="AZ356">
        <v>49999.999999999971</v>
      </c>
      <c r="BA356">
        <v>1.9833722345643323E-14</v>
      </c>
      <c r="BC356">
        <v>49999.999999999971</v>
      </c>
      <c r="BD356">
        <v>1.1686946958728056E-13</v>
      </c>
      <c r="BF356">
        <v>49999.999999999971</v>
      </c>
      <c r="BG356">
        <v>6.7575503554901006E-15</v>
      </c>
      <c r="BI356">
        <v>49999.999999999971</v>
      </c>
      <c r="BJ356">
        <v>1.4128489092540611E-13</v>
      </c>
      <c r="BL356">
        <v>49999.999999999971</v>
      </c>
      <c r="BM356">
        <v>1.2808278765703334E-13</v>
      </c>
      <c r="BO356">
        <v>49999.999999999971</v>
      </c>
      <c r="BP356">
        <v>1.4055049252150262E-13</v>
      </c>
      <c r="BR356">
        <v>49999.999999999971</v>
      </c>
      <c r="BS356">
        <v>1.3987531008220431E-13</v>
      </c>
      <c r="BU356">
        <v>49999.999999999971</v>
      </c>
      <c r="BV356">
        <v>1.4096566482886815E-13</v>
      </c>
      <c r="BX356">
        <v>49999.999999999971</v>
      </c>
      <c r="BY356">
        <v>4.7201940925377525E-18</v>
      </c>
    </row>
    <row r="357" spans="13:77" x14ac:dyDescent="0.35">
      <c r="M357">
        <v>21999.999999942305</v>
      </c>
      <c r="N357">
        <v>7636.363636368671</v>
      </c>
      <c r="P357">
        <v>21999.999999980613</v>
      </c>
      <c r="Q357">
        <v>7636.3636363758615</v>
      </c>
      <c r="S357">
        <v>21999.99999989209</v>
      </c>
      <c r="T357">
        <v>7636.3636363867408</v>
      </c>
      <c r="V357">
        <v>21999.999999986136</v>
      </c>
      <c r="W357">
        <v>7636.3636363770356</v>
      </c>
      <c r="Y357">
        <v>21999.999999995285</v>
      </c>
      <c r="Z357">
        <v>7636.3636363747246</v>
      </c>
      <c r="AB357">
        <v>21999.999999987846</v>
      </c>
      <c r="AC357">
        <v>7636.3636363766245</v>
      </c>
      <c r="AE357">
        <v>21999.999999988722</v>
      </c>
      <c r="AF357">
        <v>7636.3636363764126</v>
      </c>
      <c r="AH357">
        <v>21999.999999983393</v>
      </c>
      <c r="AI357">
        <v>7636.3636363776859</v>
      </c>
      <c r="AK357">
        <v>22000.000000707492</v>
      </c>
      <c r="AL357">
        <v>7636.3636364790291</v>
      </c>
      <c r="AZ357">
        <v>49999.999999999971</v>
      </c>
      <c r="BA357">
        <v>1.7753941573513298E-14</v>
      </c>
      <c r="BC357">
        <v>49999.999999999971</v>
      </c>
      <c r="BD357">
        <v>1.046144389147325E-13</v>
      </c>
      <c r="BF357">
        <v>49999.999999999971</v>
      </c>
      <c r="BG357">
        <v>6.0489479534233055E-15</v>
      </c>
      <c r="BI357">
        <v>49999.999999999971</v>
      </c>
      <c r="BJ357">
        <v>1.2646963867883563E-13</v>
      </c>
      <c r="BL357">
        <v>49999.999999999971</v>
      </c>
      <c r="BM357">
        <v>1.1465191904005764E-13</v>
      </c>
      <c r="BO357">
        <v>49999.999999999971</v>
      </c>
      <c r="BP357">
        <v>1.2581224990796539E-13</v>
      </c>
      <c r="BR357">
        <v>49999.999999999971</v>
      </c>
      <c r="BS357">
        <v>1.2520786766595031E-13</v>
      </c>
      <c r="BU357">
        <v>49999.999999999971</v>
      </c>
      <c r="BV357">
        <v>1.261838868987155E-13</v>
      </c>
      <c r="BX357">
        <v>49999.999999999971</v>
      </c>
      <c r="BY357">
        <v>4.2252305782109452E-18</v>
      </c>
    </row>
    <row r="358" spans="13:77" x14ac:dyDescent="0.35">
      <c r="M358">
        <v>21999.999999950105</v>
      </c>
      <c r="N358">
        <v>7636.3636363639316</v>
      </c>
      <c r="P358">
        <v>21999.99999998077</v>
      </c>
      <c r="Q358">
        <v>7636.3636363741571</v>
      </c>
      <c r="S358">
        <v>21999.999999903477</v>
      </c>
      <c r="T358">
        <v>7636.3636363777323</v>
      </c>
      <c r="V358">
        <v>21999.999999985157</v>
      </c>
      <c r="W358">
        <v>7636.3636363757678</v>
      </c>
      <c r="Y358">
        <v>21999.999999993426</v>
      </c>
      <c r="Z358">
        <v>7636.3636363742244</v>
      </c>
      <c r="AB358">
        <v>21999.9999999867</v>
      </c>
      <c r="AC358">
        <v>7636.3636363754995</v>
      </c>
      <c r="AE358">
        <v>21999.999999987489</v>
      </c>
      <c r="AF358">
        <v>7636.3636363753612</v>
      </c>
      <c r="AH358">
        <v>21999.99999998269</v>
      </c>
      <c r="AI358">
        <v>7636.363636376188</v>
      </c>
      <c r="AK358">
        <v>22000.000000570391</v>
      </c>
      <c r="AL358">
        <v>7636.363636535265</v>
      </c>
      <c r="AZ358">
        <v>49999.999999999971</v>
      </c>
      <c r="BA358">
        <v>1.5892248358763639E-14</v>
      </c>
      <c r="BC358">
        <v>49999.999999999971</v>
      </c>
      <c r="BD358">
        <v>9.3644481044478035E-14</v>
      </c>
      <c r="BF358">
        <v>49999.999999999971</v>
      </c>
      <c r="BG358">
        <v>5.4146501939859048E-15</v>
      </c>
      <c r="BI358">
        <v>49999.999999999971</v>
      </c>
      <c r="BJ358">
        <v>1.1320792621767217E-13</v>
      </c>
      <c r="BL358">
        <v>49999.999999999971</v>
      </c>
      <c r="BM358">
        <v>1.0262942257913998E-13</v>
      </c>
      <c r="BO358">
        <v>49999.999999999971</v>
      </c>
      <c r="BP358">
        <v>1.1261947178507911E-13</v>
      </c>
      <c r="BR358">
        <v>49999.999999999971</v>
      </c>
      <c r="BS358">
        <v>1.1207846557223567E-13</v>
      </c>
      <c r="BU358">
        <v>49999.999999999971</v>
      </c>
      <c r="BV358">
        <v>1.1295213860905443E-13</v>
      </c>
      <c r="BX358">
        <v>49999.999999999971</v>
      </c>
      <c r="BY358">
        <v>3.7821693534323687E-18</v>
      </c>
    </row>
    <row r="359" spans="13:77" x14ac:dyDescent="0.35">
      <c r="M359">
        <v>21999.999999957799</v>
      </c>
      <c r="N359">
        <v>7636.3636363598762</v>
      </c>
      <c r="P359">
        <v>21999.999999981301</v>
      </c>
      <c r="Q359">
        <v>7636.3636363724836</v>
      </c>
      <c r="S359">
        <v>21999.999999915199</v>
      </c>
      <c r="T359">
        <v>7636.3636363697433</v>
      </c>
      <c r="V359">
        <v>21999.99999998463</v>
      </c>
      <c r="W359">
        <v>7636.3636363744336</v>
      </c>
      <c r="Y359">
        <v>21999.999999991971</v>
      </c>
      <c r="Z359">
        <v>7636.3636363735786</v>
      </c>
      <c r="AB359">
        <v>21999.999999985994</v>
      </c>
      <c r="AC359">
        <v>7636.3636363742935</v>
      </c>
      <c r="AE359">
        <v>21999.999999986692</v>
      </c>
      <c r="AF359">
        <v>7636.3636363742207</v>
      </c>
      <c r="AH359">
        <v>21999.999999982447</v>
      </c>
      <c r="AI359">
        <v>7636.3636363746491</v>
      </c>
      <c r="AK359">
        <v>22000.000000441469</v>
      </c>
      <c r="AL359">
        <v>7636.3636365797702</v>
      </c>
      <c r="AZ359">
        <v>49999.999999999971</v>
      </c>
      <c r="BA359">
        <v>1.4225773857080808E-14</v>
      </c>
      <c r="BC359">
        <v>49999.999999999971</v>
      </c>
      <c r="BD359">
        <v>8.3824842163873208E-14</v>
      </c>
      <c r="BF359">
        <v>49999.999999999971</v>
      </c>
      <c r="BG359">
        <v>4.846865429985936E-15</v>
      </c>
      <c r="BI359">
        <v>49999.999999999971</v>
      </c>
      <c r="BJ359">
        <v>1.0133684805609109E-13</v>
      </c>
      <c r="BL359">
        <v>49999.999999999971</v>
      </c>
      <c r="BM359">
        <v>9.1867615187912269E-14</v>
      </c>
      <c r="BO359">
        <v>49999.999999999971</v>
      </c>
      <c r="BP359">
        <v>1.0081009944920504E-13</v>
      </c>
      <c r="BR359">
        <v>49999.999999999971</v>
      </c>
      <c r="BS359">
        <v>1.0032582360192114E-13</v>
      </c>
      <c r="BU359">
        <v>49999.999999999971</v>
      </c>
      <c r="BV359">
        <v>1.0110788255080229E-13</v>
      </c>
      <c r="BX359">
        <v>49999.999999999971</v>
      </c>
      <c r="BY359">
        <v>3.3855679005570361E-18</v>
      </c>
    </row>
    <row r="360" spans="13:77" x14ac:dyDescent="0.35">
      <c r="M360">
        <v>21999.999999965246</v>
      </c>
      <c r="N360">
        <v>7636.3636363564883</v>
      </c>
      <c r="P360">
        <v>21999.999999982141</v>
      </c>
      <c r="Q360">
        <v>7636.3636363708711</v>
      </c>
      <c r="S360">
        <v>21999.999999926968</v>
      </c>
      <c r="T360">
        <v>7636.3636363627911</v>
      </c>
      <c r="V360">
        <v>21999.999999984495</v>
      </c>
      <c r="W360">
        <v>7636.3636363730711</v>
      </c>
      <c r="Y360">
        <v>21999.999999990894</v>
      </c>
      <c r="Z360">
        <v>7636.363636372821</v>
      </c>
      <c r="AB360">
        <v>21999.999999985681</v>
      </c>
      <c r="AC360">
        <v>7636.3636363730429</v>
      </c>
      <c r="AE360">
        <v>21999.999999986288</v>
      </c>
      <c r="AF360">
        <v>7636.3636363730275</v>
      </c>
      <c r="AH360">
        <v>21999.999999982603</v>
      </c>
      <c r="AI360">
        <v>7636.3636363731066</v>
      </c>
      <c r="AK360">
        <v>22000.000000322194</v>
      </c>
      <c r="AL360">
        <v>7636.3636366133333</v>
      </c>
      <c r="AZ360">
        <v>49999.999999999971</v>
      </c>
      <c r="BA360">
        <v>1.2734047270360407E-14</v>
      </c>
      <c r="BC360">
        <v>49999.999999999971</v>
      </c>
      <c r="BD360">
        <v>7.5034898858170299E-14</v>
      </c>
      <c r="BF360">
        <v>49999.999999999971</v>
      </c>
      <c r="BG360">
        <v>4.3386190528957203E-15</v>
      </c>
      <c r="BI360">
        <v>49999.999999999971</v>
      </c>
      <c r="BJ360">
        <v>9.0710581114242157E-14</v>
      </c>
      <c r="BL360">
        <v>49999.999999999971</v>
      </c>
      <c r="BM360">
        <v>8.2234299952397258E-14</v>
      </c>
      <c r="BO360">
        <v>49999.999999999971</v>
      </c>
      <c r="BP360">
        <v>9.0239067808388166E-14</v>
      </c>
      <c r="BR360">
        <v>49999.999999999971</v>
      </c>
      <c r="BS360">
        <v>8.9805573532915937E-14</v>
      </c>
      <c r="BU360">
        <v>49999.999999999971</v>
      </c>
      <c r="BV360">
        <v>9.0505625124014711E-14</v>
      </c>
      <c r="BX360">
        <v>49999.999999999971</v>
      </c>
      <c r="BY360">
        <v>3.0305544089082623E-18</v>
      </c>
    </row>
    <row r="361" spans="13:77" x14ac:dyDescent="0.35">
      <c r="M361">
        <v>21999.999999972326</v>
      </c>
      <c r="N361">
        <v>7636.3636363537416</v>
      </c>
      <c r="P361">
        <v>21999.999999983229</v>
      </c>
      <c r="Q361">
        <v>7636.363636369344</v>
      </c>
      <c r="S361">
        <v>21999.999999938529</v>
      </c>
      <c r="T361">
        <v>7636.3636363568685</v>
      </c>
      <c r="V361">
        <v>21999.999999984699</v>
      </c>
      <c r="W361">
        <v>7636.3636363717114</v>
      </c>
      <c r="Y361">
        <v>21999.999999990163</v>
      </c>
      <c r="Z361">
        <v>7636.3636363719843</v>
      </c>
      <c r="AB361">
        <v>21999.99999998571</v>
      </c>
      <c r="AC361">
        <v>7636.3636363717806</v>
      </c>
      <c r="AE361">
        <v>21999.999999986227</v>
      </c>
      <c r="AF361">
        <v>7636.3636363718142</v>
      </c>
      <c r="AH361">
        <v>21999.999999983094</v>
      </c>
      <c r="AI361">
        <v>7636.3636363715932</v>
      </c>
      <c r="AK361">
        <v>22000.000000213629</v>
      </c>
      <c r="AL361">
        <v>7636.3636366368546</v>
      </c>
      <c r="AZ361">
        <v>49999.999999999971</v>
      </c>
      <c r="BA361">
        <v>1.1398744385568944E-14</v>
      </c>
      <c r="BC361">
        <v>49999.999999999971</v>
      </c>
      <c r="BD361">
        <v>6.7166676385134463E-14</v>
      </c>
      <c r="BF361">
        <v>49999.999999999971</v>
      </c>
      <c r="BG361">
        <v>3.883667817491763E-15</v>
      </c>
      <c r="BI361">
        <v>49999.999999999971</v>
      </c>
      <c r="BJ361">
        <v>8.1198593442821394E-14</v>
      </c>
      <c r="BL361">
        <v>49999.999999999971</v>
      </c>
      <c r="BM361">
        <v>7.3611142237973711E-14</v>
      </c>
      <c r="BO361">
        <v>49999.999999999971</v>
      </c>
      <c r="BP361">
        <v>8.0776523417972787E-14</v>
      </c>
      <c r="BR361">
        <v>49999.999999999971</v>
      </c>
      <c r="BS361">
        <v>8.0388485716069756E-14</v>
      </c>
      <c r="BU361">
        <v>49999.999999999971</v>
      </c>
      <c r="BV361">
        <v>8.1015129309754153E-14</v>
      </c>
      <c r="BX361">
        <v>49999.999999999971</v>
      </c>
      <c r="BY361">
        <v>2.7127679299659586E-18</v>
      </c>
    </row>
    <row r="362" spans="13:77" x14ac:dyDescent="0.35">
      <c r="M362">
        <v>21999.999999978947</v>
      </c>
      <c r="N362">
        <v>7636.3636363515989</v>
      </c>
      <c r="P362">
        <v>21999.999999984502</v>
      </c>
      <c r="Q362">
        <v>7636.3636363679216</v>
      </c>
      <c r="S362">
        <v>21999.999999949679</v>
      </c>
      <c r="T362">
        <v>7636.3636363519481</v>
      </c>
      <c r="V362">
        <v>21999.99999998519</v>
      </c>
      <c r="W362">
        <v>7636.3636363703827</v>
      </c>
      <c r="Y362">
        <v>21999.999999989741</v>
      </c>
      <c r="Z362">
        <v>7636.3636363710966</v>
      </c>
      <c r="AB362">
        <v>21999.999999986027</v>
      </c>
      <c r="AC362">
        <v>7636.3636363705336</v>
      </c>
      <c r="AE362">
        <v>21999.999999986456</v>
      </c>
      <c r="AF362">
        <v>7636.3636363706091</v>
      </c>
      <c r="AH362">
        <v>21999.999999983862</v>
      </c>
      <c r="AI362">
        <v>7636.3636363701362</v>
      </c>
      <c r="AK362">
        <v>22000.000000116455</v>
      </c>
      <c r="AL362">
        <v>7636.3636366513092</v>
      </c>
      <c r="AZ362">
        <v>49999.999999999971</v>
      </c>
      <c r="BA362">
        <v>1.0203462482031616E-14</v>
      </c>
      <c r="BC362">
        <v>49999.999999999971</v>
      </c>
      <c r="BD362">
        <v>6.0123522324627645E-14</v>
      </c>
      <c r="BF362">
        <v>49999.999999999971</v>
      </c>
      <c r="BG362">
        <v>3.4764231504848264E-15</v>
      </c>
      <c r="BI362">
        <v>49999.999999999971</v>
      </c>
      <c r="BJ362">
        <v>7.2684040782287741E-14</v>
      </c>
      <c r="BL362">
        <v>49999.999999999971</v>
      </c>
      <c r="BM362">
        <v>6.5892216079128141E-14</v>
      </c>
      <c r="BO362">
        <v>49999.999999999971</v>
      </c>
      <c r="BP362">
        <v>7.2306229374499258E-14</v>
      </c>
      <c r="BR362">
        <v>49999.999999999971</v>
      </c>
      <c r="BS362">
        <v>7.1958881631708046E-14</v>
      </c>
      <c r="BU362">
        <v>49999.999999999971</v>
      </c>
      <c r="BV362">
        <v>7.2519814852200212E-14</v>
      </c>
      <c r="BX362">
        <v>49999.999999999971</v>
      </c>
      <c r="BY362">
        <v>2.4283048079321118E-18</v>
      </c>
    </row>
    <row r="363" spans="13:77" x14ac:dyDescent="0.35">
      <c r="M363">
        <v>21999.999999985041</v>
      </c>
      <c r="N363">
        <v>7636.3636363500163</v>
      </c>
      <c r="P363">
        <v>21999.99999998591</v>
      </c>
      <c r="Q363">
        <v>7636.3636363666174</v>
      </c>
      <c r="S363">
        <v>21999.999999960244</v>
      </c>
      <c r="T363">
        <v>7636.3636363479854</v>
      </c>
      <c r="V363">
        <v>21999.999999985917</v>
      </c>
      <c r="W363">
        <v>7636.3636363691085</v>
      </c>
      <c r="Y363">
        <v>21999.999999989592</v>
      </c>
      <c r="Z363">
        <v>7636.3636363701844</v>
      </c>
      <c r="AB363">
        <v>21999.999999986587</v>
      </c>
      <c r="AC363">
        <v>7636.3636363693258</v>
      </c>
      <c r="AE363">
        <v>21999.999999986932</v>
      </c>
      <c r="AF363">
        <v>7636.363636369435</v>
      </c>
      <c r="AH363">
        <v>21999.999999984851</v>
      </c>
      <c r="AI363">
        <v>7636.3636363687565</v>
      </c>
      <c r="AK363">
        <v>22000.000000031025</v>
      </c>
      <c r="AL363">
        <v>7636.3636366577184</v>
      </c>
      <c r="AZ363">
        <v>49999.999999999971</v>
      </c>
      <c r="BA363">
        <v>9.1335188421308162E-15</v>
      </c>
      <c r="BC363">
        <v>49999.999999999971</v>
      </c>
      <c r="BD363">
        <v>5.3818919310410396E-14</v>
      </c>
      <c r="BF363">
        <v>49999.999999999971</v>
      </c>
      <c r="BG363">
        <v>3.111882501071419E-15</v>
      </c>
      <c r="BI363">
        <v>49999.999999999971</v>
      </c>
      <c r="BJ363">
        <v>6.5062331260226096E-14</v>
      </c>
      <c r="BL363">
        <v>49999.999999999971</v>
      </c>
      <c r="BM363">
        <v>5.8982702995997273E-14</v>
      </c>
      <c r="BO363">
        <v>49999.999999999971</v>
      </c>
      <c r="BP363">
        <v>6.472413747376538E-14</v>
      </c>
      <c r="BR363">
        <v>49999.999999999971</v>
      </c>
      <c r="BS363">
        <v>6.4413212906821361E-14</v>
      </c>
      <c r="BU363">
        <v>49999.999999999971</v>
      </c>
      <c r="BV363">
        <v>6.4915326199006684E-14</v>
      </c>
      <c r="BX363">
        <v>49999.999999999971</v>
      </c>
      <c r="BY363">
        <v>2.1736707276321293E-18</v>
      </c>
    </row>
    <row r="364" spans="13:77" x14ac:dyDescent="0.35">
      <c r="M364">
        <v>21999.999999990556</v>
      </c>
      <c r="N364">
        <v>7636.3636363489459</v>
      </c>
      <c r="P364">
        <v>21999.999999987405</v>
      </c>
      <c r="Q364">
        <v>7636.3636363654414</v>
      </c>
      <c r="S364">
        <v>21999.999999970092</v>
      </c>
      <c r="T364">
        <v>7636.3636363449223</v>
      </c>
      <c r="V364">
        <v>21999.999999986827</v>
      </c>
      <c r="W364">
        <v>7636.363636367907</v>
      </c>
      <c r="Y364">
        <v>21999.999999989679</v>
      </c>
      <c r="Z364">
        <v>7636.3636363692694</v>
      </c>
      <c r="AB364">
        <v>21999.999999987343</v>
      </c>
      <c r="AC364">
        <v>7636.3636363681762</v>
      </c>
      <c r="AE364">
        <v>21999.999999987609</v>
      </c>
      <c r="AF364">
        <v>7636.3636363683117</v>
      </c>
      <c r="AH364">
        <v>21999.999999986012</v>
      </c>
      <c r="AI364">
        <v>7636.3636363674723</v>
      </c>
      <c r="AK364">
        <v>21999.999999957388</v>
      </c>
      <c r="AL364">
        <v>7636.3636366571218</v>
      </c>
      <c r="AZ364">
        <v>49999.999999999971</v>
      </c>
      <c r="BA364">
        <v>8.1757703903419072E-15</v>
      </c>
      <c r="BC364">
        <v>49999.999999999971</v>
      </c>
      <c r="BD364">
        <v>4.8175422259883429E-14</v>
      </c>
      <c r="BF364">
        <v>49999.999999999971</v>
      </c>
      <c r="BG364">
        <v>2.7855678901240756E-15</v>
      </c>
      <c r="BI364">
        <v>49999.999999999971</v>
      </c>
      <c r="BJ364">
        <v>5.8239840595749501E-14</v>
      </c>
      <c r="BL364">
        <v>49999.999999999971</v>
      </c>
      <c r="BM364">
        <v>5.2797727254099934E-14</v>
      </c>
      <c r="BO364">
        <v>49999.999999999971</v>
      </c>
      <c r="BP364">
        <v>5.7937110093592004E-14</v>
      </c>
      <c r="BR364">
        <v>49999.999999999971</v>
      </c>
      <c r="BS364">
        <v>5.7658789337704917E-14</v>
      </c>
      <c r="BU364">
        <v>49999.999999999971</v>
      </c>
      <c r="BV364">
        <v>5.8108250608634768E-14</v>
      </c>
      <c r="BX364">
        <v>49999.999999999971</v>
      </c>
      <c r="BY364">
        <v>1.9457377907134973E-18</v>
      </c>
    </row>
    <row r="365" spans="13:77" x14ac:dyDescent="0.35">
      <c r="M365">
        <v>21999.999999995463</v>
      </c>
      <c r="N365">
        <v>7636.3636363483347</v>
      </c>
      <c r="P365">
        <v>21999.999999988944</v>
      </c>
      <c r="Q365">
        <v>7636.3636363643991</v>
      </c>
      <c r="S365">
        <v>21999.999999979125</v>
      </c>
      <c r="T365">
        <v>7636.3636363426913</v>
      </c>
      <c r="V365">
        <v>21999.999999987878</v>
      </c>
      <c r="W365">
        <v>7636.363636366792</v>
      </c>
      <c r="Y365">
        <v>21999.999999989966</v>
      </c>
      <c r="Z365">
        <v>7636.3636363683718</v>
      </c>
      <c r="AB365">
        <v>21999.999999988249</v>
      </c>
      <c r="AC365">
        <v>7636.3636363671003</v>
      </c>
      <c r="AE365">
        <v>21999.999999988442</v>
      </c>
      <c r="AF365">
        <v>7636.3636363672558</v>
      </c>
      <c r="AH365">
        <v>21999.999999987293</v>
      </c>
      <c r="AI365">
        <v>7636.3636363662954</v>
      </c>
      <c r="AK365">
        <v>21999.99999989535</v>
      </c>
      <c r="AL365">
        <v>7636.3636366505507</v>
      </c>
      <c r="AZ365">
        <v>49999.999999999971</v>
      </c>
      <c r="BA365">
        <v>7.3184522450711008E-15</v>
      </c>
      <c r="BC365">
        <v>49999.999999999971</v>
      </c>
      <c r="BD365">
        <v>4.3123707046810525E-14</v>
      </c>
      <c r="BF365">
        <v>49999.999999999971</v>
      </c>
      <c r="BG365">
        <v>2.4934709031651234E-15</v>
      </c>
      <c r="BI365">
        <v>49999.999999999971</v>
      </c>
      <c r="BJ365">
        <v>5.2132762028646129E-14</v>
      </c>
      <c r="BL365">
        <v>49999.999999999971</v>
      </c>
      <c r="BM365">
        <v>4.7261313259711087E-14</v>
      </c>
      <c r="BO365">
        <v>49999.999999999971</v>
      </c>
      <c r="BP365">
        <v>5.1861776101034561E-14</v>
      </c>
      <c r="BR365">
        <v>49999.999999999971</v>
      </c>
      <c r="BS365">
        <v>5.161264029321174E-14</v>
      </c>
      <c r="BU365">
        <v>49999.999999999971</v>
      </c>
      <c r="BV365">
        <v>5.2014970678027196E-14</v>
      </c>
      <c r="BX365">
        <v>49999.999999999971</v>
      </c>
      <c r="BY365">
        <v>1.7417060928702739E-18</v>
      </c>
    </row>
    <row r="366" spans="13:77" x14ac:dyDescent="0.35">
      <c r="M366">
        <v>21999.999999999749</v>
      </c>
      <c r="N366">
        <v>7636.3636363481282</v>
      </c>
      <c r="P366">
        <v>21999.999999990487</v>
      </c>
      <c r="Q366">
        <v>7636.3636363634932</v>
      </c>
      <c r="S366">
        <v>21999.999999987274</v>
      </c>
      <c r="T366">
        <v>7636.3636363412179</v>
      </c>
      <c r="V366">
        <v>21999.999999989028</v>
      </c>
      <c r="W366">
        <v>7636.3636363657743</v>
      </c>
      <c r="Y366">
        <v>21999.999999990421</v>
      </c>
      <c r="Z366">
        <v>7636.3636363675068</v>
      </c>
      <c r="AB366">
        <v>21999.999999989268</v>
      </c>
      <c r="AC366">
        <v>7636.3636363661089</v>
      </c>
      <c r="AE366">
        <v>21999.999999989395</v>
      </c>
      <c r="AF366">
        <v>7636.363636366279</v>
      </c>
      <c r="AH366">
        <v>21999.99999998865</v>
      </c>
      <c r="AI366">
        <v>7636.3636363652349</v>
      </c>
      <c r="AK366">
        <v>21999.999999844506</v>
      </c>
      <c r="AL366">
        <v>7636.363636639011</v>
      </c>
      <c r="AZ366">
        <v>49999.999999999971</v>
      </c>
      <c r="BA366">
        <v>6.5510332000831038E-15</v>
      </c>
      <c r="BC366">
        <v>49999.999999999971</v>
      </c>
      <c r="BD366">
        <v>3.860171893101816E-14</v>
      </c>
      <c r="BF366">
        <v>49999.999999999971</v>
      </c>
      <c r="BG366">
        <v>2.2320034514233861E-15</v>
      </c>
      <c r="BI366">
        <v>49999.999999999971</v>
      </c>
      <c r="BJ366">
        <v>4.6666076845921207E-14</v>
      </c>
      <c r="BL366">
        <v>49999.999999999971</v>
      </c>
      <c r="BM366">
        <v>4.2305452283632026E-14</v>
      </c>
      <c r="BO366">
        <v>49999.999999999971</v>
      </c>
      <c r="BP366">
        <v>4.6423506730124619E-14</v>
      </c>
      <c r="BR366">
        <v>49999.999999999971</v>
      </c>
      <c r="BS366">
        <v>4.6200495512216348E-14</v>
      </c>
      <c r="BU366">
        <v>49999.999999999971</v>
      </c>
      <c r="BV366">
        <v>4.6560637195193563E-14</v>
      </c>
      <c r="BX366">
        <v>49999.999999999971</v>
      </c>
      <c r="BY366">
        <v>1.5590693301120719E-18</v>
      </c>
    </row>
    <row r="367" spans="13:77" x14ac:dyDescent="0.35">
      <c r="M367">
        <v>22000.000000003416</v>
      </c>
      <c r="N367">
        <v>7636.3636363482719</v>
      </c>
      <c r="P367">
        <v>21999.999999992</v>
      </c>
      <c r="Q367">
        <v>7636.363636362722</v>
      </c>
      <c r="S367">
        <v>21999.999999994499</v>
      </c>
      <c r="T367">
        <v>7636.3636363404221</v>
      </c>
      <c r="V367">
        <v>21999.999999990236</v>
      </c>
      <c r="W367">
        <v>7636.3636363648602</v>
      </c>
      <c r="Y367">
        <v>21999.999999991007</v>
      </c>
      <c r="Z367">
        <v>7636.3636363666874</v>
      </c>
      <c r="AB367">
        <v>21999.999999990359</v>
      </c>
      <c r="AC367">
        <v>7636.3636363652113</v>
      </c>
      <c r="AE367">
        <v>21999.999999990428</v>
      </c>
      <c r="AF367">
        <v>7636.3636363653895</v>
      </c>
      <c r="AH367">
        <v>21999.999999990043</v>
      </c>
      <c r="AI367">
        <v>7636.3636363642963</v>
      </c>
      <c r="AK367">
        <v>21999.999999804273</v>
      </c>
      <c r="AL367">
        <v>7636.3636366234641</v>
      </c>
      <c r="AZ367">
        <v>49999.999999999971</v>
      </c>
      <c r="BA367">
        <v>5.8640863602675777E-15</v>
      </c>
      <c r="BC367">
        <v>49999.999999999971</v>
      </c>
      <c r="BD367">
        <v>3.4553910284471577E-14</v>
      </c>
      <c r="BF367">
        <v>49999.999999999971</v>
      </c>
      <c r="BG367">
        <v>1.9979536961278102E-15</v>
      </c>
      <c r="BI367">
        <v>49999.999999999971</v>
      </c>
      <c r="BJ367">
        <v>4.1772632859789763E-14</v>
      </c>
      <c r="BL367">
        <v>49999.999999999971</v>
      </c>
      <c r="BM367">
        <v>3.7869267049089344E-14</v>
      </c>
      <c r="BO367">
        <v>49999.999999999971</v>
      </c>
      <c r="BP367">
        <v>4.15554988499311E-14</v>
      </c>
      <c r="BR367">
        <v>49999.999999999971</v>
      </c>
      <c r="BS367">
        <v>4.1355872775511882E-14</v>
      </c>
      <c r="BU367">
        <v>49999.999999999971</v>
      </c>
      <c r="BV367">
        <v>4.1678249699335699E-14</v>
      </c>
      <c r="BX367">
        <v>49999.999999999971</v>
      </c>
      <c r="BY367">
        <v>1.3955840115885431E-18</v>
      </c>
    </row>
    <row r="368" spans="13:77" x14ac:dyDescent="0.35">
      <c r="M368">
        <v>22000.000000006479</v>
      </c>
      <c r="N368">
        <v>7636.3636363487121</v>
      </c>
      <c r="P368">
        <v>21999.999999993459</v>
      </c>
      <c r="Q368">
        <v>7636.3636363620817</v>
      </c>
      <c r="S368">
        <v>22000.000000000786</v>
      </c>
      <c r="T368">
        <v>7636.3636363402211</v>
      </c>
      <c r="V368">
        <v>21999.999999991469</v>
      </c>
      <c r="W368">
        <v>7636.3636363640544</v>
      </c>
      <c r="Y368">
        <v>21999.999999991691</v>
      </c>
      <c r="Z368">
        <v>7636.3636363659243</v>
      </c>
      <c r="AB368">
        <v>21999.999999991491</v>
      </c>
      <c r="AC368">
        <v>7636.3636363644118</v>
      </c>
      <c r="AE368">
        <v>21999.999999991509</v>
      </c>
      <c r="AF368">
        <v>7636.3636363645937</v>
      </c>
      <c r="AH368">
        <v>21999.999999991436</v>
      </c>
      <c r="AI368">
        <v>7636.3636363634805</v>
      </c>
      <c r="AK368">
        <v>21999.99999977394</v>
      </c>
      <c r="AL368">
        <v>7636.3636366048149</v>
      </c>
      <c r="AZ368">
        <v>49999.999999999971</v>
      </c>
      <c r="BA368">
        <v>5.2491733426476943E-15</v>
      </c>
      <c r="BC368">
        <v>49999.999999999971</v>
      </c>
      <c r="BD368">
        <v>3.0930558250034343E-14</v>
      </c>
      <c r="BF368">
        <v>49999.999999999971</v>
      </c>
      <c r="BG368">
        <v>1.7884465946166565E-15</v>
      </c>
      <c r="BI368">
        <v>49999.999999999971</v>
      </c>
      <c r="BJ368">
        <v>3.7392319517240562E-14</v>
      </c>
      <c r="BL368">
        <v>49999.999999999971</v>
      </c>
      <c r="BM368">
        <v>3.3898263921647984E-14</v>
      </c>
      <c r="BO368">
        <v>49999.999999999971</v>
      </c>
      <c r="BP368">
        <v>3.7197954361901979E-14</v>
      </c>
      <c r="BR368">
        <v>49999.999999999971</v>
      </c>
      <c r="BS368">
        <v>3.7019261245197783E-14</v>
      </c>
      <c r="BU368">
        <v>49999.999999999971</v>
      </c>
      <c r="BV368">
        <v>3.7307833454209985E-14</v>
      </c>
      <c r="BX368">
        <v>49999.999999999971</v>
      </c>
      <c r="BY368">
        <v>1.249241900782928E-18</v>
      </c>
    </row>
    <row r="369" spans="13:77" x14ac:dyDescent="0.35">
      <c r="M369">
        <v>22000.000000008964</v>
      </c>
      <c r="N369">
        <v>7636.3636363493961</v>
      </c>
      <c r="P369">
        <v>21999.999999994841</v>
      </c>
      <c r="Q369">
        <v>7636.3636363615669</v>
      </c>
      <c r="S369">
        <v>22000.000000006141</v>
      </c>
      <c r="T369">
        <v>7636.363636340533</v>
      </c>
      <c r="V369">
        <v>21999.999999992699</v>
      </c>
      <c r="W369">
        <v>7636.3636363633568</v>
      </c>
      <c r="Y369">
        <v>21999.999999992448</v>
      </c>
      <c r="Z369">
        <v>7636.3636363652249</v>
      </c>
      <c r="AB369">
        <v>21999.999999992633</v>
      </c>
      <c r="AC369">
        <v>7636.3636363637124</v>
      </c>
      <c r="AE369">
        <v>21999.999999992608</v>
      </c>
      <c r="AF369">
        <v>7636.3636363638943</v>
      </c>
      <c r="AH369">
        <v>21999.999999992804</v>
      </c>
      <c r="AI369">
        <v>7636.3636363627866</v>
      </c>
      <c r="AK369">
        <v>21999.99999975269</v>
      </c>
      <c r="AL369">
        <v>7636.3636365838993</v>
      </c>
      <c r="AZ369">
        <v>49999.999999999971</v>
      </c>
      <c r="BA369">
        <v>4.6987406201681325E-15</v>
      </c>
      <c r="BC369">
        <v>49999.999999999971</v>
      </c>
      <c r="BD369">
        <v>2.7687153951103051E-14</v>
      </c>
      <c r="BF369">
        <v>49999.999999999971</v>
      </c>
      <c r="BG369">
        <v>1.600908583614794E-15</v>
      </c>
      <c r="BI369">
        <v>49999.999999999971</v>
      </c>
      <c r="BJ369">
        <v>3.3471329508303505E-14</v>
      </c>
      <c r="BL369">
        <v>49999.999999999971</v>
      </c>
      <c r="BM369">
        <v>3.0343663515117705E-14</v>
      </c>
      <c r="BO369">
        <v>49999.999999999971</v>
      </c>
      <c r="BP369">
        <v>3.3297345646289518E-14</v>
      </c>
      <c r="BR369">
        <v>49999.999999999971</v>
      </c>
      <c r="BS369">
        <v>3.3137390439784768E-14</v>
      </c>
      <c r="BU369">
        <v>49999.999999999971</v>
      </c>
      <c r="BV369">
        <v>3.3395702724753687E-14</v>
      </c>
      <c r="BX369">
        <v>49999.999999999971</v>
      </c>
      <c r="BY369">
        <v>1.11824534654518E-18</v>
      </c>
    </row>
    <row r="370" spans="13:77" x14ac:dyDescent="0.35">
      <c r="M370">
        <v>22000.000000010899</v>
      </c>
      <c r="N370">
        <v>7636.3636363502746</v>
      </c>
      <c r="P370">
        <v>21999.999999996129</v>
      </c>
      <c r="Q370">
        <v>7636.3636363611695</v>
      </c>
      <c r="S370">
        <v>22000.00000001059</v>
      </c>
      <c r="T370">
        <v>7636.3636363412761</v>
      </c>
      <c r="V370">
        <v>21999.999999993899</v>
      </c>
      <c r="W370">
        <v>7636.3636363627666</v>
      </c>
      <c r="Y370">
        <v>21999.999999993252</v>
      </c>
      <c r="Z370">
        <v>7636.3636363645946</v>
      </c>
      <c r="AB370">
        <v>21999.999999993761</v>
      </c>
      <c r="AC370">
        <v>7636.3636363631131</v>
      </c>
      <c r="AE370">
        <v>21999.999999993699</v>
      </c>
      <c r="AF370">
        <v>7636.3636363632913</v>
      </c>
      <c r="AH370">
        <v>21999.999999994121</v>
      </c>
      <c r="AI370">
        <v>7636.3636363622109</v>
      </c>
      <c r="AK370">
        <v>21999.999999739641</v>
      </c>
      <c r="AL370">
        <v>7636.3636365614802</v>
      </c>
      <c r="AZ370">
        <v>49999.999999999971</v>
      </c>
      <c r="BA370">
        <v>4.2060267349604678E-15</v>
      </c>
      <c r="BC370">
        <v>49999.999999999971</v>
      </c>
      <c r="BD370">
        <v>2.4783855749232402E-14</v>
      </c>
      <c r="BF370">
        <v>49999.999999999971</v>
      </c>
      <c r="BG370">
        <v>1.4330359658521818E-15</v>
      </c>
      <c r="BI370">
        <v>49999.999999999971</v>
      </c>
      <c r="BJ370">
        <v>2.9961497802693835E-14</v>
      </c>
      <c r="BL370">
        <v>49999.999999999971</v>
      </c>
      <c r="BM370">
        <v>2.7161801490685991E-14</v>
      </c>
      <c r="BO370">
        <v>49999.999999999971</v>
      </c>
      <c r="BP370">
        <v>2.9805758034479875E-14</v>
      </c>
      <c r="BR370">
        <v>49999.999999999971</v>
      </c>
      <c r="BS370">
        <v>2.9662575865183829E-14</v>
      </c>
      <c r="BU370">
        <v>49999.999999999971</v>
      </c>
      <c r="BV370">
        <v>2.9893801307142599E-14</v>
      </c>
      <c r="BX370">
        <v>49999.999999999971</v>
      </c>
      <c r="BY370">
        <v>1.0009852009336627E-18</v>
      </c>
    </row>
    <row r="371" spans="13:77" x14ac:dyDescent="0.35">
      <c r="M371">
        <v>22000.000000012329</v>
      </c>
      <c r="N371">
        <v>7636.3636363513015</v>
      </c>
      <c r="P371">
        <v>21999.999999997308</v>
      </c>
      <c r="Q371">
        <v>7636.3636363608812</v>
      </c>
      <c r="S371">
        <v>22000.000000014174</v>
      </c>
      <c r="T371">
        <v>7636.363636342373</v>
      </c>
      <c r="V371">
        <v>21999.999999995052</v>
      </c>
      <c r="W371">
        <v>7636.36363636228</v>
      </c>
      <c r="Y371">
        <v>21999.999999994077</v>
      </c>
      <c r="Z371">
        <v>7636.3636363640362</v>
      </c>
      <c r="AB371">
        <v>21999.999999994856</v>
      </c>
      <c r="AC371">
        <v>7636.3636363626119</v>
      </c>
      <c r="AE371">
        <v>21999.999999994761</v>
      </c>
      <c r="AF371">
        <v>7636.3636363627829</v>
      </c>
      <c r="AH371">
        <v>21999.999999995369</v>
      </c>
      <c r="AI371">
        <v>7636.3636363617488</v>
      </c>
      <c r="AK371">
        <v>21999.999999733867</v>
      </c>
      <c r="AL371">
        <v>7636.3636365382381</v>
      </c>
      <c r="AZ371">
        <v>49999.999999999971</v>
      </c>
      <c r="BA371">
        <v>3.7649792413034278E-15</v>
      </c>
      <c r="BC371">
        <v>49999.999999999971</v>
      </c>
      <c r="BD371">
        <v>2.2184999833624602E-14</v>
      </c>
      <c r="BF371">
        <v>49999.999999999971</v>
      </c>
      <c r="BG371">
        <v>1.2827666116880694E-15</v>
      </c>
      <c r="BI371">
        <v>49999.999999999971</v>
      </c>
      <c r="BJ371">
        <v>2.6819709995628642E-14</v>
      </c>
      <c r="BL371">
        <v>49999.999999999971</v>
      </c>
      <c r="BM371">
        <v>2.4313592188756838E-14</v>
      </c>
      <c r="BO371">
        <v>49999.999999999971</v>
      </c>
      <c r="BP371">
        <v>2.6680301230226088E-14</v>
      </c>
      <c r="BR371">
        <v>49999.999999999971</v>
      </c>
      <c r="BS371">
        <v>2.6552133263378996E-14</v>
      </c>
      <c r="BU371">
        <v>49999.999999999971</v>
      </c>
      <c r="BV371">
        <v>2.6759112211420361E-14</v>
      </c>
      <c r="BX371">
        <v>49999.999999999971</v>
      </c>
      <c r="BY371">
        <v>8.9602105261049949E-19</v>
      </c>
    </row>
    <row r="372" spans="13:77" x14ac:dyDescent="0.35">
      <c r="M372">
        <v>22000.000000013297</v>
      </c>
      <c r="N372">
        <v>7636.3636363524338</v>
      </c>
      <c r="P372">
        <v>21999.99999999837</v>
      </c>
      <c r="Q372">
        <v>7636.363636360692</v>
      </c>
      <c r="S372">
        <v>22000.000000016942</v>
      </c>
      <c r="T372">
        <v>7636.363636343749</v>
      </c>
      <c r="V372">
        <v>21999.99999999614</v>
      </c>
      <c r="W372">
        <v>7636.3636363618925</v>
      </c>
      <c r="Y372">
        <v>21999.999999994907</v>
      </c>
      <c r="Z372">
        <v>7636.3636363635505</v>
      </c>
      <c r="AB372">
        <v>21999.999999995896</v>
      </c>
      <c r="AC372">
        <v>7636.3636363622054</v>
      </c>
      <c r="AE372">
        <v>21999.999999995776</v>
      </c>
      <c r="AF372">
        <v>7636.3636363623664</v>
      </c>
      <c r="AH372">
        <v>21999.999999996529</v>
      </c>
      <c r="AI372">
        <v>7636.3636363613923</v>
      </c>
      <c r="AK372">
        <v>21999.999999734431</v>
      </c>
      <c r="AL372">
        <v>7636.363636514774</v>
      </c>
      <c r="AZ372">
        <v>49999.999999999971</v>
      </c>
      <c r="BA372">
        <v>3.37018035801405E-15</v>
      </c>
      <c r="BC372">
        <v>49999.999999999971</v>
      </c>
      <c r="BD372">
        <v>1.9858662130615696E-14</v>
      </c>
      <c r="BF372">
        <v>49999.999999999971</v>
      </c>
      <c r="BG372">
        <v>1.148254628126635E-15</v>
      </c>
      <c r="BI372">
        <v>49999.999999999971</v>
      </c>
      <c r="BJ372">
        <v>2.4007372694997612E-14</v>
      </c>
      <c r="BL372">
        <v>49999.999999999971</v>
      </c>
      <c r="BM372">
        <v>2.1764048504805107E-14</v>
      </c>
      <c r="BO372">
        <v>49999.999999999971</v>
      </c>
      <c r="BP372">
        <v>2.3882582449744619E-14</v>
      </c>
      <c r="BR372">
        <v>49999.999999999971</v>
      </c>
      <c r="BS372">
        <v>2.3767854283475867E-14</v>
      </c>
      <c r="BU372">
        <v>49999.999999999971</v>
      </c>
      <c r="BV372">
        <v>2.3953129245302729E-14</v>
      </c>
      <c r="BX372">
        <v>49999.999999999971</v>
      </c>
      <c r="BY372">
        <v>8.0206353297967912E-19</v>
      </c>
    </row>
    <row r="373" spans="13:77" x14ac:dyDescent="0.35">
      <c r="M373">
        <v>22000.00000001385</v>
      </c>
      <c r="N373">
        <v>7636.3636363536325</v>
      </c>
      <c r="P373">
        <v>21999.999999999312</v>
      </c>
      <c r="Q373">
        <v>7636.363636360591</v>
      </c>
      <c r="S373">
        <v>22000.000000018958</v>
      </c>
      <c r="T373">
        <v>7636.3636363453361</v>
      </c>
      <c r="V373">
        <v>21999.999999997148</v>
      </c>
      <c r="W373">
        <v>7636.3636363615979</v>
      </c>
      <c r="Y373">
        <v>21999.999999995718</v>
      </c>
      <c r="Z373">
        <v>7636.3636363631376</v>
      </c>
      <c r="AB373">
        <v>21999.999999996871</v>
      </c>
      <c r="AC373">
        <v>7636.3636363618871</v>
      </c>
      <c r="AE373">
        <v>21999.999999996729</v>
      </c>
      <c r="AF373">
        <v>7636.3636363620371</v>
      </c>
      <c r="AH373">
        <v>21999.999999997595</v>
      </c>
      <c r="AI373">
        <v>7636.363636361134</v>
      </c>
      <c r="AK373">
        <v>21999.999999740397</v>
      </c>
      <c r="AL373">
        <v>7636.3636364916038</v>
      </c>
      <c r="AZ373">
        <v>49999.999999999971</v>
      </c>
      <c r="BA373">
        <v>3.0167804169915038E-15</v>
      </c>
      <c r="BC373">
        <v>49999.999999999971</v>
      </c>
      <c r="BD373">
        <v>1.777626615170085E-14</v>
      </c>
      <c r="BF373">
        <v>49999.999999999971</v>
      </c>
      <c r="BG373">
        <v>1.0278476840609054E-15</v>
      </c>
      <c r="BI373">
        <v>49999.999999999971</v>
      </c>
      <c r="BJ373">
        <v>2.1489939444179565E-14</v>
      </c>
      <c r="BL373">
        <v>49999.999999999971</v>
      </c>
      <c r="BM373">
        <v>1.9481852111451759E-14</v>
      </c>
      <c r="BO373">
        <v>49999.999999999971</v>
      </c>
      <c r="BP373">
        <v>2.1378234808783542E-14</v>
      </c>
      <c r="BR373">
        <v>49999.999999999971</v>
      </c>
      <c r="BS373">
        <v>2.1275537134324105E-14</v>
      </c>
      <c r="BU373">
        <v>49999.999999999971</v>
      </c>
      <c r="BV373">
        <v>2.1441384008147644E-14</v>
      </c>
      <c r="BX373">
        <v>49999.999999999971</v>
      </c>
      <c r="BY373">
        <v>7.1795847771836902E-19</v>
      </c>
    </row>
    <row r="374" spans="13:77" x14ac:dyDescent="0.35">
      <c r="M374">
        <v>22000.000000014035</v>
      </c>
      <c r="N374">
        <v>7636.363636354863</v>
      </c>
      <c r="P374">
        <v>22000.000000000131</v>
      </c>
      <c r="Q374">
        <v>7636.3636363605674</v>
      </c>
      <c r="S374">
        <v>22000.000000020289</v>
      </c>
      <c r="T374">
        <v>7636.3636363470696</v>
      </c>
      <c r="V374">
        <v>21999.999999998068</v>
      </c>
      <c r="W374">
        <v>7636.3636363613878</v>
      </c>
      <c r="Y374">
        <v>21999.9999999965</v>
      </c>
      <c r="Z374">
        <v>7636.3636363627948</v>
      </c>
      <c r="AB374">
        <v>21999.999999997766</v>
      </c>
      <c r="AC374">
        <v>7636.3636363616515</v>
      </c>
      <c r="AE374">
        <v>21999.999999997613</v>
      </c>
      <c r="AF374">
        <v>7636.3636363617888</v>
      </c>
      <c r="AH374">
        <v>21999.999999998556</v>
      </c>
      <c r="AI374">
        <v>7636.3636363609648</v>
      </c>
      <c r="AK374">
        <v>21999.999999750857</v>
      </c>
      <c r="AL374">
        <v>7636.3636364691638</v>
      </c>
      <c r="AZ374">
        <v>49999.999999999971</v>
      </c>
      <c r="BA374">
        <v>2.7004382904024659E-15</v>
      </c>
      <c r="BC374">
        <v>49999.999999999971</v>
      </c>
      <c r="BD374">
        <v>1.5912231962944837E-14</v>
      </c>
      <c r="BF374">
        <v>49999.999999999971</v>
      </c>
      <c r="BG374">
        <v>9.2006671321062955E-16</v>
      </c>
      <c r="BI374">
        <v>49999.999999999971</v>
      </c>
      <c r="BJ374">
        <v>1.923648635699037E-14</v>
      </c>
      <c r="BL374">
        <v>49999.999999999971</v>
      </c>
      <c r="BM374">
        <v>1.7438968747413023E-14</v>
      </c>
      <c r="BO374">
        <v>49999.999999999971</v>
      </c>
      <c r="BP374">
        <v>1.9136495163418618E-14</v>
      </c>
      <c r="BR374">
        <v>49999.999999999971</v>
      </c>
      <c r="BS374">
        <v>1.9044566453299862E-14</v>
      </c>
      <c r="BU374">
        <v>49999.999999999971</v>
      </c>
      <c r="BV374">
        <v>1.9193022484734614E-14</v>
      </c>
      <c r="BX374">
        <v>49999.999999999971</v>
      </c>
      <c r="BY374">
        <v>6.4267274914334922E-19</v>
      </c>
    </row>
    <row r="375" spans="13:77" x14ac:dyDescent="0.35">
      <c r="M375">
        <v>22000.000000013904</v>
      </c>
      <c r="N375">
        <v>7636.3636363560954</v>
      </c>
      <c r="P375">
        <v>22000.000000000829</v>
      </c>
      <c r="Q375">
        <v>7636.3636363606101</v>
      </c>
      <c r="S375">
        <v>22000.000000021009</v>
      </c>
      <c r="T375">
        <v>7636.3636363488931</v>
      </c>
      <c r="V375">
        <v>21999.999999998894</v>
      </c>
      <c r="W375">
        <v>7636.363636361255</v>
      </c>
      <c r="Y375">
        <v>21999.999999997242</v>
      </c>
      <c r="Z375">
        <v>7636.3636363625192</v>
      </c>
      <c r="AB375">
        <v>21999.999999998578</v>
      </c>
      <c r="AC375">
        <v>7636.3636363614914</v>
      </c>
      <c r="AE375">
        <v>21999.999999998417</v>
      </c>
      <c r="AF375">
        <v>7636.3636363616142</v>
      </c>
      <c r="AH375">
        <v>21999.999999999407</v>
      </c>
      <c r="AI375">
        <v>7636.3636363608757</v>
      </c>
      <c r="AK375">
        <v>21999.999999764939</v>
      </c>
      <c r="AL375">
        <v>7636.3636364478116</v>
      </c>
      <c r="AZ375">
        <v>49999.999999999971</v>
      </c>
      <c r="BA375">
        <v>2.4172680647218381E-15</v>
      </c>
      <c r="BC375">
        <v>49999.999999999971</v>
      </c>
      <c r="BD375">
        <v>1.4243661963754802E-14</v>
      </c>
      <c r="BF375">
        <v>49999.999999999971</v>
      </c>
      <c r="BG375">
        <v>8.2358774542712287E-16</v>
      </c>
      <c r="BI375">
        <v>49999.999999999971</v>
      </c>
      <c r="BJ375">
        <v>1.7219332251906399E-14</v>
      </c>
      <c r="BL375">
        <v>49999.999999999971</v>
      </c>
      <c r="BM375">
        <v>1.5610303847573233E-14</v>
      </c>
      <c r="BO375">
        <v>49999.999999999971</v>
      </c>
      <c r="BP375">
        <v>1.7129826218817824E-14</v>
      </c>
      <c r="BR375">
        <v>49999.999999999971</v>
      </c>
      <c r="BS375">
        <v>1.704753723040031E-14</v>
      </c>
      <c r="BU375">
        <v>49999.999999999971</v>
      </c>
      <c r="BV375">
        <v>1.7180426037775754E-14</v>
      </c>
      <c r="BX375">
        <v>49999.999999999971</v>
      </c>
      <c r="BY375">
        <v>5.752815452560021E-19</v>
      </c>
    </row>
    <row r="376" spans="13:77" x14ac:dyDescent="0.35">
      <c r="M376">
        <v>22000.000000013504</v>
      </c>
      <c r="N376">
        <v>7636.3636363573041</v>
      </c>
      <c r="P376">
        <v>22000.000000001408</v>
      </c>
      <c r="Q376">
        <v>7636.3636363607093</v>
      </c>
      <c r="S376">
        <v>22000.000000021188</v>
      </c>
      <c r="T376">
        <v>7636.3636363507558</v>
      </c>
      <c r="V376">
        <v>21999.999999999622</v>
      </c>
      <c r="W376">
        <v>7636.3636363611904</v>
      </c>
      <c r="Y376">
        <v>21999.999999997934</v>
      </c>
      <c r="Z376">
        <v>7636.3636363623073</v>
      </c>
      <c r="AB376">
        <v>21999.999999999302</v>
      </c>
      <c r="AC376">
        <v>7636.3636363613987</v>
      </c>
      <c r="AE376">
        <v>21999.999999999138</v>
      </c>
      <c r="AF376">
        <v>7636.3636363615069</v>
      </c>
      <c r="AH376">
        <v>22000.000000000146</v>
      </c>
      <c r="AI376">
        <v>7636.3636363608566</v>
      </c>
      <c r="AK376">
        <v>21999.999999781827</v>
      </c>
      <c r="AL376">
        <v>7636.3636364278291</v>
      </c>
      <c r="AZ376">
        <v>49999.999999999971</v>
      </c>
      <c r="BA376">
        <v>2.1637913065783144E-15</v>
      </c>
      <c r="BC376">
        <v>49999.999999999971</v>
      </c>
      <c r="BD376">
        <v>1.2750059615154608E-14</v>
      </c>
      <c r="BF376">
        <v>49999.999999999971</v>
      </c>
      <c r="BG376">
        <v>7.37225643182735E-16</v>
      </c>
      <c r="BI376">
        <v>49999.999999999971</v>
      </c>
      <c r="BJ376">
        <v>1.5413698619332132E-14</v>
      </c>
      <c r="BL376">
        <v>49999.999999999971</v>
      </c>
      <c r="BM376">
        <v>1.3973394283977287E-14</v>
      </c>
      <c r="BO376">
        <v>49999.999999999971</v>
      </c>
      <c r="BP376">
        <v>1.5333578263998E-14</v>
      </c>
      <c r="BR376">
        <v>49999.999999999971</v>
      </c>
      <c r="BS376">
        <v>1.5259918167973262E-14</v>
      </c>
      <c r="BU376">
        <v>49999.999999999971</v>
      </c>
      <c r="BV376">
        <v>1.5378872143470238E-14</v>
      </c>
      <c r="BX376">
        <v>49999.999999999971</v>
      </c>
      <c r="BY376">
        <v>5.1495703957149569E-19</v>
      </c>
    </row>
    <row r="377" spans="13:77" x14ac:dyDescent="0.35">
      <c r="M377">
        <v>22000.000000012886</v>
      </c>
      <c r="N377">
        <v>7636.3636363584683</v>
      </c>
      <c r="P377">
        <v>22000.000000001874</v>
      </c>
      <c r="Q377">
        <v>7636.3636363608548</v>
      </c>
      <c r="S377">
        <v>22000.000000020904</v>
      </c>
      <c r="T377">
        <v>7636.363636352613</v>
      </c>
      <c r="V377">
        <v>22000.000000000251</v>
      </c>
      <c r="W377">
        <v>7636.3636363611859</v>
      </c>
      <c r="Y377">
        <v>21999.999999998567</v>
      </c>
      <c r="Z377">
        <v>7636.3636363621536</v>
      </c>
      <c r="AB377">
        <v>21999.999999999935</v>
      </c>
      <c r="AC377">
        <v>7636.3636363613659</v>
      </c>
      <c r="AE377">
        <v>21999.999999999771</v>
      </c>
      <c r="AF377">
        <v>7636.3636363614596</v>
      </c>
      <c r="AH377">
        <v>22000.000000000775</v>
      </c>
      <c r="AI377">
        <v>7636.3636363608975</v>
      </c>
      <c r="AK377">
        <v>21999.999999800759</v>
      </c>
      <c r="AL377">
        <v>7636.36363640943</v>
      </c>
      <c r="AZ377">
        <v>49999.999999999971</v>
      </c>
      <c r="BA377">
        <v>1.9368943340434436E-15</v>
      </c>
      <c r="BC377">
        <v>49999.999999999971</v>
      </c>
      <c r="BD377">
        <v>1.1413077662448443E-14</v>
      </c>
      <c r="BF377">
        <v>49999.999999999971</v>
      </c>
      <c r="BG377">
        <v>6.5991954346568207E-16</v>
      </c>
      <c r="BI377">
        <v>49999.999999999971</v>
      </c>
      <c r="BJ377">
        <v>1.3797405244985497E-14</v>
      </c>
      <c r="BL377">
        <v>49999.999999999971</v>
      </c>
      <c r="BM377">
        <v>1.2508132431121349E-14</v>
      </c>
      <c r="BO377">
        <v>49999.999999999971</v>
      </c>
      <c r="BP377">
        <v>1.3725686377358828E-14</v>
      </c>
      <c r="BR377">
        <v>49999.999999999971</v>
      </c>
      <c r="BS377">
        <v>1.3659750340828105E-14</v>
      </c>
      <c r="BU377">
        <v>49999.999999999971</v>
      </c>
      <c r="BV377">
        <v>1.3766230702613261E-14</v>
      </c>
      <c r="BX377">
        <v>49999.999999999971</v>
      </c>
      <c r="BY377">
        <v>4.6095821218501406E-19</v>
      </c>
    </row>
    <row r="378" spans="13:77" x14ac:dyDescent="0.35">
      <c r="M378">
        <v>22000.000000012089</v>
      </c>
      <c r="N378">
        <v>7636.3636363595697</v>
      </c>
      <c r="P378">
        <v>22000.000000002234</v>
      </c>
      <c r="Q378">
        <v>7636.3636363610367</v>
      </c>
      <c r="S378">
        <v>22000.000000020231</v>
      </c>
      <c r="T378">
        <v>7636.3636363544274</v>
      </c>
      <c r="V378">
        <v>22000.000000000786</v>
      </c>
      <c r="W378">
        <v>7636.3636363612322</v>
      </c>
      <c r="Y378">
        <v>21999.999999999138</v>
      </c>
      <c r="Z378">
        <v>7636.3636363620526</v>
      </c>
      <c r="AB378">
        <v>22000.000000000477</v>
      </c>
      <c r="AC378">
        <v>7636.363636361385</v>
      </c>
      <c r="AE378">
        <v>22000.000000000317</v>
      </c>
      <c r="AF378">
        <v>7636.3636363614642</v>
      </c>
      <c r="AH378">
        <v>22000.000000001295</v>
      </c>
      <c r="AI378">
        <v>7636.3636363609894</v>
      </c>
      <c r="AK378">
        <v>21999.999999821051</v>
      </c>
      <c r="AL378">
        <v>7636.3636363927635</v>
      </c>
      <c r="AZ378">
        <v>49999.999999999971</v>
      </c>
      <c r="BA378">
        <v>1.7337899684891883E-15</v>
      </c>
      <c r="BC378">
        <v>49999.999999999971</v>
      </c>
      <c r="BD378">
        <v>1.0216292759467235E-14</v>
      </c>
      <c r="BF378">
        <v>49999.999999999971</v>
      </c>
      <c r="BG378">
        <v>5.9071982625000621E-16</v>
      </c>
      <c r="BI378">
        <v>49999.999999999971</v>
      </c>
      <c r="BJ378">
        <v>1.2350597750470475E-14</v>
      </c>
      <c r="BL378">
        <v>49999.999999999971</v>
      </c>
      <c r="BM378">
        <v>1.1196519165988773E-14</v>
      </c>
      <c r="BO378">
        <v>49999.999999999971</v>
      </c>
      <c r="BP378">
        <v>1.2286399383498676E-14</v>
      </c>
      <c r="BR378">
        <v>49999.999999999971</v>
      </c>
      <c r="BS378">
        <v>1.2227377455100417E-14</v>
      </c>
      <c r="BU378">
        <v>49999.999999999971</v>
      </c>
      <c r="BV378">
        <v>1.2322692196777007E-14</v>
      </c>
      <c r="BX378">
        <v>49999.999999999971</v>
      </c>
      <c r="BY378">
        <v>4.1262174716091781E-19</v>
      </c>
    </row>
    <row r="379" spans="13:77" x14ac:dyDescent="0.35">
      <c r="M379">
        <v>22000.000000011158</v>
      </c>
      <c r="N379">
        <v>7636.3636363605947</v>
      </c>
      <c r="P379">
        <v>22000.000000002496</v>
      </c>
      <c r="Q379">
        <v>7636.3636363612459</v>
      </c>
      <c r="S379">
        <v>22000.000000019238</v>
      </c>
      <c r="T379">
        <v>7636.3636363561682</v>
      </c>
      <c r="V379">
        <v>22000.000000001226</v>
      </c>
      <c r="W379">
        <v>7636.3636363613214</v>
      </c>
      <c r="Y379">
        <v>21999.999999999643</v>
      </c>
      <c r="Z379">
        <v>7636.3636363619989</v>
      </c>
      <c r="AB379">
        <v>22000.000000000928</v>
      </c>
      <c r="AC379">
        <v>7636.3636363614478</v>
      </c>
      <c r="AE379">
        <v>22000.000000000775</v>
      </c>
      <c r="AF379">
        <v>7636.3636363615133</v>
      </c>
      <c r="AH379">
        <v>22000.000000001713</v>
      </c>
      <c r="AI379">
        <v>7636.3636363611222</v>
      </c>
      <c r="AK379">
        <v>21999.999999842086</v>
      </c>
      <c r="AL379">
        <v>7636.3636363779215</v>
      </c>
      <c r="AZ379">
        <v>49999.999999999971</v>
      </c>
      <c r="BA379">
        <v>1.5519832971777989E-15</v>
      </c>
      <c r="BC379">
        <v>49999.999999999971</v>
      </c>
      <c r="BD379">
        <v>9.1450037259057451E-15</v>
      </c>
      <c r="BF379">
        <v>49999.999999999971</v>
      </c>
      <c r="BG379">
        <v>5.2877644946271239E-16</v>
      </c>
      <c r="BI379">
        <v>49999.999999999971</v>
      </c>
      <c r="BJ379">
        <v>1.1055503704173959E-14</v>
      </c>
      <c r="BL379">
        <v>49999.999999999971</v>
      </c>
      <c r="BM379">
        <v>1.0022442768709578E-14</v>
      </c>
      <c r="BO379">
        <v>49999.999999999971</v>
      </c>
      <c r="BP379">
        <v>1.0998037231846203E-14</v>
      </c>
      <c r="BR379">
        <v>49999.999999999971</v>
      </c>
      <c r="BS379">
        <v>1.0945204392398447E-14</v>
      </c>
      <c r="BU379">
        <v>49999.999999999971</v>
      </c>
      <c r="BV379">
        <v>1.1030524350262654E-14</v>
      </c>
      <c r="BX379">
        <v>49999.999999999971</v>
      </c>
      <c r="BY379">
        <v>3.6935388442931725E-19</v>
      </c>
    </row>
    <row r="380" spans="13:77" x14ac:dyDescent="0.35">
      <c r="M380">
        <v>22000.000000010132</v>
      </c>
      <c r="N380">
        <v>7636.3636363615333</v>
      </c>
      <c r="P380">
        <v>22000.000000002667</v>
      </c>
      <c r="Q380">
        <v>7636.3636363614742</v>
      </c>
      <c r="S380">
        <v>22000.00000001799</v>
      </c>
      <c r="T380">
        <v>7636.3636363578098</v>
      </c>
      <c r="V380">
        <v>22000.000000001575</v>
      </c>
      <c r="W380">
        <v>7636.3636363614451</v>
      </c>
      <c r="Y380">
        <v>22000.000000000084</v>
      </c>
      <c r="Z380">
        <v>7636.3636363619871</v>
      </c>
      <c r="AB380">
        <v>22000.000000001295</v>
      </c>
      <c r="AC380">
        <v>7636.363636361546</v>
      </c>
      <c r="AE380">
        <v>22000.00000000115</v>
      </c>
      <c r="AF380">
        <v>7636.3636363615988</v>
      </c>
      <c r="AH380">
        <v>22000.000000002034</v>
      </c>
      <c r="AI380">
        <v>7636.3636363612877</v>
      </c>
      <c r="AK380">
        <v>21999.999999863317</v>
      </c>
      <c r="AL380">
        <v>7636.3636363649448</v>
      </c>
      <c r="AZ380">
        <v>49999.999999999971</v>
      </c>
      <c r="BA380">
        <v>1.3892410260152522E-15</v>
      </c>
      <c r="BC380">
        <v>49999.999999999971</v>
      </c>
      <c r="BD380">
        <v>8.1860509595646328E-15</v>
      </c>
      <c r="BF380">
        <v>49999.999999999971</v>
      </c>
      <c r="BG380">
        <v>4.7332850715604285E-16</v>
      </c>
      <c r="BI380">
        <v>49999.999999999971</v>
      </c>
      <c r="BJ380">
        <v>9.8962143065786589E-15</v>
      </c>
      <c r="BL380">
        <v>49999.999999999971</v>
      </c>
      <c r="BM380">
        <v>8.9714810078823425E-15</v>
      </c>
      <c r="BO380">
        <v>49999.999999999971</v>
      </c>
      <c r="BP380">
        <v>9.8447738167723166E-15</v>
      </c>
      <c r="BR380">
        <v>49999.999999999971</v>
      </c>
      <c r="BS380">
        <v>9.7974810732130468E-15</v>
      </c>
      <c r="BU380">
        <v>49999.999999999971</v>
      </c>
      <c r="BV380">
        <v>9.8738543086843253E-15</v>
      </c>
      <c r="BX380">
        <v>49999.999999999971</v>
      </c>
      <c r="BY380">
        <v>3.3062312609960982E-19</v>
      </c>
    </row>
    <row r="381" spans="13:77" x14ac:dyDescent="0.35">
      <c r="M381">
        <v>22000.000000009048</v>
      </c>
      <c r="N381">
        <v>7636.3636363623782</v>
      </c>
      <c r="P381">
        <v>22000.000000002758</v>
      </c>
      <c r="Q381">
        <v>7636.3636363617134</v>
      </c>
      <c r="S381">
        <v>22000.000000016553</v>
      </c>
      <c r="T381">
        <v>7636.3636363593323</v>
      </c>
      <c r="V381">
        <v>22000.000000001844</v>
      </c>
      <c r="W381">
        <v>7636.363636361596</v>
      </c>
      <c r="Y381">
        <v>22000.000000000455</v>
      </c>
      <c r="Z381">
        <v>7636.3636363620117</v>
      </c>
      <c r="AB381">
        <v>22000.000000001583</v>
      </c>
      <c r="AC381">
        <v>7636.3636363616733</v>
      </c>
      <c r="AE381">
        <v>22000.000000001448</v>
      </c>
      <c r="AF381">
        <v>7636.3636363617134</v>
      </c>
      <c r="AH381">
        <v>22000.000000002266</v>
      </c>
      <c r="AI381">
        <v>7636.3636363614778</v>
      </c>
      <c r="AK381">
        <v>21999.999999884283</v>
      </c>
      <c r="AL381">
        <v>7636.3636363538299</v>
      </c>
      <c r="AZ381">
        <v>49999.999999999971</v>
      </c>
      <c r="BA381">
        <v>1.2435640460006873E-15</v>
      </c>
      <c r="BC381">
        <v>49999.999999999971</v>
      </c>
      <c r="BD381">
        <v>7.3276547851763788E-15</v>
      </c>
      <c r="BF381">
        <v>49999.999999999971</v>
      </c>
      <c r="BG381">
        <v>4.2369488261856993E-16</v>
      </c>
      <c r="BI381">
        <v>49999.999999999971</v>
      </c>
      <c r="BJ381">
        <v>8.8584889682373458E-15</v>
      </c>
      <c r="BL381">
        <v>49999.999999999971</v>
      </c>
      <c r="BM381">
        <v>8.0307239793953544E-15</v>
      </c>
      <c r="BO381">
        <v>49999.999999999971</v>
      </c>
      <c r="BP381">
        <v>8.8124425713674553E-15</v>
      </c>
      <c r="BR381">
        <v>49999.999999999971</v>
      </c>
      <c r="BS381">
        <v>8.7701089845918578E-15</v>
      </c>
      <c r="BU381">
        <v>49999.999999999971</v>
      </c>
      <c r="BV381">
        <v>8.8384736584895479E-15</v>
      </c>
      <c r="BX381">
        <v>49999.999999999971</v>
      </c>
      <c r="BY381">
        <v>2.9595370759610169E-19</v>
      </c>
    </row>
    <row r="382" spans="13:77" x14ac:dyDescent="0.35">
      <c r="M382">
        <v>22000.000000007934</v>
      </c>
      <c r="N382">
        <v>7636.3636363631267</v>
      </c>
      <c r="P382">
        <v>22000.000000002779</v>
      </c>
      <c r="Q382">
        <v>7636.363636361958</v>
      </c>
      <c r="S382">
        <v>22000.000000014985</v>
      </c>
      <c r="T382">
        <v>7636.363636360722</v>
      </c>
      <c r="V382">
        <v>22000.000000002034</v>
      </c>
      <c r="W382">
        <v>7636.363636361767</v>
      </c>
      <c r="Y382">
        <v>22000.000000000764</v>
      </c>
      <c r="Z382">
        <v>7636.3636363620653</v>
      </c>
      <c r="AB382">
        <v>22000.000000001797</v>
      </c>
      <c r="AC382">
        <v>7636.3636363618225</v>
      </c>
      <c r="AE382">
        <v>22000.000000001673</v>
      </c>
      <c r="AF382">
        <v>7636.3636363618516</v>
      </c>
      <c r="AH382">
        <v>22000.000000002419</v>
      </c>
      <c r="AI382">
        <v>7636.3636363616843</v>
      </c>
      <c r="AK382">
        <v>21999.999999904587</v>
      </c>
      <c r="AL382">
        <v>7636.3636363445357</v>
      </c>
      <c r="AZ382">
        <v>49999.999999999971</v>
      </c>
      <c r="BA382">
        <v>1.1131628763809783E-15</v>
      </c>
      <c r="BC382">
        <v>49999.999999999971</v>
      </c>
      <c r="BD382">
        <v>6.5592707541090081E-15</v>
      </c>
      <c r="BF382">
        <v>49999.999999999971</v>
      </c>
      <c r="BG382">
        <v>3.7926588160890558E-16</v>
      </c>
      <c r="BI382">
        <v>49999.999999999971</v>
      </c>
      <c r="BJ382">
        <v>7.9295803798647282E-15</v>
      </c>
      <c r="BL382">
        <v>49999.999999999971</v>
      </c>
      <c r="BM382">
        <v>7.1886155225176784E-15</v>
      </c>
      <c r="BO382">
        <v>49999.999999999971</v>
      </c>
      <c r="BP382">
        <v>7.8883624468185695E-15</v>
      </c>
      <c r="BR382">
        <v>49999.999999999971</v>
      </c>
      <c r="BS382">
        <v>7.8504679954839562E-15</v>
      </c>
      <c r="BU382">
        <v>49999.999999999971</v>
      </c>
      <c r="BV382">
        <v>7.9116638922964606E-15</v>
      </c>
      <c r="BX382">
        <v>49999.999999999971</v>
      </c>
      <c r="BY382">
        <v>2.6491975341582807E-19</v>
      </c>
    </row>
    <row r="383" spans="13:77" x14ac:dyDescent="0.35">
      <c r="M383">
        <v>22000.000000006818</v>
      </c>
      <c r="N383">
        <v>7636.3636363637761</v>
      </c>
      <c r="P383">
        <v>22000.000000002739</v>
      </c>
      <c r="Q383">
        <v>7636.3636363622018</v>
      </c>
      <c r="S383">
        <v>22000.000000013333</v>
      </c>
      <c r="T383">
        <v>7636.3636363619698</v>
      </c>
      <c r="V383">
        <v>22000.000000002154</v>
      </c>
      <c r="W383">
        <v>7636.3636363619516</v>
      </c>
      <c r="Y383">
        <v>22000.000000001011</v>
      </c>
      <c r="Z383">
        <v>7636.3636363621436</v>
      </c>
      <c r="AB383">
        <v>22000.000000001943</v>
      </c>
      <c r="AC383">
        <v>7636.363636361988</v>
      </c>
      <c r="AE383">
        <v>22000.00000000183</v>
      </c>
      <c r="AF383">
        <v>7636.3636363620062</v>
      </c>
      <c r="AH383">
        <v>22000.000000002499</v>
      </c>
      <c r="AI383">
        <v>7636.3636363619016</v>
      </c>
      <c r="AK383">
        <v>21999.999999923904</v>
      </c>
      <c r="AL383">
        <v>7636.3636363369887</v>
      </c>
      <c r="AZ383">
        <v>49999.999999999971</v>
      </c>
      <c r="BA383">
        <v>9.9643568285673026E-16</v>
      </c>
      <c r="BC383">
        <v>49999.999999999971</v>
      </c>
      <c r="BD383">
        <v>5.871460117464329E-15</v>
      </c>
      <c r="BF383">
        <v>49999.999999999971</v>
      </c>
      <c r="BG383">
        <v>3.3949574293554605E-16</v>
      </c>
      <c r="BI383">
        <v>49999.999999999971</v>
      </c>
      <c r="BJ383">
        <v>7.0980779257263223E-15</v>
      </c>
      <c r="BL383">
        <v>49999.999999999971</v>
      </c>
      <c r="BM383">
        <v>6.4348112652320165E-15</v>
      </c>
      <c r="BO383">
        <v>49999.999999999971</v>
      </c>
      <c r="BP383">
        <v>7.0611821397346813E-15</v>
      </c>
      <c r="BR383">
        <v>49999.999999999971</v>
      </c>
      <c r="BS383">
        <v>7.0272613323728268E-15</v>
      </c>
      <c r="BU383">
        <v>49999.999999999971</v>
      </c>
      <c r="BV383">
        <v>7.0820401760822432E-15</v>
      </c>
      <c r="BX383">
        <v>49999.999999999971</v>
      </c>
      <c r="BY383">
        <v>2.3714004571851354E-19</v>
      </c>
    </row>
    <row r="384" spans="13:77" x14ac:dyDescent="0.35">
      <c r="M384">
        <v>22000.000000005723</v>
      </c>
      <c r="N384">
        <v>7636.3636363643282</v>
      </c>
      <c r="P384">
        <v>22000.000000002648</v>
      </c>
      <c r="Q384">
        <v>7636.3636363624391</v>
      </c>
      <c r="S384">
        <v>22000.000000011649</v>
      </c>
      <c r="T384">
        <v>7636.3636363630703</v>
      </c>
      <c r="V384">
        <v>22000.000000002212</v>
      </c>
      <c r="W384">
        <v>7636.3636363621445</v>
      </c>
      <c r="Y384">
        <v>22000.000000001204</v>
      </c>
      <c r="Z384">
        <v>7636.3636363622418</v>
      </c>
      <c r="AB384">
        <v>22000.000000002026</v>
      </c>
      <c r="AC384">
        <v>7636.3636363621636</v>
      </c>
      <c r="AE384">
        <v>22000.000000001928</v>
      </c>
      <c r="AF384">
        <v>7636.3636363621717</v>
      </c>
      <c r="AH384">
        <v>22000.000000002517</v>
      </c>
      <c r="AI384">
        <v>7636.3636363621226</v>
      </c>
      <c r="AK384">
        <v>21999.999999941982</v>
      </c>
      <c r="AL384">
        <v>7636.3636363310907</v>
      </c>
      <c r="AZ384">
        <v>49999.999999999971</v>
      </c>
      <c r="BA384">
        <v>8.9194860081764455E-16</v>
      </c>
      <c r="BC384">
        <v>49999.999999999971</v>
      </c>
      <c r="BD384">
        <v>5.2557738814758048E-15</v>
      </c>
      <c r="BF384">
        <v>49999.999999999971</v>
      </c>
      <c r="BG384">
        <v>3.0389593438360052E-16</v>
      </c>
      <c r="BI384">
        <v>49999.999999999971</v>
      </c>
      <c r="BJ384">
        <v>6.3537675168307927E-15</v>
      </c>
      <c r="BL384">
        <v>49999.999999999971</v>
      </c>
      <c r="BM384">
        <v>5.7600515550531076E-15</v>
      </c>
      <c r="BO384">
        <v>49999.999999999971</v>
      </c>
      <c r="BP384">
        <v>6.3207406539258406E-15</v>
      </c>
      <c r="BR384">
        <v>49999.999999999971</v>
      </c>
      <c r="BS384">
        <v>6.2903768108945778E-15</v>
      </c>
      <c r="BU384">
        <v>49999.999999999971</v>
      </c>
      <c r="BV384">
        <v>6.339411499075298E-15</v>
      </c>
      <c r="BX384">
        <v>49999.999999999971</v>
      </c>
      <c r="BY384">
        <v>2.1227334148658021E-19</v>
      </c>
    </row>
    <row r="385" spans="13:77" x14ac:dyDescent="0.35">
      <c r="M385">
        <v>22000.000000004671</v>
      </c>
      <c r="N385">
        <v>7636.3636363647856</v>
      </c>
      <c r="P385">
        <v>22000.000000002517</v>
      </c>
      <c r="Q385">
        <v>7636.3636363626665</v>
      </c>
      <c r="S385">
        <v>22000.000000009968</v>
      </c>
      <c r="T385">
        <v>7636.3636363640226</v>
      </c>
      <c r="V385">
        <v>22000.000000002216</v>
      </c>
      <c r="W385">
        <v>7636.36363636234</v>
      </c>
      <c r="Y385">
        <v>22000.000000001342</v>
      </c>
      <c r="Z385">
        <v>7636.3636363623546</v>
      </c>
      <c r="AB385">
        <v>22000.000000002055</v>
      </c>
      <c r="AC385">
        <v>7636.3636363623436</v>
      </c>
      <c r="AE385">
        <v>22000.000000001972</v>
      </c>
      <c r="AF385">
        <v>7636.3636363623436</v>
      </c>
      <c r="AH385">
        <v>22000.000000002481</v>
      </c>
      <c r="AI385">
        <v>7636.3636363623427</v>
      </c>
      <c r="AK385">
        <v>21999.999999958625</v>
      </c>
      <c r="AL385">
        <v>7636.3636363267233</v>
      </c>
      <c r="AZ385">
        <v>49999.999999999971</v>
      </c>
      <c r="BA385">
        <v>7.9841812189993906E-16</v>
      </c>
      <c r="BC385">
        <v>49999.999999999971</v>
      </c>
      <c r="BD385">
        <v>4.7046490209547211E-15</v>
      </c>
      <c r="BF385">
        <v>49999.999999999971</v>
      </c>
      <c r="BG385">
        <v>2.720291516362695E-16</v>
      </c>
      <c r="BI385">
        <v>49999.999999999971</v>
      </c>
      <c r="BJ385">
        <v>5.6875061221313901E-15</v>
      </c>
      <c r="BL385">
        <v>49999.999999999971</v>
      </c>
      <c r="BM385">
        <v>5.1560477144271673E-15</v>
      </c>
      <c r="BO385">
        <v>49999.999999999971</v>
      </c>
      <c r="BP385">
        <v>5.6579424837909682E-15</v>
      </c>
      <c r="BR385">
        <v>49999.999999999971</v>
      </c>
      <c r="BS385">
        <v>5.6307626188251372E-15</v>
      </c>
      <c r="BU385">
        <v>49999.999999999971</v>
      </c>
      <c r="BV385">
        <v>5.6746554884471208E-15</v>
      </c>
      <c r="BX385">
        <v>49999.999999999971</v>
      </c>
      <c r="BY385">
        <v>1.900141807316876E-19</v>
      </c>
    </row>
    <row r="386" spans="13:77" x14ac:dyDescent="0.35">
      <c r="M386">
        <v>22000.000000003674</v>
      </c>
      <c r="N386">
        <v>7636.3636363651531</v>
      </c>
      <c r="P386">
        <v>22000.000000002354</v>
      </c>
      <c r="Q386">
        <v>7636.3636363628812</v>
      </c>
      <c r="S386">
        <v>22000.000000008327</v>
      </c>
      <c r="T386">
        <v>7636.3636363648284</v>
      </c>
      <c r="V386">
        <v>22000.000000002176</v>
      </c>
      <c r="W386">
        <v>7636.3636363625337</v>
      </c>
      <c r="Y386">
        <v>22000.000000001433</v>
      </c>
      <c r="Z386">
        <v>7636.3636363624773</v>
      </c>
      <c r="AB386">
        <v>22000.000000002037</v>
      </c>
      <c r="AC386">
        <v>7636.3636363625246</v>
      </c>
      <c r="AE386">
        <v>22000.000000001968</v>
      </c>
      <c r="AF386">
        <v>7636.3636363625174</v>
      </c>
      <c r="AH386">
        <v>22000.000000002397</v>
      </c>
      <c r="AI386">
        <v>7636.3636363625583</v>
      </c>
      <c r="AK386">
        <v>21999.999999973701</v>
      </c>
      <c r="AL386">
        <v>7636.3636363237538</v>
      </c>
      <c r="AZ386">
        <v>49999.999999999971</v>
      </c>
      <c r="BA386">
        <v>7.1469532750414005E-16</v>
      </c>
      <c r="BC386">
        <v>49999.999999999971</v>
      </c>
      <c r="BD386">
        <v>4.2113155758814984E-15</v>
      </c>
      <c r="BF386">
        <v>49999.999999999971</v>
      </c>
      <c r="BG386">
        <v>2.4350394647445419E-16</v>
      </c>
      <c r="BI386">
        <v>49999.999999999971</v>
      </c>
      <c r="BJ386">
        <v>5.0911094564909141E-15</v>
      </c>
      <c r="BL386">
        <v>49999.999999999971</v>
      </c>
      <c r="BM386">
        <v>4.6153802234856044E-15</v>
      </c>
      <c r="BO386">
        <v>49999.999999999971</v>
      </c>
      <c r="BP386">
        <v>5.0646458860804104E-15</v>
      </c>
      <c r="BR386">
        <v>49999.999999999971</v>
      </c>
      <c r="BS386">
        <v>5.0403161245676732E-15</v>
      </c>
      <c r="BU386">
        <v>49999.999999999971</v>
      </c>
      <c r="BV386">
        <v>5.0796063510406531E-15</v>
      </c>
      <c r="BX386">
        <v>49999.999999999971</v>
      </c>
      <c r="BY386">
        <v>1.7008913425625327E-19</v>
      </c>
    </row>
    <row r="387" spans="13:77" x14ac:dyDescent="0.35">
      <c r="M387">
        <v>22000.000000002747</v>
      </c>
      <c r="N387">
        <v>7636.363636365435</v>
      </c>
      <c r="P387">
        <v>22000.000000002165</v>
      </c>
      <c r="Q387">
        <v>7636.3636363630803</v>
      </c>
      <c r="S387">
        <v>22000.000000006752</v>
      </c>
      <c r="T387">
        <v>7636.3636363654923</v>
      </c>
      <c r="V387">
        <v>22000.000000002095</v>
      </c>
      <c r="W387">
        <v>7636.363636362722</v>
      </c>
      <c r="Y387">
        <v>22000.000000001481</v>
      </c>
      <c r="Z387">
        <v>7636.3636363626056</v>
      </c>
      <c r="AB387">
        <v>22000.000000001979</v>
      </c>
      <c r="AC387">
        <v>7636.363636362702</v>
      </c>
      <c r="AE387">
        <v>22000.000000001924</v>
      </c>
      <c r="AF387">
        <v>7636.3636363626892</v>
      </c>
      <c r="AH387">
        <v>22000.000000002277</v>
      </c>
      <c r="AI387">
        <v>7636.3636363627647</v>
      </c>
      <c r="AK387">
        <v>21999.999999987125</v>
      </c>
      <c r="AL387">
        <v>7636.3636363220403</v>
      </c>
      <c r="AZ387">
        <v>49999.999999999971</v>
      </c>
      <c r="BA387">
        <v>6.397517755994323E-16</v>
      </c>
      <c r="BC387">
        <v>49999.999999999971</v>
      </c>
      <c r="BD387">
        <v>3.7697134899264155E-15</v>
      </c>
      <c r="BF387">
        <v>49999.999999999971</v>
      </c>
      <c r="BG387">
        <v>2.1796991826786329E-16</v>
      </c>
      <c r="BI387">
        <v>49999.999999999971</v>
      </c>
      <c r="BJ387">
        <v>4.5572514457809378E-15</v>
      </c>
      <c r="BL387">
        <v>49999.999999999971</v>
      </c>
      <c r="BM387">
        <v>4.1314075794406474E-15</v>
      </c>
      <c r="BO387">
        <v>49999.999999999971</v>
      </c>
      <c r="BP387">
        <v>4.5335628675752519E-15</v>
      </c>
      <c r="BR387">
        <v>49999.999999999971</v>
      </c>
      <c r="BS387">
        <v>4.5117843452753504E-15</v>
      </c>
      <c r="BU387">
        <v>49999.999999999971</v>
      </c>
      <c r="BV387">
        <v>4.5469545656230505E-15</v>
      </c>
      <c r="BX387">
        <v>49999.999999999971</v>
      </c>
      <c r="BY387">
        <v>1.522534448778496E-19</v>
      </c>
    </row>
    <row r="388" spans="13:77" x14ac:dyDescent="0.35">
      <c r="M388">
        <v>22000.000000001899</v>
      </c>
      <c r="N388">
        <v>7636.3636363656387</v>
      </c>
      <c r="P388">
        <v>22000.000000001957</v>
      </c>
      <c r="Q388">
        <v>7636.3636363632622</v>
      </c>
      <c r="S388">
        <v>22000.000000005268</v>
      </c>
      <c r="T388">
        <v>7636.3636363660207</v>
      </c>
      <c r="V388">
        <v>22000.000000001983</v>
      </c>
      <c r="W388">
        <v>7636.3636363629021</v>
      </c>
      <c r="Y388">
        <v>22000.000000001492</v>
      </c>
      <c r="Z388">
        <v>7636.3636363627365</v>
      </c>
      <c r="AB388">
        <v>22000.000000001888</v>
      </c>
      <c r="AC388">
        <v>7636.363636362873</v>
      </c>
      <c r="AE388">
        <v>22000.000000001848</v>
      </c>
      <c r="AF388">
        <v>7636.3636363628557</v>
      </c>
      <c r="AH388">
        <v>22000.000000002128</v>
      </c>
      <c r="AI388">
        <v>7636.3636363629585</v>
      </c>
      <c r="AK388">
        <v>21999.999999998861</v>
      </c>
      <c r="AL388">
        <v>7636.3636363214355</v>
      </c>
      <c r="AZ388">
        <v>49999.999999999971</v>
      </c>
      <c r="BA388">
        <v>5.7266686744955044E-16</v>
      </c>
      <c r="BC388">
        <v>49999.999999999971</v>
      </c>
      <c r="BD388">
        <v>3.3744181693528517E-15</v>
      </c>
      <c r="BF388">
        <v>49999.999999999971</v>
      </c>
      <c r="BG388">
        <v>1.9511340969039831E-16</v>
      </c>
      <c r="BI388">
        <v>49999.999999999971</v>
      </c>
      <c r="BJ388">
        <v>4.0793742341551078E-15</v>
      </c>
      <c r="BL388">
        <v>49999.999999999971</v>
      </c>
      <c r="BM388">
        <v>3.6981847130612398E-15</v>
      </c>
      <c r="BO388">
        <v>49999.999999999971</v>
      </c>
      <c r="BP388">
        <v>4.0581696601425175E-15</v>
      </c>
      <c r="BR388">
        <v>49999.999999999971</v>
      </c>
      <c r="BS388">
        <v>4.0386748519702713E-15</v>
      </c>
      <c r="BU388">
        <v>49999.999999999971</v>
      </c>
      <c r="BV388">
        <v>4.0701570934930189E-15</v>
      </c>
      <c r="BX388">
        <v>49999.999999999971</v>
      </c>
      <c r="BY388">
        <v>1.3628802085762948E-19</v>
      </c>
    </row>
    <row r="389" spans="13:77" x14ac:dyDescent="0.35">
      <c r="M389">
        <v>22000.000000001135</v>
      </c>
      <c r="N389">
        <v>7636.3636363657715</v>
      </c>
      <c r="P389">
        <v>22000.000000001739</v>
      </c>
      <c r="Q389">
        <v>7636.363636363425</v>
      </c>
      <c r="S389">
        <v>22000.000000003889</v>
      </c>
      <c r="T389">
        <v>7636.3636363664236</v>
      </c>
      <c r="V389">
        <v>22000.000000001844</v>
      </c>
      <c r="W389">
        <v>7636.3636363630712</v>
      </c>
      <c r="Y389">
        <v>22000.00000000147</v>
      </c>
      <c r="Z389">
        <v>7636.3636363628675</v>
      </c>
      <c r="AB389">
        <v>22000.000000001772</v>
      </c>
      <c r="AC389">
        <v>7636.3636363630339</v>
      </c>
      <c r="AE389">
        <v>22000.000000001743</v>
      </c>
      <c r="AF389">
        <v>7636.3636363630139</v>
      </c>
      <c r="AH389">
        <v>22000.000000001957</v>
      </c>
      <c r="AI389">
        <v>7636.3636363631385</v>
      </c>
      <c r="AK389">
        <v>22000.000000008913</v>
      </c>
      <c r="AL389">
        <v>7636.3636363217902</v>
      </c>
      <c r="AZ389">
        <v>49999.999999999971</v>
      </c>
      <c r="BA389">
        <v>5.1261653907439653E-16</v>
      </c>
      <c r="BC389">
        <v>49999.999999999971</v>
      </c>
      <c r="BD389">
        <v>3.0205738478764119E-15</v>
      </c>
      <c r="BF389">
        <v>49999.999999999971</v>
      </c>
      <c r="BG389">
        <v>1.7465365378643632E-16</v>
      </c>
      <c r="BI389">
        <v>49999.999999999971</v>
      </c>
      <c r="BJ389">
        <v>3.6516076280352999E-15</v>
      </c>
      <c r="BL389">
        <v>49999.999999999971</v>
      </c>
      <c r="BM389">
        <v>3.3103899600657458E-15</v>
      </c>
      <c r="BO389">
        <v>49999.999999999971</v>
      </c>
      <c r="BP389">
        <v>3.6326265834512277E-15</v>
      </c>
      <c r="BR389">
        <v>49999.999999999971</v>
      </c>
      <c r="BS389">
        <v>3.6151760172264294E-15</v>
      </c>
      <c r="BU389">
        <v>49999.999999999971</v>
      </c>
      <c r="BV389">
        <v>3.6433570044792262E-15</v>
      </c>
      <c r="BX389">
        <v>49999.999999999971</v>
      </c>
      <c r="BY389">
        <v>1.2199674460037078E-19</v>
      </c>
    </row>
    <row r="390" spans="13:77" x14ac:dyDescent="0.35">
      <c r="M390">
        <v>22000.000000000458</v>
      </c>
      <c r="N390">
        <v>7636.3636363658406</v>
      </c>
      <c r="P390">
        <v>22000.000000001517</v>
      </c>
      <c r="Q390">
        <v>7636.3636363635687</v>
      </c>
      <c r="S390">
        <v>22000.00000000263</v>
      </c>
      <c r="T390">
        <v>7636.3636363667101</v>
      </c>
      <c r="V390">
        <v>22000.000000001688</v>
      </c>
      <c r="W390">
        <v>7636.3636363632268</v>
      </c>
      <c r="Y390">
        <v>22000.000000001422</v>
      </c>
      <c r="Z390">
        <v>7636.3636363629948</v>
      </c>
      <c r="AB390">
        <v>22000.000000001637</v>
      </c>
      <c r="AC390">
        <v>7636.363636363184</v>
      </c>
      <c r="AE390">
        <v>22000.000000001615</v>
      </c>
      <c r="AF390">
        <v>7636.3636363631622</v>
      </c>
      <c r="AH390">
        <v>22000.000000001768</v>
      </c>
      <c r="AI390">
        <v>7636.3636363633032</v>
      </c>
      <c r="AK390">
        <v>22000.000000017317</v>
      </c>
      <c r="AL390">
        <v>7636.3636363229571</v>
      </c>
      <c r="AZ390">
        <v>49999.999999999971</v>
      </c>
      <c r="BA390">
        <v>4.5886313853448444E-16</v>
      </c>
      <c r="BC390">
        <v>49999.999999999971</v>
      </c>
      <c r="BD390">
        <v>2.7038339389408561E-15</v>
      </c>
      <c r="BF390">
        <v>49999.999999999971</v>
      </c>
      <c r="BG390">
        <v>1.5633932505897612E-16</v>
      </c>
      <c r="BI390">
        <v>49999.999999999971</v>
      </c>
      <c r="BJ390">
        <v>3.2686969872690008E-15</v>
      </c>
      <c r="BL390">
        <v>49999.999999999971</v>
      </c>
      <c r="BM390">
        <v>2.9632596903557155E-15</v>
      </c>
      <c r="BO390">
        <v>49999.999999999971</v>
      </c>
      <c r="BP390">
        <v>3.2517063109513055E-15</v>
      </c>
      <c r="BR390">
        <v>49999.999999999971</v>
      </c>
      <c r="BS390">
        <v>3.2360856257475598E-15</v>
      </c>
      <c r="BU390">
        <v>49999.999999999971</v>
      </c>
      <c r="BV390">
        <v>3.2613115310239827E-15</v>
      </c>
      <c r="BX390">
        <v>49999.999999999971</v>
      </c>
      <c r="BY390">
        <v>1.0920406356649303E-19</v>
      </c>
    </row>
    <row r="391" spans="13:77" x14ac:dyDescent="0.35">
      <c r="M391">
        <v>21999.999999999873</v>
      </c>
      <c r="N391">
        <v>7636.3636363658543</v>
      </c>
      <c r="P391">
        <v>22000.000000001295</v>
      </c>
      <c r="Q391">
        <v>7636.3636363636924</v>
      </c>
      <c r="S391">
        <v>22000.000000001502</v>
      </c>
      <c r="T391">
        <v>7636.3636363668911</v>
      </c>
      <c r="V391">
        <v>22000.000000001521</v>
      </c>
      <c r="W391">
        <v>7636.3636363633677</v>
      </c>
      <c r="Y391">
        <v>22000.00000000135</v>
      </c>
      <c r="Z391">
        <v>7636.3636363631167</v>
      </c>
      <c r="AB391">
        <v>22000.000000001488</v>
      </c>
      <c r="AC391">
        <v>7636.3636363633213</v>
      </c>
      <c r="AE391">
        <v>22000.000000001473</v>
      </c>
      <c r="AF391">
        <v>7636.3636363632986</v>
      </c>
      <c r="AH391">
        <v>22000.000000001572</v>
      </c>
      <c r="AI391">
        <v>7636.3636363634505</v>
      </c>
      <c r="AK391">
        <v>22000.000000024142</v>
      </c>
      <c r="AL391">
        <v>7636.3636363247942</v>
      </c>
      <c r="AZ391">
        <v>49999.999999999971</v>
      </c>
      <c r="BA391">
        <v>4.1074636469183324E-16</v>
      </c>
      <c r="BC391">
        <v>49999.999999999971</v>
      </c>
      <c r="BD391">
        <v>2.4203076427044354E-15</v>
      </c>
      <c r="BF391">
        <v>49999.999999999971</v>
      </c>
      <c r="BG391">
        <v>1.3994545221357616E-16</v>
      </c>
      <c r="BI391">
        <v>49999.999999999971</v>
      </c>
      <c r="BJ391">
        <v>2.9259386776804482E-15</v>
      </c>
      <c r="BL391">
        <v>49999.999999999971</v>
      </c>
      <c r="BM391">
        <v>2.6525297920830627E-15</v>
      </c>
      <c r="BO391">
        <v>49999.999999999971</v>
      </c>
      <c r="BP391">
        <v>2.9107296579421486E-15</v>
      </c>
      <c r="BR391">
        <v>49999.999999999971</v>
      </c>
      <c r="BS391">
        <v>2.8967469708997205E-15</v>
      </c>
      <c r="BU391">
        <v>49999.999999999971</v>
      </c>
      <c r="BV391">
        <v>2.9193276665760905E-15</v>
      </c>
      <c r="BX391">
        <v>49999.999999999971</v>
      </c>
      <c r="BY391">
        <v>9.7752833803062026E-20</v>
      </c>
    </row>
    <row r="392" spans="13:77" x14ac:dyDescent="0.35">
      <c r="M392">
        <v>21999.999999999374</v>
      </c>
      <c r="N392">
        <v>7636.3636363658206</v>
      </c>
      <c r="P392">
        <v>22000.00000000108</v>
      </c>
      <c r="Q392">
        <v>7636.363636363797</v>
      </c>
      <c r="S392">
        <v>22000.000000000506</v>
      </c>
      <c r="T392">
        <v>7636.3636363669784</v>
      </c>
      <c r="V392">
        <v>22000.000000001346</v>
      </c>
      <c r="W392">
        <v>7636.3636363634942</v>
      </c>
      <c r="Y392">
        <v>22000.000000001262</v>
      </c>
      <c r="Z392">
        <v>7636.3636363632322</v>
      </c>
      <c r="AB392">
        <v>22000.000000001332</v>
      </c>
      <c r="AC392">
        <v>7636.363636363445</v>
      </c>
      <c r="AE392">
        <v>22000.000000001324</v>
      </c>
      <c r="AF392">
        <v>7636.3636363634214</v>
      </c>
      <c r="AH392">
        <v>22000.000000001372</v>
      </c>
      <c r="AI392">
        <v>7636.3636363635796</v>
      </c>
      <c r="AK392">
        <v>22000.000000029471</v>
      </c>
      <c r="AL392">
        <v>7636.3636363271662</v>
      </c>
      <c r="AZ392">
        <v>49999.999999999971</v>
      </c>
      <c r="BA392">
        <v>3.6767515613999884E-16</v>
      </c>
      <c r="BC392">
        <v>49999.999999999971</v>
      </c>
      <c r="BD392">
        <v>2.1665121518624586E-15</v>
      </c>
      <c r="BF392">
        <v>49999.999999999971</v>
      </c>
      <c r="BG392">
        <v>1.2527065463455436E-16</v>
      </c>
      <c r="BI392">
        <v>49999.999999999971</v>
      </c>
      <c r="BJ392">
        <v>2.6191222921214334E-15</v>
      </c>
      <c r="BL392">
        <v>49999.999999999971</v>
      </c>
      <c r="BM392">
        <v>2.3743832917470728E-15</v>
      </c>
      <c r="BO392">
        <v>49999.999999999971</v>
      </c>
      <c r="BP392">
        <v>2.6055081029582228E-15</v>
      </c>
      <c r="BR392">
        <v>49999.999999999971</v>
      </c>
      <c r="BS392">
        <v>2.5929916522151018E-15</v>
      </c>
      <c r="BU392">
        <v>49999.999999999971</v>
      </c>
      <c r="BV392">
        <v>2.6132045171902746E-15</v>
      </c>
      <c r="BX392">
        <v>49999.999999999971</v>
      </c>
      <c r="BY392">
        <v>8.7502389603943328E-20</v>
      </c>
    </row>
    <row r="393" spans="13:77" x14ac:dyDescent="0.35">
      <c r="M393">
        <v>21999.99999999896</v>
      </c>
      <c r="N393">
        <v>7636.363636365747</v>
      </c>
      <c r="P393">
        <v>22000.000000000873</v>
      </c>
      <c r="Q393">
        <v>7636.3636363638834</v>
      </c>
      <c r="S393">
        <v>21999.999999999643</v>
      </c>
      <c r="T393">
        <v>7636.3636363669839</v>
      </c>
      <c r="V393">
        <v>22000.000000001171</v>
      </c>
      <c r="W393">
        <v>7636.3636363636051</v>
      </c>
      <c r="Y393">
        <v>22000.000000001161</v>
      </c>
      <c r="Z393">
        <v>7636.3636363633386</v>
      </c>
      <c r="AB393">
        <v>22000.000000001168</v>
      </c>
      <c r="AC393">
        <v>7636.3636363635551</v>
      </c>
      <c r="AE393">
        <v>22000.000000001168</v>
      </c>
      <c r="AF393">
        <v>7636.3636363635314</v>
      </c>
      <c r="AH393">
        <v>22000.000000001171</v>
      </c>
      <c r="AI393">
        <v>7636.3636363636915</v>
      </c>
      <c r="AK393">
        <v>22000.000000033418</v>
      </c>
      <c r="AL393">
        <v>7636.3636363299465</v>
      </c>
      <c r="AZ393">
        <v>49999.999999999971</v>
      </c>
      <c r="BA393">
        <v>3.2912043066771024E-16</v>
      </c>
      <c r="BC393">
        <v>49999.999999999971</v>
      </c>
      <c r="BD393">
        <v>1.9393298692074152E-15</v>
      </c>
      <c r="BF393">
        <v>49999.999999999971</v>
      </c>
      <c r="BG393">
        <v>1.1213466864661315E-16</v>
      </c>
      <c r="BI393">
        <v>49999.999999999971</v>
      </c>
      <c r="BJ393">
        <v>2.3444789302712151E-15</v>
      </c>
      <c r="BL393">
        <v>49999.999999999971</v>
      </c>
      <c r="BM393">
        <v>2.1254034668920032E-15</v>
      </c>
      <c r="BO393">
        <v>49999.999999999971</v>
      </c>
      <c r="BP393">
        <v>2.3322923364104066E-15</v>
      </c>
      <c r="BR393">
        <v>49999.999999999971</v>
      </c>
      <c r="BS393">
        <v>2.3210883711975961E-15</v>
      </c>
      <c r="BU393">
        <v>49999.999999999971</v>
      </c>
      <c r="BV393">
        <v>2.3391816981862821E-15</v>
      </c>
      <c r="BX393">
        <v>49999.999999999971</v>
      </c>
      <c r="BY393">
        <v>7.8326815587012182E-20</v>
      </c>
    </row>
    <row r="394" spans="13:77" x14ac:dyDescent="0.35">
      <c r="M394">
        <v>21999.999999998628</v>
      </c>
      <c r="N394">
        <v>7636.3636363656396</v>
      </c>
      <c r="P394">
        <v>22000.00000000068</v>
      </c>
      <c r="Q394">
        <v>7636.3636363639516</v>
      </c>
      <c r="S394">
        <v>21999.999999998916</v>
      </c>
      <c r="T394">
        <v>7636.3636363669193</v>
      </c>
      <c r="V394">
        <v>22000.000000000997</v>
      </c>
      <c r="W394">
        <v>7636.3636363637006</v>
      </c>
      <c r="Y394">
        <v>22000.000000001048</v>
      </c>
      <c r="Z394">
        <v>7636.3636363634359</v>
      </c>
      <c r="AB394">
        <v>22000.000000001004</v>
      </c>
      <c r="AC394">
        <v>7636.3636363636506</v>
      </c>
      <c r="AE394">
        <v>22000.000000001011</v>
      </c>
      <c r="AF394">
        <v>7636.3636363636269</v>
      </c>
      <c r="AH394">
        <v>22000.000000000975</v>
      </c>
      <c r="AI394">
        <v>7636.3636363637861</v>
      </c>
      <c r="AK394">
        <v>22000.0000000361</v>
      </c>
      <c r="AL394">
        <v>7636.3636363330179</v>
      </c>
      <c r="AZ394">
        <v>49999.999999999971</v>
      </c>
      <c r="BA394">
        <v>2.94608586068443E-16</v>
      </c>
      <c r="BC394">
        <v>49999.999999999971</v>
      </c>
      <c r="BD394">
        <v>1.735970111391657E-15</v>
      </c>
      <c r="BF394">
        <v>49999.999999999971</v>
      </c>
      <c r="BG394">
        <v>1.0037613317474669E-16</v>
      </c>
      <c r="BI394">
        <v>49999.999999999971</v>
      </c>
      <c r="BJ394">
        <v>2.0986349018600222E-15</v>
      </c>
      <c r="BL394">
        <v>49999.999999999971</v>
      </c>
      <c r="BM394">
        <v>1.9025318754465645E-15</v>
      </c>
      <c r="BO394">
        <v>49999.999999999971</v>
      </c>
      <c r="BP394">
        <v>2.0877262044599876E-15</v>
      </c>
      <c r="BR394">
        <v>49999.999999999971</v>
      </c>
      <c r="BS394">
        <v>2.0776970964431756E-15</v>
      </c>
      <c r="BU394">
        <v>49999.999999999971</v>
      </c>
      <c r="BV394">
        <v>2.0938931419776218E-15</v>
      </c>
      <c r="BX394">
        <v>49999.999999999971</v>
      </c>
      <c r="BY394">
        <v>7.0113399962797527E-20</v>
      </c>
    </row>
    <row r="395" spans="13:77" x14ac:dyDescent="0.35">
      <c r="M395">
        <v>21999.999999998374</v>
      </c>
      <c r="N395">
        <v>7636.3636363655069</v>
      </c>
      <c r="P395">
        <v>22000.000000000502</v>
      </c>
      <c r="Q395">
        <v>7636.3636363640035</v>
      </c>
      <c r="S395">
        <v>21999.999999998316</v>
      </c>
      <c r="T395">
        <v>7636.3636363667965</v>
      </c>
      <c r="V395">
        <v>22000.000000000826</v>
      </c>
      <c r="W395">
        <v>7636.3636363637806</v>
      </c>
      <c r="Y395">
        <v>22000.000000000931</v>
      </c>
      <c r="Z395">
        <v>7636.3636363635233</v>
      </c>
      <c r="AB395">
        <v>22000.000000000844</v>
      </c>
      <c r="AC395">
        <v>7636.3636363637315</v>
      </c>
      <c r="AE395">
        <v>22000.000000000855</v>
      </c>
      <c r="AF395">
        <v>7636.3636363637088</v>
      </c>
      <c r="AH395">
        <v>22000.000000000789</v>
      </c>
      <c r="AI395">
        <v>7636.3636363638634</v>
      </c>
      <c r="AK395">
        <v>22000.000000037646</v>
      </c>
      <c r="AL395">
        <v>7636.3636363362739</v>
      </c>
      <c r="AZ395">
        <v>49999.999999999971</v>
      </c>
      <c r="BA395">
        <v>2.6371568246055559E-16</v>
      </c>
      <c r="BC395">
        <v>49999.999999999971</v>
      </c>
      <c r="BD395">
        <v>1.5539348284656633E-15</v>
      </c>
      <c r="BF395">
        <v>49999.999999999971</v>
      </c>
      <c r="BG395">
        <v>8.9850607601708844E-17</v>
      </c>
      <c r="BI395">
        <v>49999.999999999971</v>
      </c>
      <c r="BJ395">
        <v>1.8785702846113993E-15</v>
      </c>
      <c r="BL395">
        <v>49999.999999999971</v>
      </c>
      <c r="BM395">
        <v>1.7030307861420949E-15</v>
      </c>
      <c r="BO395">
        <v>49999.999999999971</v>
      </c>
      <c r="BP395">
        <v>1.8688054823766897E-15</v>
      </c>
      <c r="BR395">
        <v>49999.999999999971</v>
      </c>
      <c r="BS395">
        <v>1.8598280350442153E-15</v>
      </c>
      <c r="BU395">
        <v>49999.999999999971</v>
      </c>
      <c r="BV395">
        <v>1.8743257496501514E-15</v>
      </c>
      <c r="BX395">
        <v>49999.999999999971</v>
      </c>
      <c r="BY395">
        <v>6.2761249994674211E-20</v>
      </c>
    </row>
    <row r="396" spans="13:77" x14ac:dyDescent="0.35">
      <c r="M396">
        <v>21999.999999998188</v>
      </c>
      <c r="N396">
        <v>7636.363636365355</v>
      </c>
      <c r="P396">
        <v>22000.000000000338</v>
      </c>
      <c r="Q396">
        <v>7636.3636363640398</v>
      </c>
      <c r="S396">
        <v>21999.999999997839</v>
      </c>
      <c r="T396">
        <v>7636.3636363666265</v>
      </c>
      <c r="V396">
        <v>22000.000000000662</v>
      </c>
      <c r="W396">
        <v>7636.3636363638461</v>
      </c>
      <c r="Y396">
        <v>22000.000000000811</v>
      </c>
      <c r="Z396">
        <v>7636.3636363635997</v>
      </c>
      <c r="AB396">
        <v>22000.000000000691</v>
      </c>
      <c r="AC396">
        <v>7636.3636363637988</v>
      </c>
      <c r="AE396">
        <v>22000.000000000706</v>
      </c>
      <c r="AF396">
        <v>7636.363636363777</v>
      </c>
      <c r="AH396">
        <v>22000.000000000615</v>
      </c>
      <c r="AI396">
        <v>7636.3636363639253</v>
      </c>
      <c r="AK396">
        <v>22000.000000038188</v>
      </c>
      <c r="AL396">
        <v>7636.3636363396208</v>
      </c>
      <c r="AZ396">
        <v>49999.999999999971</v>
      </c>
      <c r="BA396">
        <v>2.3606223465421941E-16</v>
      </c>
      <c r="BC396">
        <v>49999.999999999971</v>
      </c>
      <c r="BD396">
        <v>1.3909879180942995E-15</v>
      </c>
      <c r="BF396">
        <v>49999.999999999971</v>
      </c>
      <c r="BG396">
        <v>8.0428797474610748E-17</v>
      </c>
      <c r="BI396">
        <v>49999.999999999971</v>
      </c>
      <c r="BJ396">
        <v>1.6815818278334999E-15</v>
      </c>
      <c r="BL396">
        <v>49999.999999999971</v>
      </c>
      <c r="BM396">
        <v>1.5244495485086139E-15</v>
      </c>
      <c r="BO396">
        <v>49999.999999999971</v>
      </c>
      <c r="BP396">
        <v>1.6728409709569778E-15</v>
      </c>
      <c r="BR396">
        <v>49999.999999999971</v>
      </c>
      <c r="BS396">
        <v>1.6648049062867947E-15</v>
      </c>
      <c r="BU396">
        <v>49999.999999999971</v>
      </c>
      <c r="BV396">
        <v>1.6777823783708385E-15</v>
      </c>
      <c r="BX396">
        <v>49999.999999999971</v>
      </c>
      <c r="BY396">
        <v>5.6180052643061531E-20</v>
      </c>
    </row>
    <row r="397" spans="13:77" x14ac:dyDescent="0.35">
      <c r="M397">
        <v>21999.999999998068</v>
      </c>
      <c r="N397">
        <v>7636.3636363651894</v>
      </c>
      <c r="P397">
        <v>22000.000000000193</v>
      </c>
      <c r="Q397">
        <v>7636.3636363640626</v>
      </c>
      <c r="S397">
        <v>21999.999999997475</v>
      </c>
      <c r="T397">
        <v>7636.3636363664191</v>
      </c>
      <c r="V397">
        <v>22000.000000000509</v>
      </c>
      <c r="W397">
        <v>7636.363636363898</v>
      </c>
      <c r="Y397">
        <v>22000.000000000695</v>
      </c>
      <c r="Z397">
        <v>7636.363636363666</v>
      </c>
      <c r="AB397">
        <v>22000.000000000546</v>
      </c>
      <c r="AC397">
        <v>7636.3636363638534</v>
      </c>
      <c r="AE397">
        <v>22000.000000000564</v>
      </c>
      <c r="AF397">
        <v>7636.3636363638325</v>
      </c>
      <c r="AH397">
        <v>22000.000000000451</v>
      </c>
      <c r="AI397">
        <v>7636.3636363639716</v>
      </c>
      <c r="AK397">
        <v>22000.000000037864</v>
      </c>
      <c r="AL397">
        <v>7636.3636363429769</v>
      </c>
      <c r="AZ397">
        <v>49999.999999999971</v>
      </c>
      <c r="BA397">
        <v>2.1130855059512319E-16</v>
      </c>
      <c r="BC397">
        <v>49999.999999999971</v>
      </c>
      <c r="BD397">
        <v>1.2451277575101132E-15</v>
      </c>
      <c r="BF397">
        <v>49999.999999999971</v>
      </c>
      <c r="BG397">
        <v>7.1994966265413707E-17</v>
      </c>
      <c r="BI397">
        <v>49999.999999999971</v>
      </c>
      <c r="BJ397">
        <v>1.5052497459709341E-15</v>
      </c>
      <c r="BL397">
        <v>49999.999999999971</v>
      </c>
      <c r="BM397">
        <v>1.364594489341319E-15</v>
      </c>
      <c r="BO397">
        <v>49999.999999999971</v>
      </c>
      <c r="BP397">
        <v>1.4974254626829157E-15</v>
      </c>
      <c r="BR397">
        <v>49999.999999999971</v>
      </c>
      <c r="BS397">
        <v>1.490232066498929E-15</v>
      </c>
      <c r="BU397">
        <v>49999.999999999971</v>
      </c>
      <c r="BV397">
        <v>1.5018487099679056E-15</v>
      </c>
      <c r="BX397">
        <v>49999.999999999971</v>
      </c>
      <c r="BY397">
        <v>5.0288965169511334E-20</v>
      </c>
    </row>
    <row r="398" spans="13:77" x14ac:dyDescent="0.35">
      <c r="M398">
        <v>21999.999999998006</v>
      </c>
      <c r="N398">
        <v>7636.3636363650157</v>
      </c>
      <c r="P398">
        <v>22000.000000000062</v>
      </c>
      <c r="Q398">
        <v>7636.3636363640735</v>
      </c>
      <c r="S398">
        <v>21999.999999997217</v>
      </c>
      <c r="T398">
        <v>7636.3636363661844</v>
      </c>
      <c r="V398">
        <v>22000.000000000367</v>
      </c>
      <c r="W398">
        <v>7636.3636363639362</v>
      </c>
      <c r="Y398">
        <v>22000.000000000578</v>
      </c>
      <c r="Z398">
        <v>7636.3636363637224</v>
      </c>
      <c r="AB398">
        <v>22000.000000000411</v>
      </c>
      <c r="AC398">
        <v>7636.3636363638952</v>
      </c>
      <c r="AE398">
        <v>22000.000000000429</v>
      </c>
      <c r="AF398">
        <v>7636.3636363638761</v>
      </c>
      <c r="AH398">
        <v>22000.000000000302</v>
      </c>
      <c r="AI398">
        <v>7636.3636363640044</v>
      </c>
      <c r="AK398">
        <v>22000.000000036805</v>
      </c>
      <c r="AL398">
        <v>7636.3636363462711</v>
      </c>
      <c r="AZ398">
        <v>49999.999999999971</v>
      </c>
      <c r="BA398">
        <v>1.891505586228832E-16</v>
      </c>
      <c r="BC398">
        <v>49999.999999999971</v>
      </c>
      <c r="BD398">
        <v>1.1145626157890615E-15</v>
      </c>
      <c r="BF398">
        <v>49999.999999999971</v>
      </c>
      <c r="BG398">
        <v>6.444551367554987E-17</v>
      </c>
      <c r="BI398">
        <v>49999.999999999971</v>
      </c>
      <c r="BJ398">
        <v>1.3474079942126406E-15</v>
      </c>
      <c r="BL398">
        <v>49999.999999999971</v>
      </c>
      <c r="BM398">
        <v>1.2215019658488706E-15</v>
      </c>
      <c r="BO398">
        <v>49999.999999999971</v>
      </c>
      <c r="BP398">
        <v>1.3404041718373309E-15</v>
      </c>
      <c r="BR398">
        <v>49999.999999999971</v>
      </c>
      <c r="BS398">
        <v>1.3339650812148039E-15</v>
      </c>
      <c r="BU398">
        <v>49999.999999999971</v>
      </c>
      <c r="BV398">
        <v>1.3443635936994687E-15</v>
      </c>
      <c r="BX398">
        <v>49999.999999999971</v>
      </c>
      <c r="BY398">
        <v>4.5015622072982581E-20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373C2-727F-47C0-BF7D-D9C7E3CF1FCC}">
  <sheetPr codeName="Arkusz4"/>
  <dimension ref="A1:AD76"/>
  <sheetViews>
    <sheetView zoomScale="90" zoomScaleNormal="90" workbookViewId="0">
      <selection activeCell="AG29" sqref="AG29"/>
    </sheetView>
  </sheetViews>
  <sheetFormatPr defaultColWidth="8.81640625" defaultRowHeight="14.5" x14ac:dyDescent="0.35"/>
  <cols>
    <col min="1" max="1" width="12.81640625" bestFit="1" customWidth="1"/>
    <col min="2" max="2" width="11.36328125" customWidth="1"/>
    <col min="10" max="10" width="9.36328125" bestFit="1" customWidth="1"/>
    <col min="12" max="12" width="12.6328125" bestFit="1" customWidth="1"/>
    <col min="13" max="13" width="5.08984375" customWidth="1"/>
    <col min="27" max="27" width="9.6328125" hidden="1" customWidth="1"/>
    <col min="28" max="30" width="0" hidden="1" customWidth="1"/>
  </cols>
  <sheetData>
    <row r="1" spans="1:30" ht="18.5" x14ac:dyDescent="0.45">
      <c r="A1" s="24" t="s">
        <v>25</v>
      </c>
      <c r="B1" s="24"/>
      <c r="C1" s="24"/>
      <c r="D1" s="24"/>
      <c r="E1" s="24"/>
      <c r="F1" s="24"/>
      <c r="G1" s="24"/>
      <c r="H1" s="24"/>
    </row>
    <row r="3" spans="1:30" x14ac:dyDescent="0.35">
      <c r="C3" s="22" t="s">
        <v>13</v>
      </c>
      <c r="D3" s="22"/>
      <c r="E3" s="22"/>
      <c r="G3" s="22" t="s">
        <v>14</v>
      </c>
      <c r="H3" s="22"/>
      <c r="I3" s="22"/>
      <c r="K3" s="22" t="s">
        <v>12</v>
      </c>
      <c r="L3" s="22"/>
      <c r="M3" s="22"/>
    </row>
    <row r="5" spans="1:30" hidden="1" x14ac:dyDescent="0.35">
      <c r="D5">
        <v>70</v>
      </c>
      <c r="G5">
        <v>38</v>
      </c>
      <c r="K5">
        <v>10</v>
      </c>
    </row>
    <row r="8" spans="1:30" x14ac:dyDescent="0.35">
      <c r="J8" s="23" t="s">
        <v>24</v>
      </c>
      <c r="K8" s="23"/>
      <c r="L8" s="23"/>
    </row>
    <row r="9" spans="1:30" ht="14.5" customHeight="1" x14ac:dyDescent="0.35">
      <c r="J9" s="23"/>
      <c r="K9" s="23"/>
      <c r="L9" s="23"/>
    </row>
    <row r="10" spans="1:30" x14ac:dyDescent="0.35">
      <c r="F10" s="4" t="s">
        <v>7</v>
      </c>
      <c r="G10" s="4">
        <f>B20/(B21+B19)</f>
        <v>1.4583333333333333</v>
      </c>
      <c r="J10" s="5" t="s">
        <v>17</v>
      </c>
      <c r="K10" s="5" t="s">
        <v>18</v>
      </c>
      <c r="L10" s="5" t="s">
        <v>19</v>
      </c>
    </row>
    <row r="11" spans="1:30" x14ac:dyDescent="0.35">
      <c r="A11" t="s">
        <v>20</v>
      </c>
      <c r="B11" t="s">
        <v>21</v>
      </c>
      <c r="J11">
        <f>IF(G10&lt;=1,B22*B18/B19,B22*(B21+B19)/B20)</f>
        <v>10285.714285714286</v>
      </c>
      <c r="K11">
        <f>IF(G10&lt;=1,0,B22*(-B21*B19-B19*B19+B20*B18)/(B20*(B21+B19)))</f>
        <v>982.14285714285654</v>
      </c>
      <c r="L11">
        <f>IF(G10&lt;=1,0,-B22*B21*(B21*B19+B19*B19-B20*B18)/(B20*(B21*B19+B19*B19)))</f>
        <v>3732.1428571428542</v>
      </c>
    </row>
    <row r="12" spans="1:30" hidden="1" x14ac:dyDescent="0.35">
      <c r="A12" t="s">
        <v>0</v>
      </c>
      <c r="B12">
        <v>0</v>
      </c>
    </row>
    <row r="13" spans="1:30" hidden="1" x14ac:dyDescent="0.35">
      <c r="A13" t="s">
        <v>1</v>
      </c>
      <c r="B13">
        <v>30</v>
      </c>
      <c r="AA13" s="1" t="s">
        <v>3</v>
      </c>
      <c r="AB13" s="2" t="s">
        <v>17</v>
      </c>
      <c r="AC13" s="3" t="s">
        <v>18</v>
      </c>
      <c r="AD13" s="3" t="s">
        <v>19</v>
      </c>
    </row>
    <row r="14" spans="1:30" hidden="1" x14ac:dyDescent="0.35">
      <c r="A14" t="s">
        <v>2</v>
      </c>
      <c r="B14">
        <v>60</v>
      </c>
      <c r="AA14" cm="1">
        <f t="array" ref="AA14:AD74">limit(B12,B13,B14,J11,L11,K11)</f>
        <v>0</v>
      </c>
      <c r="AB14">
        <v>10285.714285714286</v>
      </c>
      <c r="AC14">
        <v>982.14285714285654</v>
      </c>
      <c r="AD14">
        <v>3732.1428571428542</v>
      </c>
    </row>
    <row r="15" spans="1:30" x14ac:dyDescent="0.35">
      <c r="A15" t="s">
        <v>8</v>
      </c>
      <c r="B15">
        <v>10000</v>
      </c>
      <c r="F15" s="1" t="s">
        <v>3</v>
      </c>
      <c r="G15" s="2" t="s">
        <v>4</v>
      </c>
      <c r="H15" s="3" t="s">
        <v>5</v>
      </c>
      <c r="I15" s="3" t="s">
        <v>6</v>
      </c>
      <c r="AA15">
        <v>0.5</v>
      </c>
      <c r="AB15">
        <v>10285.714285714286</v>
      </c>
      <c r="AC15">
        <v>982.14285714285654</v>
      </c>
      <c r="AD15">
        <v>3732.1428571428542</v>
      </c>
    </row>
    <row r="16" spans="1:30" x14ac:dyDescent="0.35">
      <c r="A16" t="s">
        <v>9</v>
      </c>
      <c r="B16">
        <v>0</v>
      </c>
      <c r="F16" cm="1">
        <f t="array" ref="F16:I76">SOLVE_SIR_RUNGE_KUTTA(B12,B13,B14,B15,B16,B17,B18,B19,B20,B21)</f>
        <v>0</v>
      </c>
      <c r="G16">
        <v>10000</v>
      </c>
      <c r="H16">
        <v>0</v>
      </c>
      <c r="I16">
        <v>5000</v>
      </c>
      <c r="AA16">
        <v>1</v>
      </c>
      <c r="AB16">
        <v>10285.714285714286</v>
      </c>
      <c r="AC16">
        <v>982.14285714285654</v>
      </c>
      <c r="AD16">
        <v>3732.1428571428542</v>
      </c>
    </row>
    <row r="17" spans="1:30" x14ac:dyDescent="0.35">
      <c r="A17" t="s">
        <v>10</v>
      </c>
      <c r="B17">
        <v>5000</v>
      </c>
      <c r="F17">
        <v>0.5</v>
      </c>
      <c r="G17">
        <v>9162.7677858352745</v>
      </c>
      <c r="H17">
        <v>920.16369598765436</v>
      </c>
      <c r="I17">
        <v>4917.0685181770714</v>
      </c>
      <c r="AA17">
        <v>1.5</v>
      </c>
      <c r="AB17">
        <v>10285.714285714286</v>
      </c>
      <c r="AC17">
        <v>982.14285714285654</v>
      </c>
      <c r="AD17">
        <v>3732.1428571428542</v>
      </c>
    </row>
    <row r="18" spans="1:30" x14ac:dyDescent="0.35">
      <c r="A18" t="s">
        <v>11</v>
      </c>
      <c r="B18">
        <f>B19</f>
        <v>0.1</v>
      </c>
      <c r="F18">
        <v>1</v>
      </c>
      <c r="G18">
        <v>8477.5951480521508</v>
      </c>
      <c r="H18">
        <v>1771.911220687181</v>
      </c>
      <c r="I18">
        <v>4750.4936312606687</v>
      </c>
      <c r="AA18">
        <v>2</v>
      </c>
      <c r="AB18">
        <v>10285.714285714286</v>
      </c>
      <c r="AC18">
        <v>982.14285714285654</v>
      </c>
      <c r="AD18">
        <v>3732.1428571428542</v>
      </c>
    </row>
    <row r="19" spans="1:30" x14ac:dyDescent="0.35">
      <c r="A19" t="s">
        <v>12</v>
      </c>
      <c r="B19">
        <f>K5/100</f>
        <v>0.1</v>
      </c>
      <c r="F19">
        <v>1.5</v>
      </c>
      <c r="G19">
        <v>7930.4743686116472</v>
      </c>
      <c r="H19">
        <v>2545.3355096546024</v>
      </c>
      <c r="I19">
        <v>4524.1901217337509</v>
      </c>
      <c r="AA19">
        <v>2.5</v>
      </c>
      <c r="AB19">
        <v>10285.714285714286</v>
      </c>
      <c r="AC19">
        <v>982.14285714285654</v>
      </c>
      <c r="AD19">
        <v>3732.1428571428542</v>
      </c>
    </row>
    <row r="20" spans="1:30" x14ac:dyDescent="0.35">
      <c r="A20" t="s">
        <v>13</v>
      </c>
      <c r="B20">
        <f>D5/100</f>
        <v>0.7</v>
      </c>
      <c r="F20">
        <v>2</v>
      </c>
      <c r="G20">
        <v>7504.533855059577</v>
      </c>
      <c r="H20">
        <v>3235.2957779088792</v>
      </c>
      <c r="I20">
        <v>4260.1703670315446</v>
      </c>
      <c r="AA20">
        <v>3</v>
      </c>
      <c r="AB20">
        <v>10285.714285714286</v>
      </c>
      <c r="AC20">
        <v>982.14285714285654</v>
      </c>
      <c r="AD20">
        <v>3732.1428571428542</v>
      </c>
    </row>
    <row r="21" spans="1:30" x14ac:dyDescent="0.35">
      <c r="A21" t="s">
        <v>14</v>
      </c>
      <c r="B21">
        <f>G5/100</f>
        <v>0.38</v>
      </c>
      <c r="F21">
        <v>2.5</v>
      </c>
      <c r="G21">
        <v>7182.5168844584459</v>
      </c>
      <c r="H21">
        <v>3840.6530747228608</v>
      </c>
      <c r="I21">
        <v>3976.8300408186947</v>
      </c>
      <c r="AA21">
        <v>3.5</v>
      </c>
      <c r="AB21">
        <v>10285.714285714286</v>
      </c>
      <c r="AC21">
        <v>982.14285714285654</v>
      </c>
      <c r="AD21">
        <v>3732.1428571428542</v>
      </c>
    </row>
    <row r="22" spans="1:30" x14ac:dyDescent="0.35">
      <c r="A22" t="s">
        <v>15</v>
      </c>
      <c r="B22">
        <f>B15+B16+B17</f>
        <v>15000</v>
      </c>
      <c r="F22">
        <v>3</v>
      </c>
      <c r="G22">
        <v>6948.2329701965909</v>
      </c>
      <c r="H22">
        <v>4363.3438222456753</v>
      </c>
      <c r="I22">
        <v>3688.4232075577352</v>
      </c>
      <c r="AA22">
        <v>4</v>
      </c>
      <c r="AB22">
        <v>10285.714285714286</v>
      </c>
      <c r="AC22">
        <v>982.14285714285654</v>
      </c>
      <c r="AD22">
        <v>3732.1428571428542</v>
      </c>
    </row>
    <row r="23" spans="1:30" x14ac:dyDescent="0.35">
      <c r="F23">
        <v>3.5</v>
      </c>
      <c r="G23">
        <v>6787.2470222123275</v>
      </c>
      <c r="H23">
        <v>4807.4763675408085</v>
      </c>
      <c r="I23">
        <v>3405.2766102468659</v>
      </c>
      <c r="AA23">
        <v>4.5</v>
      </c>
      <c r="AB23">
        <v>10285.714285714286</v>
      </c>
      <c r="AC23">
        <v>982.14285714285654</v>
      </c>
      <c r="AD23">
        <v>3732.1428571428542</v>
      </c>
    </row>
    <row r="24" spans="1:30" x14ac:dyDescent="0.35">
      <c r="F24">
        <v>4</v>
      </c>
      <c r="G24">
        <v>6687.0830534313154</v>
      </c>
      <c r="H24">
        <v>5178.5493096540158</v>
      </c>
      <c r="I24">
        <v>3134.3676369146701</v>
      </c>
      <c r="AA24">
        <v>5</v>
      </c>
      <c r="AB24">
        <v>10285.714285714286</v>
      </c>
      <c r="AC24">
        <v>982.14285714285654</v>
      </c>
      <c r="AD24">
        <v>3732.1428571428542</v>
      </c>
    </row>
    <row r="25" spans="1:30" x14ac:dyDescent="0.35">
      <c r="F25">
        <v>4.5</v>
      </c>
      <c r="G25">
        <v>6637.1579627501251</v>
      </c>
      <c r="H25">
        <v>5482.8277774055177</v>
      </c>
      <c r="I25">
        <v>2880.014259844359</v>
      </c>
      <c r="AA25">
        <v>5.5</v>
      </c>
      <c r="AB25">
        <v>10285.714285714286</v>
      </c>
      <c r="AC25">
        <v>982.14285714285654</v>
      </c>
      <c r="AD25">
        <v>3732.1428571428542</v>
      </c>
    </row>
    <row r="26" spans="1:30" x14ac:dyDescent="0.35">
      <c r="F26">
        <v>5</v>
      </c>
      <c r="G26">
        <v>6628.5885842197868</v>
      </c>
      <c r="H26">
        <v>5726.8762388402438</v>
      </c>
      <c r="I26">
        <v>2644.5351769399708</v>
      </c>
      <c r="AA26">
        <v>6</v>
      </c>
      <c r="AB26">
        <v>10285.714285714286</v>
      </c>
      <c r="AC26">
        <v>982.14285714285654</v>
      </c>
      <c r="AD26">
        <v>3732.1428571428542</v>
      </c>
    </row>
    <row r="27" spans="1:30" x14ac:dyDescent="0.35">
      <c r="F27">
        <v>5.5</v>
      </c>
      <c r="G27">
        <v>6653.956681376716</v>
      </c>
      <c r="H27">
        <v>5917.2279103812962</v>
      </c>
      <c r="I27">
        <v>2428.8154082419892</v>
      </c>
      <c r="AA27">
        <v>6.5</v>
      </c>
      <c r="AB27">
        <v>10285.714285714286</v>
      </c>
      <c r="AC27">
        <v>982.14285714285654</v>
      </c>
      <c r="AD27">
        <v>3732.1428571428542</v>
      </c>
    </row>
    <row r="28" spans="1:30" x14ac:dyDescent="0.35">
      <c r="F28">
        <v>6</v>
      </c>
      <c r="G28">
        <v>6707.0766919741309</v>
      </c>
      <c r="H28">
        <v>6060.1644762528676</v>
      </c>
      <c r="I28">
        <v>2232.7588317730028</v>
      </c>
      <c r="AA28">
        <v>7</v>
      </c>
      <c r="AB28">
        <v>10285.714285714286</v>
      </c>
      <c r="AC28">
        <v>982.14285714285654</v>
      </c>
      <c r="AD28">
        <v>3732.1428571428542</v>
      </c>
    </row>
    <row r="29" spans="1:30" x14ac:dyDescent="0.35">
      <c r="F29">
        <v>6.5</v>
      </c>
      <c r="G29">
        <v>6782.7866826944573</v>
      </c>
      <c r="H29">
        <v>6161.5801401799326</v>
      </c>
      <c r="I29">
        <v>2055.6331771256109</v>
      </c>
      <c r="AA29">
        <v>7.5</v>
      </c>
      <c r="AB29">
        <v>10285.714285714286</v>
      </c>
      <c r="AC29">
        <v>982.14285714285654</v>
      </c>
      <c r="AD29">
        <v>3732.1428571428542</v>
      </c>
    </row>
    <row r="30" spans="1:30" x14ac:dyDescent="0.35">
      <c r="F30">
        <v>7</v>
      </c>
      <c r="G30">
        <v>6876.769383072532</v>
      </c>
      <c r="H30">
        <v>6226.9073948762179</v>
      </c>
      <c r="I30">
        <v>1896.3232220512512</v>
      </c>
      <c r="AA30">
        <v>8</v>
      </c>
      <c r="AB30">
        <v>10285.714285714286</v>
      </c>
      <c r="AC30">
        <v>982.14285714285654</v>
      </c>
      <c r="AD30">
        <v>3732.1428571428542</v>
      </c>
    </row>
    <row r="31" spans="1:30" x14ac:dyDescent="0.35">
      <c r="F31">
        <v>7.5</v>
      </c>
      <c r="G31">
        <v>6985.4032678538388</v>
      </c>
      <c r="H31">
        <v>6261.086214480606</v>
      </c>
      <c r="I31">
        <v>1753.5105176655563</v>
      </c>
      <c r="AA31">
        <v>8.5</v>
      </c>
      <c r="AB31">
        <v>10285.714285714286</v>
      </c>
      <c r="AC31">
        <v>982.14285714285654</v>
      </c>
      <c r="AD31">
        <v>3732.1428571428542</v>
      </c>
    </row>
    <row r="32" spans="1:30" x14ac:dyDescent="0.35">
      <c r="F32">
        <v>8</v>
      </c>
      <c r="G32">
        <v>7105.6406031429542</v>
      </c>
      <c r="H32">
        <v>6268.5625791788643</v>
      </c>
      <c r="I32">
        <v>1625.7968176781826</v>
      </c>
      <c r="AA32">
        <v>9</v>
      </c>
      <c r="AB32">
        <v>10285.714285714286</v>
      </c>
      <c r="AC32">
        <v>982.14285714285654</v>
      </c>
      <c r="AD32">
        <v>3732.1428571428542</v>
      </c>
    </row>
    <row r="33" spans="6:30" x14ac:dyDescent="0.35">
      <c r="F33">
        <v>8.5</v>
      </c>
      <c r="G33">
        <v>7234.9083746558208</v>
      </c>
      <c r="H33">
        <v>6253.3058706614747</v>
      </c>
      <c r="I33">
        <v>1511.7857546827054</v>
      </c>
      <c r="AA33">
        <v>9.5</v>
      </c>
      <c r="AB33">
        <v>10285.714285714286</v>
      </c>
      <c r="AC33">
        <v>982.14285714285654</v>
      </c>
      <c r="AD33">
        <v>3732.1428571428542</v>
      </c>
    </row>
    <row r="34" spans="6:30" x14ac:dyDescent="0.35">
      <c r="F34">
        <v>9</v>
      </c>
      <c r="G34">
        <v>7371.0280290872415</v>
      </c>
      <c r="H34">
        <v>6218.8376045276736</v>
      </c>
      <c r="I34">
        <v>1410.1343663850853</v>
      </c>
      <c r="AA34">
        <v>10</v>
      </c>
      <c r="AB34">
        <v>10285.714285714286</v>
      </c>
      <c r="AC34">
        <v>982.14285714285654</v>
      </c>
      <c r="AD34">
        <v>3732.1428571428542</v>
      </c>
    </row>
    <row r="35" spans="6:30" x14ac:dyDescent="0.35">
      <c r="F35">
        <v>9.5</v>
      </c>
      <c r="G35">
        <v>7512.1504050103758</v>
      </c>
      <c r="H35">
        <v>6168.2662244705025</v>
      </c>
      <c r="I35">
        <v>1319.5833705191219</v>
      </c>
      <c r="AA35">
        <v>10.5</v>
      </c>
      <c r="AB35">
        <v>10285.714285714286</v>
      </c>
      <c r="AC35">
        <v>982.14285714285654</v>
      </c>
      <c r="AD35">
        <v>3732.1428571428542</v>
      </c>
    </row>
    <row r="36" spans="6:30" x14ac:dyDescent="0.35">
      <c r="F36">
        <v>10</v>
      </c>
      <c r="G36">
        <v>7656.7028089852092</v>
      </c>
      <c r="H36">
        <v>6104.3243708198761</v>
      </c>
      <c r="I36">
        <v>1238.9728201949149</v>
      </c>
      <c r="AA36">
        <v>11</v>
      </c>
      <c r="AB36">
        <v>10285.714285714286</v>
      </c>
      <c r="AC36">
        <v>982.14285714285654</v>
      </c>
      <c r="AD36">
        <v>3732.1428571428542</v>
      </c>
    </row>
    <row r="37" spans="6:30" x14ac:dyDescent="0.35">
      <c r="F37">
        <v>10.5</v>
      </c>
      <c r="G37">
        <v>7803.3457630496969</v>
      </c>
      <c r="H37">
        <v>6029.4062655831485</v>
      </c>
      <c r="I37">
        <v>1167.2479713671542</v>
      </c>
      <c r="AA37">
        <v>11.5</v>
      </c>
      <c r="AB37">
        <v>10285.714285714286</v>
      </c>
      <c r="AC37">
        <v>982.14285714285654</v>
      </c>
      <c r="AD37">
        <v>3732.1428571428542</v>
      </c>
    </row>
    <row r="38" spans="6:30" x14ac:dyDescent="0.35">
      <c r="F38">
        <v>11</v>
      </c>
      <c r="G38">
        <v>7950.9374524338336</v>
      </c>
      <c r="H38">
        <v>5945.6037324997396</v>
      </c>
      <c r="I38">
        <v>1103.4588150664258</v>
      </c>
      <c r="AA38">
        <v>12</v>
      </c>
      <c r="AB38">
        <v>10285.714285714286</v>
      </c>
      <c r="AC38">
        <v>982.14285714285654</v>
      </c>
      <c r="AD38">
        <v>3732.1428571428542</v>
      </c>
    </row>
    <row r="39" spans="6:30" x14ac:dyDescent="0.35">
      <c r="F39">
        <v>11.5</v>
      </c>
      <c r="G39">
        <v>8098.5043203212635</v>
      </c>
      <c r="H39">
        <v>5854.7399824034619</v>
      </c>
      <c r="I39">
        <v>1046.7556972752736</v>
      </c>
      <c r="AA39">
        <v>12.5</v>
      </c>
      <c r="AB39">
        <v>10285.714285714286</v>
      </c>
      <c r="AC39">
        <v>982.14285714285654</v>
      </c>
      <c r="AD39">
        <v>3732.1428571428542</v>
      </c>
    </row>
    <row r="40" spans="6:30" x14ac:dyDescent="0.35">
      <c r="F40">
        <v>12</v>
      </c>
      <c r="G40">
        <v>8245.2165925757145</v>
      </c>
      <c r="H40">
        <v>5758.4007120182332</v>
      </c>
      <c r="I40">
        <v>996.38269540605199</v>
      </c>
      <c r="AA40">
        <v>13</v>
      </c>
      <c r="AB40">
        <v>10285.714285714286</v>
      </c>
      <c r="AC40">
        <v>982.14285714285654</v>
      </c>
      <c r="AD40">
        <v>3732.1428571428542</v>
      </c>
    </row>
    <row r="41" spans="6:30" x14ac:dyDescent="0.35">
      <c r="F41">
        <v>12.5</v>
      </c>
      <c r="G41">
        <v>8390.3677801747781</v>
      </c>
      <c r="H41">
        <v>5657.962342540266</v>
      </c>
      <c r="I41">
        <v>951.66987728495565</v>
      </c>
      <c r="AA41">
        <v>13.5</v>
      </c>
      <c r="AB41">
        <v>10285.714285714286</v>
      </c>
      <c r="AC41">
        <v>982.14285714285654</v>
      </c>
      <c r="AD41">
        <v>3732.1428571428542</v>
      </c>
    </row>
    <row r="42" spans="6:30" x14ac:dyDescent="0.35">
      <c r="F42">
        <v>13</v>
      </c>
      <c r="G42">
        <v>8533.3574132620743</v>
      </c>
      <c r="H42">
        <v>5554.6174037191458</v>
      </c>
      <c r="I42">
        <v>912.02518301878013</v>
      </c>
      <c r="AA42">
        <v>14</v>
      </c>
      <c r="AB42">
        <v>10285.714285714286</v>
      </c>
      <c r="AC42">
        <v>982.14285714285654</v>
      </c>
      <c r="AD42">
        <v>3732.1428571428542</v>
      </c>
    </row>
    <row r="43" spans="6:30" x14ac:dyDescent="0.35">
      <c r="F43">
        <v>13.5</v>
      </c>
      <c r="G43">
        <v>8673.6764201819406</v>
      </c>
      <c r="H43">
        <v>5449.3971795955713</v>
      </c>
      <c r="I43">
        <v>876.92640022248804</v>
      </c>
      <c r="AA43">
        <v>14.5</v>
      </c>
      <c r="AB43">
        <v>10285.714285714286</v>
      </c>
      <c r="AC43">
        <v>982.14285714285654</v>
      </c>
      <c r="AD43">
        <v>3732.1428571428542</v>
      </c>
    </row>
    <row r="44" spans="6:30" x14ac:dyDescent="0.35">
      <c r="F44">
        <v>14</v>
      </c>
      <c r="G44">
        <v>8810.8946878564602</v>
      </c>
      <c r="H44">
        <v>5343.1917952705144</v>
      </c>
      <c r="I44">
        <v>845.91351687302426</v>
      </c>
      <c r="AA44">
        <v>15</v>
      </c>
      <c r="AB44">
        <v>10285.714285714286</v>
      </c>
      <c r="AC44">
        <v>982.14285714285654</v>
      </c>
      <c r="AD44">
        <v>3732.1428571428542</v>
      </c>
    </row>
    <row r="45" spans="6:30" x14ac:dyDescent="0.35">
      <c r="F45">
        <v>14.5</v>
      </c>
      <c r="G45">
        <v>8944.6504347620285</v>
      </c>
      <c r="H45">
        <v>5236.7679555593286</v>
      </c>
      <c r="I45">
        <v>818.58160967864217</v>
      </c>
      <c r="AA45">
        <v>15.5</v>
      </c>
      <c r="AB45">
        <v>10285.714285714286</v>
      </c>
      <c r="AC45">
        <v>982.14285714285654</v>
      </c>
      <c r="AD45">
        <v>3732.1428571428542</v>
      </c>
    </row>
    <row r="46" spans="6:30" x14ac:dyDescent="0.35">
      <c r="F46">
        <v>15</v>
      </c>
      <c r="G46">
        <v>9074.6411011612217</v>
      </c>
      <c r="H46">
        <v>5130.7845570526188</v>
      </c>
      <c r="I46">
        <v>794.57434178615847</v>
      </c>
      <c r="AA46">
        <v>16</v>
      </c>
      <c r="AB46">
        <v>10285.714285714286</v>
      </c>
      <c r="AC46">
        <v>982.14285714285654</v>
      </c>
      <c r="AD46">
        <v>3732.1428571428542</v>
      </c>
    </row>
    <row r="47" spans="6:30" x14ac:dyDescent="0.35">
      <c r="F47">
        <v>15.5</v>
      </c>
      <c r="G47">
        <v>9200.6155182519306</v>
      </c>
      <c r="H47">
        <v>5025.8063925772431</v>
      </c>
      <c r="I47">
        <v>773.57808917082502</v>
      </c>
      <c r="AA47">
        <v>16.5</v>
      </c>
      <c r="AB47">
        <v>10285.714285714286</v>
      </c>
      <c r="AC47">
        <v>982.14285714285654</v>
      </c>
      <c r="AD47">
        <v>3732.1428571428542</v>
      </c>
    </row>
    <row r="48" spans="6:30" x14ac:dyDescent="0.35">
      <c r="F48">
        <v>16</v>
      </c>
      <c r="G48">
        <v>9322.3671624103717</v>
      </c>
      <c r="H48">
        <v>4922.3161565597366</v>
      </c>
      <c r="I48">
        <v>755.31668102988999</v>
      </c>
      <c r="AA48">
        <v>17</v>
      </c>
      <c r="AB48">
        <v>10285.714285714286</v>
      </c>
      <c r="AC48">
        <v>982.14285714285654</v>
      </c>
      <c r="AD48">
        <v>3732.1428571428542</v>
      </c>
    </row>
    <row r="49" spans="6:30" x14ac:dyDescent="0.35">
      <c r="F49">
        <v>16.5</v>
      </c>
      <c r="G49">
        <v>9439.7283356840817</v>
      </c>
      <c r="H49">
        <v>4820.7249448835764</v>
      </c>
      <c r="I49">
        <v>739.5467194323403</v>
      </c>
      <c r="AA49">
        <v>17.5</v>
      </c>
      <c r="AB49">
        <v>10285.714285714286</v>
      </c>
      <c r="AC49">
        <v>982.14285714285654</v>
      </c>
      <c r="AD49">
        <v>3732.1428571428542</v>
      </c>
    </row>
    <row r="50" spans="6:30" x14ac:dyDescent="0.35">
      <c r="F50">
        <v>17</v>
      </c>
      <c r="G50">
        <v>9552.5651413653231</v>
      </c>
      <c r="H50">
        <v>4721.381425853775</v>
      </c>
      <c r="I50">
        <v>726.0534327808997</v>
      </c>
      <c r="AA50">
        <v>18</v>
      </c>
      <c r="AB50">
        <v>10285.714285714286</v>
      </c>
      <c r="AC50">
        <v>982.14285714285654</v>
      </c>
      <c r="AD50">
        <v>3732.1428571428542</v>
      </c>
    </row>
    <row r="51" spans="6:30" x14ac:dyDescent="0.35">
      <c r="F51">
        <v>17.5</v>
      </c>
      <c r="G51">
        <v>9660.7731455239646</v>
      </c>
      <c r="H51">
        <v>4624.5798413607363</v>
      </c>
      <c r="I51">
        <v>714.64701311529734</v>
      </c>
      <c r="AA51">
        <v>18.5</v>
      </c>
      <c r="AB51">
        <v>10285.714285714286</v>
      </c>
      <c r="AC51">
        <v>982.14285714285654</v>
      </c>
      <c r="AD51">
        <v>3732.1428571428542</v>
      </c>
    </row>
    <row r="52" spans="6:30" x14ac:dyDescent="0.35">
      <c r="F52">
        <v>18</v>
      </c>
      <c r="G52">
        <v>9764.2736330664939</v>
      </c>
      <c r="H52">
        <v>4530.5669802222092</v>
      </c>
      <c r="I52">
        <v>705.15938671129527</v>
      </c>
      <c r="AA52">
        <v>19</v>
      </c>
      <c r="AB52">
        <v>10285.714285714286</v>
      </c>
      <c r="AC52">
        <v>982.14285714285654</v>
      </c>
      <c r="AD52">
        <v>3732.1428571428542</v>
      </c>
    </row>
    <row r="53" spans="6:30" x14ac:dyDescent="0.35">
      <c r="F53">
        <v>18.5</v>
      </c>
      <c r="G53">
        <v>9863.0103811689914</v>
      </c>
      <c r="H53">
        <v>4439.5482495407605</v>
      </c>
      <c r="I53">
        <v>697.4413692902458</v>
      </c>
      <c r="AA53">
        <v>19.5</v>
      </c>
      <c r="AB53">
        <v>10285.714285714286</v>
      </c>
      <c r="AC53">
        <v>982.14285714285654</v>
      </c>
      <c r="AD53">
        <v>3732.1428571428542</v>
      </c>
    </row>
    <row r="54" spans="6:30" x14ac:dyDescent="0.35">
      <c r="F54">
        <v>19</v>
      </c>
      <c r="G54">
        <v>9956.9468845293304</v>
      </c>
      <c r="H54">
        <v>4351.6929550471959</v>
      </c>
      <c r="I54">
        <v>691.36016042347046</v>
      </c>
      <c r="AA54">
        <v>20</v>
      </c>
      <c r="AB54">
        <v>10285.714285714286</v>
      </c>
      <c r="AC54">
        <v>982.14285714285654</v>
      </c>
      <c r="AD54">
        <v>3732.1428571428542</v>
      </c>
    </row>
    <row r="55" spans="6:30" x14ac:dyDescent="0.35">
      <c r="F55">
        <v>19.5</v>
      </c>
      <c r="G55">
        <v>10046.063976347927</v>
      </c>
      <c r="H55">
        <v>4267.1388879393762</v>
      </c>
      <c r="I55">
        <v>686.79713571269406</v>
      </c>
      <c r="AA55">
        <v>20.5</v>
      </c>
      <c r="AB55">
        <v>10285.714285714286</v>
      </c>
      <c r="AC55">
        <v>982.14285714285654</v>
      </c>
      <c r="AD55">
        <v>3732.1428571428542</v>
      </c>
    </row>
    <row r="56" spans="6:30" x14ac:dyDescent="0.35">
      <c r="F56">
        <v>20</v>
      </c>
      <c r="G56">
        <v>10130.357796698394</v>
      </c>
      <c r="H56">
        <v>4185.9963036932086</v>
      </c>
      <c r="I56">
        <v>683.64589960839498</v>
      </c>
      <c r="AA56">
        <v>21</v>
      </c>
      <c r="AB56">
        <v>10285.714285714286</v>
      </c>
      <c r="AC56">
        <v>982.14285714285654</v>
      </c>
      <c r="AD56">
        <v>3732.1428571428542</v>
      </c>
    </row>
    <row r="57" spans="6:30" x14ac:dyDescent="0.35">
      <c r="F57">
        <v>20.5</v>
      </c>
      <c r="G57">
        <v>10209.838066315133</v>
      </c>
      <c r="H57">
        <v>4108.3513676731318</v>
      </c>
      <c r="I57">
        <v>681.81056601173293</v>
      </c>
      <c r="AA57">
        <v>21.5</v>
      </c>
      <c r="AB57">
        <v>10285.714285714286</v>
      </c>
      <c r="AC57">
        <v>982.14285714285654</v>
      </c>
      <c r="AD57">
        <v>3732.1428571428542</v>
      </c>
    </row>
    <row r="58" spans="6:30" x14ac:dyDescent="0.35">
      <c r="F58">
        <v>21</v>
      </c>
      <c r="G58">
        <v>10284.526629058006</v>
      </c>
      <c r="H58">
        <v>4034.2691330193179</v>
      </c>
      <c r="I58">
        <v>681.20423792267422</v>
      </c>
      <c r="AA58">
        <v>22</v>
      </c>
      <c r="AB58">
        <v>10285.714285714286</v>
      </c>
      <c r="AC58">
        <v>982.14285714285654</v>
      </c>
      <c r="AD58">
        <v>3732.1428571428542</v>
      </c>
    </row>
    <row r="59" spans="6:30" x14ac:dyDescent="0.35">
      <c r="F59">
        <v>21.5</v>
      </c>
      <c r="G59">
        <v>10354.456230615437</v>
      </c>
      <c r="H59">
        <v>3963.796108133944</v>
      </c>
      <c r="I59">
        <v>681.74766125061683</v>
      </c>
      <c r="AA59">
        <v>22.5</v>
      </c>
      <c r="AB59">
        <v>10285.714285714286</v>
      </c>
      <c r="AC59">
        <v>982.14285714285654</v>
      </c>
      <c r="AD59">
        <v>3732.1428571428542</v>
      </c>
    </row>
    <row r="60" spans="6:30" x14ac:dyDescent="0.35">
      <c r="F60">
        <v>22</v>
      </c>
      <c r="G60">
        <v>10419.669504537103</v>
      </c>
      <c r="H60">
        <v>3896.9624640172092</v>
      </c>
      <c r="I60">
        <v>683.36803144568444</v>
      </c>
      <c r="AA60">
        <v>23</v>
      </c>
      <c r="AB60">
        <v>10285.714285714286</v>
      </c>
      <c r="AC60">
        <v>982.14285714285654</v>
      </c>
      <c r="AD60">
        <v>3732.1428571428542</v>
      </c>
    </row>
    <row r="61" spans="6:30" x14ac:dyDescent="0.35">
      <c r="F61">
        <v>22.5</v>
      </c>
      <c r="G61">
        <v>10480.218139576828</v>
      </c>
      <c r="H61">
        <v>3833.7839256025945</v>
      </c>
      <c r="I61">
        <v>685.99793482057487</v>
      </c>
      <c r="AA61">
        <v>23.5</v>
      </c>
      <c r="AB61">
        <v>10285.714285714286</v>
      </c>
      <c r="AC61">
        <v>982.14285714285654</v>
      </c>
      <c r="AD61">
        <v>3732.1428571428542</v>
      </c>
    </row>
    <row r="62" spans="6:30" x14ac:dyDescent="0.35">
      <c r="F62">
        <v>23</v>
      </c>
      <c r="G62">
        <v>10536.162204684329</v>
      </c>
      <c r="H62">
        <v>3774.2633860015135</v>
      </c>
      <c r="I62">
        <v>689.57440931415408</v>
      </c>
      <c r="AA62">
        <v>24</v>
      </c>
      <c r="AB62">
        <v>10285.714285714286</v>
      </c>
      <c r="AC62">
        <v>982.14285714285654</v>
      </c>
      <c r="AD62">
        <v>3732.1428571428542</v>
      </c>
    </row>
    <row r="63" spans="6:30" x14ac:dyDescent="0.35">
      <c r="F63">
        <v>23.5</v>
      </c>
      <c r="G63">
        <v>10587.569609903849</v>
      </c>
      <c r="H63">
        <v>3718.3922780875282</v>
      </c>
      <c r="I63">
        <v>694.03811200862049</v>
      </c>
      <c r="AA63">
        <v>24.5</v>
      </c>
      <c r="AB63">
        <v>10285.714285714286</v>
      </c>
      <c r="AC63">
        <v>982.14285714285654</v>
      </c>
      <c r="AD63">
        <v>3732.1428571428542</v>
      </c>
    </row>
    <row r="64" spans="6:30" x14ac:dyDescent="0.35">
      <c r="F64">
        <v>24</v>
      </c>
      <c r="G64">
        <v>10634.515682999039</v>
      </c>
      <c r="H64">
        <v>3666.1517340345531</v>
      </c>
      <c r="I64">
        <v>699.33258296640599</v>
      </c>
      <c r="AA64">
        <v>25</v>
      </c>
      <c r="AB64">
        <v>10285.714285714286</v>
      </c>
      <c r="AC64">
        <v>982.14285714285654</v>
      </c>
      <c r="AD64">
        <v>3732.1428571428542</v>
      </c>
    </row>
    <row r="65" spans="6:30" x14ac:dyDescent="0.35">
      <c r="F65">
        <v>24.5</v>
      </c>
      <c r="G65">
        <v>10677.082842899044</v>
      </c>
      <c r="H65">
        <v>3617.5135601842426</v>
      </c>
      <c r="I65">
        <v>705.40359691671119</v>
      </c>
      <c r="AA65">
        <v>25.5</v>
      </c>
      <c r="AB65">
        <v>10285.714285714286</v>
      </c>
      <c r="AC65">
        <v>982.14285714285654</v>
      </c>
      <c r="AD65">
        <v>3732.1428571428542</v>
      </c>
    </row>
    <row r="66" spans="6:30" x14ac:dyDescent="0.35">
      <c r="F66">
        <v>25</v>
      </c>
      <c r="G66">
        <v>10715.360352115726</v>
      </c>
      <c r="H66">
        <v>3572.4410518745362</v>
      </c>
      <c r="I66">
        <v>712.19859600973678</v>
      </c>
      <c r="AA66">
        <v>26</v>
      </c>
      <c r="AB66">
        <v>10285.714285714286</v>
      </c>
      <c r="AC66">
        <v>982.14285714285654</v>
      </c>
      <c r="AD66">
        <v>3732.1428571428542</v>
      </c>
    </row>
    <row r="67" spans="6:30" x14ac:dyDescent="0.35">
      <c r="F67">
        <v>25.5</v>
      </c>
      <c r="G67">
        <v>10749.444131177223</v>
      </c>
      <c r="H67">
        <v>3530.8896705400821</v>
      </c>
      <c r="I67">
        <v>719.66619828269381</v>
      </c>
      <c r="AA67">
        <v>26.5</v>
      </c>
      <c r="AB67">
        <v>10285.714285714286</v>
      </c>
      <c r="AC67">
        <v>982.14285714285654</v>
      </c>
      <c r="AD67">
        <v>3732.1428571428542</v>
      </c>
    </row>
    <row r="68" spans="6:30" x14ac:dyDescent="0.35">
      <c r="F68">
        <v>26</v>
      </c>
      <c r="G68">
        <v>10779.436618914877</v>
      </c>
      <c r="H68">
        <v>3492.807603427982</v>
      </c>
      <c r="I68">
        <v>727.75577765714024</v>
      </c>
      <c r="AA68">
        <v>27</v>
      </c>
      <c r="AB68">
        <v>10285.714285714286</v>
      </c>
      <c r="AC68">
        <v>982.14285714285654</v>
      </c>
      <c r="AD68">
        <v>3732.1428571428542</v>
      </c>
    </row>
    <row r="69" spans="6:30" x14ac:dyDescent="0.35">
      <c r="F69">
        <v>26.5</v>
      </c>
      <c r="G69">
        <v>10805.446663181721</v>
      </c>
      <c r="H69">
        <v>3458.1362245961955</v>
      </c>
      <c r="I69">
        <v>736.4171122220821</v>
      </c>
      <c r="AA69">
        <v>27.5</v>
      </c>
      <c r="AB69">
        <v>10285.714285714286</v>
      </c>
      <c r="AC69">
        <v>982.14285714285654</v>
      </c>
      <c r="AD69">
        <v>3732.1428571428542</v>
      </c>
    </row>
    <row r="70" spans="6:30" x14ac:dyDescent="0.35">
      <c r="F70">
        <v>27</v>
      </c>
      <c r="G70">
        <v>10827.589427320301</v>
      </c>
      <c r="H70">
        <v>3426.8104744190905</v>
      </c>
      <c r="I70">
        <v>745.60009826060787</v>
      </c>
      <c r="AA70">
        <v>28</v>
      </c>
      <c r="AB70">
        <v>10285.714285714286</v>
      </c>
      <c r="AC70">
        <v>982.14285714285654</v>
      </c>
      <c r="AD70">
        <v>3732.1428571428542</v>
      </c>
    </row>
    <row r="71" spans="6:30" x14ac:dyDescent="0.35">
      <c r="F71">
        <v>27.5</v>
      </c>
      <c r="G71">
        <v>10845.986298479966</v>
      </c>
      <c r="H71">
        <v>3398.7591735615692</v>
      </c>
      <c r="I71">
        <v>755.25452795846536</v>
      </c>
      <c r="AA71">
        <v>28.5</v>
      </c>
      <c r="AB71">
        <v>10285.714285714286</v>
      </c>
      <c r="AC71">
        <v>982.14285714285654</v>
      </c>
      <c r="AD71">
        <v>3732.1428571428542</v>
      </c>
    </row>
    <row r="72" spans="6:30" x14ac:dyDescent="0.35">
      <c r="F72">
        <v>28</v>
      </c>
      <c r="G72">
        <v>10860.764784748622</v>
      </c>
      <c r="H72">
        <v>3373.9052862507383</v>
      </c>
      <c r="I72">
        <v>765.3299290006388</v>
      </c>
      <c r="AA72">
        <v>29</v>
      </c>
      <c r="AB72">
        <v>10285.714285714286</v>
      </c>
      <c r="AC72">
        <v>982.14285714285654</v>
      </c>
      <c r="AD72">
        <v>3732.1428571428542</v>
      </c>
    </row>
    <row r="73" spans="6:30" x14ac:dyDescent="0.35">
      <c r="F73">
        <v>28.5</v>
      </c>
      <c r="G73">
        <v>10872.058389044339</v>
      </c>
      <c r="H73">
        <v>3352.1661466274636</v>
      </c>
      <c r="I73">
        <v>775.77546432819668</v>
      </c>
      <c r="AA73">
        <v>29.5</v>
      </c>
      <c r="AB73">
        <v>10285.714285714286</v>
      </c>
      <c r="AC73">
        <v>982.14285714285654</v>
      </c>
      <c r="AD73">
        <v>3732.1428571428542</v>
      </c>
    </row>
    <row r="74" spans="6:30" x14ac:dyDescent="0.35">
      <c r="F74">
        <v>29</v>
      </c>
      <c r="G74">
        <v>10880.006448834145</v>
      </c>
      <c r="H74">
        <v>3333.4536609590923</v>
      </c>
      <c r="I74">
        <v>786.53989020676272</v>
      </c>
      <c r="AA74">
        <v>30</v>
      </c>
      <c r="AB74">
        <v>10285.714285714286</v>
      </c>
      <c r="AC74">
        <v>982.14285714285654</v>
      </c>
      <c r="AD74">
        <v>3732.1428571428542</v>
      </c>
    </row>
    <row r="75" spans="6:30" x14ac:dyDescent="0.35">
      <c r="F75">
        <v>29.5</v>
      </c>
      <c r="G75">
        <v>10884.753932028307</v>
      </c>
      <c r="H75">
        <v>3317.6744975038569</v>
      </c>
      <c r="I75">
        <v>797.57157046783607</v>
      </c>
    </row>
    <row r="76" spans="6:30" x14ac:dyDescent="0.35">
      <c r="F76">
        <v>30</v>
      </c>
      <c r="G76">
        <v>10886.451180845957</v>
      </c>
      <c r="H76">
        <v>3304.7302748071311</v>
      </c>
      <c r="I76">
        <v>808.81854434691172</v>
      </c>
    </row>
  </sheetData>
  <mergeCells count="5">
    <mergeCell ref="J8:L9"/>
    <mergeCell ref="A1:H1"/>
    <mergeCell ref="C3:E3"/>
    <mergeCell ref="G3:I3"/>
    <mergeCell ref="K3:M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Scroll Bar 3">
              <controlPr defaultSize="0" autoPict="0">
                <anchor moveWithCells="1">
                  <from>
                    <xdr:col>10</xdr:col>
                    <xdr:colOff>12700</xdr:colOff>
                    <xdr:row>3</xdr:row>
                    <xdr:rowOff>63500</xdr:rowOff>
                  </from>
                  <to>
                    <xdr:col>12</xdr:col>
                    <xdr:colOff>349250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Scroll Bar 4">
              <controlPr defaultSize="0" autoPict="0" altText="gamma_x000a_">
                <anchor moveWithCells="1">
                  <from>
                    <xdr:col>6</xdr:col>
                    <xdr:colOff>25400</xdr:colOff>
                    <xdr:row>3</xdr:row>
                    <xdr:rowOff>38100</xdr:rowOff>
                  </from>
                  <to>
                    <xdr:col>9</xdr:col>
                    <xdr:colOff>12700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Scroll Bar 5">
              <controlPr defaultSize="0" autoPict="0">
                <anchor moveWithCells="1">
                  <from>
                    <xdr:col>2</xdr:col>
                    <xdr:colOff>12700</xdr:colOff>
                    <xdr:row>3</xdr:row>
                    <xdr:rowOff>25400</xdr:rowOff>
                  </from>
                  <to>
                    <xdr:col>5</xdr:col>
                    <xdr:colOff>12700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Introduction</vt:lpstr>
      <vt:lpstr>The Runge-Kutta method</vt:lpstr>
      <vt:lpstr>Ralston's method</vt:lpstr>
      <vt:lpstr>Comparison of methods</vt:lpstr>
      <vt:lpstr>Phase plot R</vt:lpstr>
      <vt:lpstr>Phase plot K</vt:lpstr>
      <vt:lpstr>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Monika</dc:creator>
  <cp:lastModifiedBy>Kawczyńska Dominika 2 (STUD)</cp:lastModifiedBy>
  <dcterms:created xsi:type="dcterms:W3CDTF">2022-11-06T14:30:34Z</dcterms:created>
  <dcterms:modified xsi:type="dcterms:W3CDTF">2024-03-23T23:47:05Z</dcterms:modified>
</cp:coreProperties>
</file>